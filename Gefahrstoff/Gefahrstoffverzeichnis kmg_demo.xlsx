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DieseArbeitsmappe" defaultThemeVersion="124226"/>
  <mc:AlternateContent xmlns:mc="http://schemas.openxmlformats.org/markup-compatibility/2006">
    <mc:Choice Requires="x15">
      <x15ac:absPath xmlns:x15ac="http://schemas.microsoft.com/office/spreadsheetml/2010/11/ac" url="C:\Users\KimMariusGräfe\Desktop\AMS Unterlagen Kickoff\Demo\Gefahrstoffmanagement\"/>
    </mc:Choice>
  </mc:AlternateContent>
  <xr:revisionPtr revIDLastSave="0" documentId="13_ncr:1_{624138EB-2AA4-4812-89A9-37B4404FF2D1}" xr6:coauthVersionLast="47" xr6:coauthVersionMax="47" xr10:uidLastSave="{00000000-0000-0000-0000-000000000000}"/>
  <bookViews>
    <workbookView xWindow="15264" yWindow="0" windowWidth="30912" windowHeight="16776" tabRatio="771" xr2:uid="{00000000-000D-0000-FFFF-FFFF00000000}"/>
  </bookViews>
  <sheets>
    <sheet name="Gefahrstoffverzeichnis" sheetId="4" r:id="rId1"/>
    <sheet name="Daten" sheetId="23" r:id="rId2"/>
    <sheet name="Substitution" sheetId="31" r:id="rId3"/>
    <sheet name="GHS" sheetId="18" r:id="rId4"/>
    <sheet name="Lager" sheetId="30" r:id="rId5"/>
    <sheet name="Zusammenlagerung" sheetId="27" r:id="rId6"/>
    <sheet name="H-Sätze" sheetId="25" r:id="rId7"/>
    <sheet name="P-Sätze" sheetId="19" r:id="rId8"/>
    <sheet name="Einatmen" sheetId="21" r:id="rId9"/>
    <sheet name="Haut" sheetId="22" r:id="rId10"/>
    <sheet name="Brand_EX" sheetId="34" r:id="rId11"/>
    <sheet name="Schutzleitfäden" sheetId="26" r:id="rId12"/>
    <sheet name="Entsorgung" sheetId="29" r:id="rId13"/>
    <sheet name="Gefahrgut" sheetId="32" r:id="rId14"/>
  </sheets>
  <definedNames>
    <definedName name="_xlnm._FilterDatabase" localSheetId="1" hidden="1">Daten!$A$1:$Y$30</definedName>
    <definedName name="_xlnm._FilterDatabase" localSheetId="0" hidden="1">Gefahrstoffverzeichnis!$A$7:$GO$20</definedName>
    <definedName name="Abteilung">Daten!$B$2:$B$30</definedName>
    <definedName name="Ansprechpartner">Daten!$C$2:$C$22</definedName>
    <definedName name="Auswahl_Bereich">Daten!$E$7:$E$8</definedName>
    <definedName name="Beschränkung">Daten!$R$15:$R$18</definedName>
    <definedName name="Brand_EX_Freisetzung1">Brand_EX!$B$31:$B$36</definedName>
    <definedName name="Brand_EX_Freisetzung2">Brand_EX!$B$37:$B$41</definedName>
    <definedName name="Brand_EX_GG">Brand_EX!$A$3:$A$7</definedName>
    <definedName name="Brand_EX_Mengengruppe">Brand_EX!$B$15:$B$17</definedName>
    <definedName name="Brand_EX_Mengengruppe2">Brand_EX!$B$18:$B$20</definedName>
    <definedName name="CMR">Daten!$O$2:$O$5</definedName>
    <definedName name="CMR_H">Daten!$M$2:$M$18</definedName>
    <definedName name="_xlnm.Print_Area" localSheetId="12">Entsorgung!$A$1:$B$975</definedName>
    <definedName name="_xlnm.Print_Area" localSheetId="0">Gefahrstoffverzeichnis!$A$1:$T$20</definedName>
    <definedName name="_xlnm.Print_Area" localSheetId="3">GHS!$A$1:$I$5</definedName>
    <definedName name="_xlnm.Print_Area" localSheetId="6">'H-Sätze'!$A$1:$B$120</definedName>
    <definedName name="_xlnm.Print_Area" localSheetId="7">'P-Sätze'!$A$1:$B$151</definedName>
    <definedName name="_xlnm.Print_Area" localSheetId="2">Substitution!$A$1:$G$70</definedName>
    <definedName name="_xlnm.Print_Area" localSheetId="5">Zusammenlagerung!$A$1:$AD$28</definedName>
    <definedName name="_xlnm.Print_Titles" localSheetId="0">Gefahrstoffverzeichnis!$1:$7</definedName>
    <definedName name="Einatmen_Freisetzung1">Einatmen!$B$38:$B$43</definedName>
    <definedName name="Einatmen_Freisetzung2">Einatmen!$B$44:$B$49</definedName>
    <definedName name="Einatmen_Mengengruppe">Einatmen!$B$21:$B$23</definedName>
    <definedName name="Einatmen_Mengengruppe2">Einatmen!$B$24:$B$26</definedName>
    <definedName name="Einheit_TRGS510">Daten!$H$12:$H$13</definedName>
    <definedName name="Einstufung_Weitere">Daten!$E$15:$E$16</definedName>
    <definedName name="Entsorgung">Entsorgung!$A$2:$B$975</definedName>
    <definedName name="Gebindeart">Daten!$K$2:$K$28</definedName>
    <definedName name="Gefahrgut">Gefahrgut!$A$2:$D$2328</definedName>
    <definedName name="Gefahrgut_UN">Gefahrgut!$A$2:$A$2328</definedName>
    <definedName name="Gefahrgut_VG">Daten!$U$2:$U$5</definedName>
    <definedName name="Gefahrstofflager">Daten!$D$2:$D$30</definedName>
    <definedName name="geringe_Gefährdung">Daten!$S$15:$S$27</definedName>
    <definedName name="GG_Einatmen">Einatmen!$A$12:$A$17</definedName>
    <definedName name="GG_Haut">Haut!$A$3:$A$8</definedName>
    <definedName name="Haut_Wirkdauer">Haut!$A$18:$A$19</definedName>
    <definedName name="Haut_Wirkfläche">Haut!$A$12:$A$13</definedName>
    <definedName name="Kennzeichnung">Daten!$F$2:$F$15</definedName>
    <definedName name="LGK">Daten!$J$2:$J$28</definedName>
    <definedName name="Mengeneinheit">Daten!$H$2:$H$5</definedName>
    <definedName name="PSA_Atemschutz">Daten!$X$2:$X$7</definedName>
    <definedName name="PSA_Augenschutz">Daten!$W$2:$W$4</definedName>
    <definedName name="PSA_Handschutz">Daten!$V$2:$V$4</definedName>
    <definedName name="PSA_Körperschutz">Daten!$Y$2:$Y$5</definedName>
    <definedName name="Schutzleitfaden_Auswahl">Schutzleitfäden!$A$2:$A$46</definedName>
    <definedName name="Standort">Daten!$A$2:$A$4</definedName>
    <definedName name="Status">Daten!$E$2:$E$4</definedName>
    <definedName name="Stoff_Gemisch">Daten!$E$11:$E$12</definedName>
    <definedName name="sub_Anforderungen">Daten!$P$2:$P$4</definedName>
    <definedName name="sub_auswahl">Daten!$S$2:$S$12</definedName>
    <definedName name="sub_Ergebnis">Daten!$S$2:$S$12</definedName>
    <definedName name="sub_Konsequenzen">Daten!$Q$2:$Q$6</definedName>
    <definedName name="sub_Preis">Daten!$R$2:$R$5</definedName>
    <definedName name="Verbrauch">Daten!$H$15:$H$21</definedName>
    <definedName name="Vorsorge">Daten!$Q$15:$Q$27</definedName>
    <definedName name="WGK">Daten!$I$2:$I$6</definedName>
    <definedName name="Zustand">Daten!$G$2:$G$3</definedName>
    <definedName name="Zustand_alle">Daten!$G$5:$G$13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8" i="4" l="1"/>
  <c r="V27" i="4"/>
  <c r="V26" i="4"/>
  <c r="V25" i="4"/>
  <c r="V24" i="4"/>
  <c r="V23" i="4"/>
  <c r="V22" i="4"/>
  <c r="V21" i="4"/>
  <c r="V20" i="4"/>
  <c r="V19" i="4"/>
  <c r="V18" i="4"/>
  <c r="V17" i="4"/>
  <c r="V16" i="4"/>
  <c r="V15" i="4"/>
  <c r="V14" i="4"/>
  <c r="V13" i="4"/>
  <c r="V12" i="4"/>
  <c r="V11" i="4"/>
  <c r="V10" i="4"/>
  <c r="V9" i="4"/>
  <c r="V8" i="4"/>
  <c r="FZ28" i="4"/>
  <c r="FY28" i="4"/>
  <c r="FX28" i="4"/>
  <c r="FF28" i="4"/>
  <c r="FD28" i="4"/>
  <c r="FB28" i="4"/>
  <c r="EY28" i="4"/>
  <c r="ET28" i="4"/>
  <c r="EO28" i="4"/>
  <c r="EJ28" i="4"/>
  <c r="DY28" i="4"/>
  <c r="DT28" i="4"/>
  <c r="DR28" i="4"/>
  <c r="DQ28" i="4"/>
  <c r="DJ28" i="4"/>
  <c r="DH28" i="4"/>
  <c r="DD28" i="4"/>
  <c r="CZ28" i="4" a="1"/>
  <c r="CZ28" i="4" s="1"/>
  <c r="CX28" i="4" a="1"/>
  <c r="CX28" i="4" s="1"/>
  <c r="BY28" i="4"/>
  <c r="BX28" i="4"/>
  <c r="BW28" i="4"/>
  <c r="BV28" i="4"/>
  <c r="BU28" i="4"/>
  <c r="BT28" i="4"/>
  <c r="BR28" i="4"/>
  <c r="BQ28" i="4"/>
  <c r="BP28" i="4"/>
  <c r="BO28" i="4"/>
  <c r="BN28" i="4"/>
  <c r="BM28" i="4"/>
  <c r="BL28" i="4"/>
  <c r="BK28" i="4"/>
  <c r="BJ28" i="4"/>
  <c r="BI28" i="4"/>
  <c r="BH28" i="4"/>
  <c r="BG28" i="4"/>
  <c r="BF28" i="4"/>
  <c r="BE28" i="4"/>
  <c r="BD28" i="4"/>
  <c r="BC28" i="4"/>
  <c r="BB28" i="4"/>
  <c r="BA28" i="4"/>
  <c r="AZ28" i="4"/>
  <c r="AY28" i="4"/>
  <c r="AV28" i="4"/>
  <c r="AU28" i="4"/>
  <c r="AN28" i="4"/>
  <c r="R28" i="4"/>
  <c r="Q28" i="4"/>
  <c r="P28" i="4"/>
  <c r="O28" i="4"/>
  <c r="N28" i="4"/>
  <c r="M28" i="4"/>
  <c r="L28" i="4"/>
  <c r="K28" i="4"/>
  <c r="J28" i="4"/>
  <c r="I28" i="4"/>
  <c r="H28" i="4"/>
  <c r="G28" i="4"/>
  <c r="E28" i="4"/>
  <c r="FZ27" i="4"/>
  <c r="FY27" i="4"/>
  <c r="FX27" i="4"/>
  <c r="FF27" i="4"/>
  <c r="FD27" i="4"/>
  <c r="FB27" i="4"/>
  <c r="EY27" i="4"/>
  <c r="ET27" i="4"/>
  <c r="EO27" i="4"/>
  <c r="EJ27" i="4"/>
  <c r="DY27" i="4"/>
  <c r="DT27" i="4"/>
  <c r="DR27" i="4"/>
  <c r="DQ27" i="4"/>
  <c r="DJ27" i="4"/>
  <c r="DH27" i="4"/>
  <c r="DK27" i="4" s="1" a="1"/>
  <c r="DK27" i="4" s="1"/>
  <c r="DD27" i="4"/>
  <c r="CZ27" i="4" a="1"/>
  <c r="CZ27" i="4" s="1"/>
  <c r="CX27" i="4" a="1"/>
  <c r="CX27" i="4" s="1"/>
  <c r="BY27" i="4"/>
  <c r="BX27" i="4"/>
  <c r="BW27" i="4"/>
  <c r="BV27" i="4"/>
  <c r="BU27" i="4"/>
  <c r="BT27" i="4"/>
  <c r="BR27" i="4"/>
  <c r="BQ27" i="4"/>
  <c r="BP27" i="4"/>
  <c r="BO27" i="4"/>
  <c r="BN27" i="4"/>
  <c r="BM27" i="4"/>
  <c r="BL27" i="4"/>
  <c r="BK27" i="4"/>
  <c r="BJ27" i="4"/>
  <c r="BI27" i="4"/>
  <c r="BH27" i="4"/>
  <c r="BG27" i="4"/>
  <c r="BF27" i="4"/>
  <c r="BE27" i="4"/>
  <c r="BD27" i="4"/>
  <c r="BC27" i="4"/>
  <c r="BB27" i="4"/>
  <c r="BA27" i="4"/>
  <c r="AZ27" i="4"/>
  <c r="AY27" i="4"/>
  <c r="AV27" i="4"/>
  <c r="AU27" i="4"/>
  <c r="AN27" i="4"/>
  <c r="R27" i="4"/>
  <c r="Q27" i="4"/>
  <c r="P27" i="4"/>
  <c r="O27" i="4"/>
  <c r="N27" i="4"/>
  <c r="M27" i="4"/>
  <c r="L27" i="4"/>
  <c r="K27" i="4"/>
  <c r="J27" i="4"/>
  <c r="I27" i="4"/>
  <c r="H27" i="4"/>
  <c r="G27" i="4"/>
  <c r="E27" i="4"/>
  <c r="FZ26" i="4"/>
  <c r="FY26" i="4"/>
  <c r="FX26" i="4"/>
  <c r="FF26" i="4"/>
  <c r="FD26" i="4"/>
  <c r="FB26" i="4"/>
  <c r="EY26" i="4"/>
  <c r="ET26" i="4"/>
  <c r="EO26" i="4"/>
  <c r="EJ26" i="4"/>
  <c r="DY26" i="4"/>
  <c r="DT26" i="4"/>
  <c r="DR26" i="4"/>
  <c r="DQ26" i="4"/>
  <c r="DJ26" i="4"/>
  <c r="DH26" i="4"/>
  <c r="DD26" i="4"/>
  <c r="CZ26" i="4" a="1"/>
  <c r="CZ26" i="4" s="1"/>
  <c r="CX26" i="4" a="1"/>
  <c r="CX26" i="4" s="1"/>
  <c r="BY26" i="4"/>
  <c r="BX26" i="4"/>
  <c r="BW26" i="4"/>
  <c r="BV26" i="4"/>
  <c r="BU26" i="4"/>
  <c r="BT26" i="4"/>
  <c r="BR26" i="4"/>
  <c r="BQ26" i="4"/>
  <c r="BP26" i="4"/>
  <c r="BO26" i="4"/>
  <c r="BN26" i="4"/>
  <c r="BM26" i="4"/>
  <c r="BL26" i="4"/>
  <c r="BK26" i="4"/>
  <c r="BJ26" i="4"/>
  <c r="BI26" i="4"/>
  <c r="BH26" i="4"/>
  <c r="BG26" i="4"/>
  <c r="BF26" i="4"/>
  <c r="BE26" i="4"/>
  <c r="BD26" i="4"/>
  <c r="BC26" i="4"/>
  <c r="BB26" i="4"/>
  <c r="BA26" i="4"/>
  <c r="AZ26" i="4"/>
  <c r="AY26" i="4"/>
  <c r="AV26" i="4"/>
  <c r="AU26" i="4"/>
  <c r="AN26" i="4"/>
  <c r="R26" i="4"/>
  <c r="Q26" i="4"/>
  <c r="P26" i="4"/>
  <c r="O26" i="4"/>
  <c r="N26" i="4"/>
  <c r="M26" i="4"/>
  <c r="L26" i="4"/>
  <c r="K26" i="4"/>
  <c r="J26" i="4"/>
  <c r="I26" i="4"/>
  <c r="H26" i="4"/>
  <c r="G26" i="4"/>
  <c r="E26" i="4"/>
  <c r="FZ25" i="4"/>
  <c r="FY25" i="4"/>
  <c r="FX25" i="4"/>
  <c r="FF25" i="4"/>
  <c r="FD25" i="4"/>
  <c r="FB25" i="4"/>
  <c r="EY25" i="4"/>
  <c r="ET25" i="4"/>
  <c r="EO25" i="4"/>
  <c r="EJ25" i="4"/>
  <c r="DY25" i="4"/>
  <c r="DT25" i="4"/>
  <c r="DR25" i="4"/>
  <c r="DQ25" i="4"/>
  <c r="DJ25" i="4"/>
  <c r="DH25" i="4"/>
  <c r="DD25" i="4"/>
  <c r="CZ25" i="4" a="1"/>
  <c r="CZ25" i="4" s="1"/>
  <c r="CX25" i="4" a="1"/>
  <c r="CX25" i="4" s="1"/>
  <c r="BY25" i="4"/>
  <c r="BX25" i="4"/>
  <c r="BW25" i="4"/>
  <c r="BV25" i="4"/>
  <c r="BU25" i="4"/>
  <c r="BT25" i="4"/>
  <c r="BR25" i="4"/>
  <c r="BQ25" i="4"/>
  <c r="BP25" i="4"/>
  <c r="BO25" i="4"/>
  <c r="BN25" i="4"/>
  <c r="BM25" i="4"/>
  <c r="BL25" i="4"/>
  <c r="BK25" i="4"/>
  <c r="BJ25" i="4"/>
  <c r="BI25" i="4"/>
  <c r="BH25" i="4"/>
  <c r="BG25" i="4"/>
  <c r="BF25" i="4"/>
  <c r="BE25" i="4"/>
  <c r="BD25" i="4"/>
  <c r="BC25" i="4"/>
  <c r="BB25" i="4"/>
  <c r="BA25" i="4"/>
  <c r="AZ25" i="4"/>
  <c r="AY25" i="4"/>
  <c r="AV25" i="4"/>
  <c r="AU25" i="4"/>
  <c r="AN25" i="4"/>
  <c r="R25" i="4"/>
  <c r="Q25" i="4"/>
  <c r="P25" i="4"/>
  <c r="O25" i="4"/>
  <c r="N25" i="4"/>
  <c r="M25" i="4"/>
  <c r="L25" i="4"/>
  <c r="K25" i="4"/>
  <c r="J25" i="4"/>
  <c r="I25" i="4"/>
  <c r="H25" i="4"/>
  <c r="G25" i="4"/>
  <c r="E25" i="4"/>
  <c r="FZ24" i="4"/>
  <c r="FY24" i="4"/>
  <c r="FX24" i="4"/>
  <c r="FF24" i="4"/>
  <c r="FD24" i="4"/>
  <c r="FB24" i="4"/>
  <c r="EY24" i="4"/>
  <c r="ET24" i="4"/>
  <c r="EO24" i="4"/>
  <c r="EJ24" i="4"/>
  <c r="DY24" i="4"/>
  <c r="DT24" i="4"/>
  <c r="DR24" i="4"/>
  <c r="DQ24" i="4"/>
  <c r="DJ24" i="4"/>
  <c r="DH24" i="4"/>
  <c r="DD24" i="4"/>
  <c r="CZ24" i="4" a="1"/>
  <c r="CZ24" i="4" s="1"/>
  <c r="CX24" i="4" a="1"/>
  <c r="CX24" i="4" s="1"/>
  <c r="BY24" i="4"/>
  <c r="BX24" i="4"/>
  <c r="BW24" i="4"/>
  <c r="BV24" i="4"/>
  <c r="BU24" i="4"/>
  <c r="BT24" i="4"/>
  <c r="BR24" i="4"/>
  <c r="BQ24" i="4"/>
  <c r="BP24" i="4"/>
  <c r="BO24" i="4"/>
  <c r="BN24" i="4"/>
  <c r="BM24" i="4"/>
  <c r="BL24" i="4"/>
  <c r="BK24" i="4"/>
  <c r="BJ24" i="4"/>
  <c r="BI24" i="4"/>
  <c r="BH24" i="4"/>
  <c r="BG24" i="4"/>
  <c r="BF24" i="4"/>
  <c r="BE24" i="4"/>
  <c r="BD24" i="4"/>
  <c r="BC24" i="4"/>
  <c r="BB24" i="4"/>
  <c r="BA24" i="4"/>
  <c r="AZ24" i="4"/>
  <c r="AY24" i="4"/>
  <c r="AV24" i="4"/>
  <c r="AU24" i="4"/>
  <c r="AN24" i="4"/>
  <c r="R24" i="4"/>
  <c r="Q24" i="4"/>
  <c r="P24" i="4"/>
  <c r="O24" i="4"/>
  <c r="N24" i="4"/>
  <c r="M24" i="4"/>
  <c r="L24" i="4"/>
  <c r="K24" i="4"/>
  <c r="J24" i="4"/>
  <c r="I24" i="4"/>
  <c r="H24" i="4"/>
  <c r="G24" i="4"/>
  <c r="E24" i="4"/>
  <c r="FZ23" i="4"/>
  <c r="FY23" i="4"/>
  <c r="FX23" i="4"/>
  <c r="FF23" i="4"/>
  <c r="FD23" i="4"/>
  <c r="FB23" i="4"/>
  <c r="EY23" i="4"/>
  <c r="ET23" i="4"/>
  <c r="EO23" i="4"/>
  <c r="EJ23" i="4"/>
  <c r="DY23" i="4"/>
  <c r="DT23" i="4"/>
  <c r="DR23" i="4"/>
  <c r="DQ23" i="4"/>
  <c r="DJ23" i="4"/>
  <c r="DH23" i="4"/>
  <c r="DD23" i="4"/>
  <c r="CZ23" i="4" a="1"/>
  <c r="CZ23" i="4" s="1"/>
  <c r="CX23" i="4" a="1"/>
  <c r="CX23" i="4" s="1"/>
  <c r="BY23" i="4"/>
  <c r="BX23" i="4"/>
  <c r="BW23" i="4"/>
  <c r="BV23" i="4"/>
  <c r="BU23" i="4"/>
  <c r="BT23" i="4"/>
  <c r="BR23" i="4"/>
  <c r="BQ23" i="4"/>
  <c r="BP23" i="4"/>
  <c r="BO23" i="4"/>
  <c r="BN23" i="4"/>
  <c r="BM23" i="4"/>
  <c r="BL23" i="4"/>
  <c r="BK23" i="4"/>
  <c r="BJ23" i="4"/>
  <c r="BI23" i="4"/>
  <c r="BH23" i="4"/>
  <c r="BG23" i="4"/>
  <c r="BF23" i="4"/>
  <c r="BE23" i="4"/>
  <c r="BD23" i="4"/>
  <c r="BC23" i="4"/>
  <c r="BB23" i="4"/>
  <c r="BA23" i="4"/>
  <c r="AZ23" i="4"/>
  <c r="AY23" i="4"/>
  <c r="AV23" i="4"/>
  <c r="AU23" i="4"/>
  <c r="AN23" i="4"/>
  <c r="R23" i="4"/>
  <c r="Q23" i="4"/>
  <c r="P23" i="4"/>
  <c r="O23" i="4"/>
  <c r="N23" i="4"/>
  <c r="M23" i="4"/>
  <c r="L23" i="4"/>
  <c r="K23" i="4"/>
  <c r="J23" i="4"/>
  <c r="I23" i="4"/>
  <c r="H23" i="4"/>
  <c r="G23" i="4"/>
  <c r="E23" i="4"/>
  <c r="FZ22" i="4"/>
  <c r="FY22" i="4"/>
  <c r="FX22" i="4"/>
  <c r="FF22" i="4"/>
  <c r="FD22" i="4"/>
  <c r="FB22" i="4"/>
  <c r="EY22" i="4"/>
  <c r="ET22" i="4"/>
  <c r="EO22" i="4"/>
  <c r="EJ22" i="4"/>
  <c r="DY22" i="4"/>
  <c r="DT22" i="4"/>
  <c r="DR22" i="4"/>
  <c r="DQ22" i="4"/>
  <c r="DJ22" i="4"/>
  <c r="DH22" i="4"/>
  <c r="DD22" i="4"/>
  <c r="CZ22" i="4" a="1"/>
  <c r="CZ22" i="4" s="1"/>
  <c r="CX22" i="4" a="1"/>
  <c r="CX22" i="4" s="1"/>
  <c r="BY22" i="4"/>
  <c r="BX22" i="4"/>
  <c r="BW22" i="4"/>
  <c r="BV22" i="4"/>
  <c r="BU22" i="4"/>
  <c r="BT22" i="4"/>
  <c r="BR22" i="4"/>
  <c r="BQ22" i="4"/>
  <c r="BP22" i="4"/>
  <c r="BO22" i="4"/>
  <c r="BN22" i="4"/>
  <c r="BM22" i="4"/>
  <c r="BL22" i="4"/>
  <c r="BK22" i="4"/>
  <c r="BJ22" i="4"/>
  <c r="BI22" i="4"/>
  <c r="BH22" i="4"/>
  <c r="BG22" i="4"/>
  <c r="BF22" i="4"/>
  <c r="BE22" i="4"/>
  <c r="BD22" i="4"/>
  <c r="BC22" i="4"/>
  <c r="BB22" i="4"/>
  <c r="BA22" i="4"/>
  <c r="AZ22" i="4"/>
  <c r="AY22" i="4"/>
  <c r="AV22" i="4"/>
  <c r="AU22" i="4"/>
  <c r="AN22" i="4"/>
  <c r="R22" i="4"/>
  <c r="Q22" i="4"/>
  <c r="P22" i="4"/>
  <c r="O22" i="4"/>
  <c r="N22" i="4"/>
  <c r="M22" i="4"/>
  <c r="L22" i="4"/>
  <c r="K22" i="4"/>
  <c r="J22" i="4"/>
  <c r="I22" i="4"/>
  <c r="H22" i="4"/>
  <c r="G22" i="4"/>
  <c r="E22" i="4"/>
  <c r="FZ21" i="4"/>
  <c r="FY21" i="4"/>
  <c r="FX21" i="4"/>
  <c r="FF21" i="4"/>
  <c r="FD21" i="4"/>
  <c r="FB21" i="4"/>
  <c r="EY21" i="4"/>
  <c r="ET21" i="4"/>
  <c r="EO21" i="4"/>
  <c r="EJ21" i="4"/>
  <c r="DY21" i="4"/>
  <c r="DT21" i="4"/>
  <c r="DR21" i="4"/>
  <c r="DQ21" i="4"/>
  <c r="DJ21" i="4"/>
  <c r="DH21" i="4"/>
  <c r="DD21" i="4"/>
  <c r="CZ21" i="4" a="1"/>
  <c r="CZ21" i="4" s="1"/>
  <c r="CX21" i="4" a="1"/>
  <c r="CX21" i="4" s="1"/>
  <c r="BY21" i="4"/>
  <c r="BX21" i="4"/>
  <c r="BW21" i="4"/>
  <c r="BV21" i="4"/>
  <c r="BU21" i="4"/>
  <c r="BT21" i="4"/>
  <c r="BR21" i="4"/>
  <c r="BQ21" i="4"/>
  <c r="BP21" i="4"/>
  <c r="BO21" i="4"/>
  <c r="BN21" i="4"/>
  <c r="BM21" i="4"/>
  <c r="BL21" i="4"/>
  <c r="BK21" i="4"/>
  <c r="BJ21" i="4"/>
  <c r="BI21" i="4"/>
  <c r="BH21" i="4"/>
  <c r="BG21" i="4"/>
  <c r="BF21" i="4"/>
  <c r="BE21" i="4"/>
  <c r="BD21" i="4"/>
  <c r="BC21" i="4"/>
  <c r="BB21" i="4"/>
  <c r="BA21" i="4"/>
  <c r="AZ21" i="4"/>
  <c r="AY21" i="4"/>
  <c r="AV21" i="4"/>
  <c r="AU21" i="4"/>
  <c r="AN21" i="4"/>
  <c r="R21" i="4"/>
  <c r="Q21" i="4"/>
  <c r="P21" i="4"/>
  <c r="O21" i="4"/>
  <c r="N21" i="4"/>
  <c r="M21" i="4"/>
  <c r="L21" i="4"/>
  <c r="K21" i="4"/>
  <c r="J21" i="4"/>
  <c r="I21" i="4"/>
  <c r="H21" i="4"/>
  <c r="G21" i="4"/>
  <c r="E21" i="4"/>
  <c r="G20" i="4"/>
  <c r="G19" i="4"/>
  <c r="G18" i="4"/>
  <c r="G17" i="4"/>
  <c r="G16" i="4"/>
  <c r="G15" i="4"/>
  <c r="G14" i="4"/>
  <c r="G13" i="4"/>
  <c r="G12" i="4"/>
  <c r="G11" i="4"/>
  <c r="G10" i="4"/>
  <c r="G9" i="4"/>
  <c r="G8" i="4"/>
  <c r="DK28" i="4" l="1" a="1"/>
  <c r="DK28" i="4" s="1"/>
  <c r="DU25" i="4" a="1"/>
  <c r="DU25" i="4" s="1"/>
  <c r="DS28" i="4" a="1"/>
  <c r="DS28" i="4" s="1"/>
  <c r="DK25" i="4" a="1"/>
  <c r="DK25" i="4" s="1"/>
  <c r="DL25" i="4" s="1"/>
  <c r="DN25" i="4" s="1"/>
  <c r="DK21" i="4" a="1"/>
  <c r="DK21" i="4" s="1"/>
  <c r="DL21" i="4" s="1"/>
  <c r="DN21" i="4" s="1"/>
  <c r="DS25" i="4" a="1"/>
  <c r="DS25" i="4" s="1"/>
  <c r="DV25" i="4" s="1" a="1"/>
  <c r="DV25" i="4" s="1"/>
  <c r="DX25" i="4" s="1"/>
  <c r="DU24" i="4" a="1"/>
  <c r="DU24" i="4" s="1"/>
  <c r="DU23" i="4" a="1"/>
  <c r="DU23" i="4" s="1"/>
  <c r="DU21" i="4" a="1"/>
  <c r="DU21" i="4" s="1"/>
  <c r="DK22" i="4" a="1"/>
  <c r="DK22" i="4" s="1"/>
  <c r="DM22" i="4" s="1"/>
  <c r="DU27" i="4" a="1"/>
  <c r="DU27" i="4" s="1"/>
  <c r="DK23" i="4" a="1"/>
  <c r="DK23" i="4" s="1"/>
  <c r="DM23" i="4" s="1"/>
  <c r="DS24" i="4" a="1"/>
  <c r="DS24" i="4" s="1"/>
  <c r="DS27" i="4" a="1"/>
  <c r="DS27" i="4" s="1"/>
  <c r="DS23" i="4" a="1"/>
  <c r="DS23" i="4" s="1"/>
  <c r="DV23" i="4" s="1" a="1"/>
  <c r="DV23" i="4" s="1"/>
  <c r="DX23" i="4" s="1"/>
  <c r="DK26" i="4" a="1"/>
  <c r="DK26" i="4" s="1"/>
  <c r="DM26" i="4" s="1"/>
  <c r="DS21" i="4" a="1"/>
  <c r="DS21" i="4" s="1"/>
  <c r="DS22" i="4" a="1"/>
  <c r="DS22" i="4" s="1"/>
  <c r="DA24" i="4" a="1"/>
  <c r="DA24" i="4" s="1"/>
  <c r="DC24" i="4" s="1"/>
  <c r="DK24" i="4" a="1"/>
  <c r="DK24" i="4" s="1"/>
  <c r="DM24" i="4" s="1"/>
  <c r="DS26" i="4" a="1"/>
  <c r="DS26" i="4" s="1"/>
  <c r="DA28" i="4" a="1"/>
  <c r="DA28" i="4" s="1"/>
  <c r="DC28" i="4" s="1"/>
  <c r="DA22" i="4" a="1"/>
  <c r="DA22" i="4" s="1"/>
  <c r="DC22" i="4" s="1"/>
  <c r="DA26" i="4" a="1"/>
  <c r="DA26" i="4" s="1"/>
  <c r="DC26" i="4" s="1"/>
  <c r="DU22" i="4" a="1"/>
  <c r="DU22" i="4" s="1"/>
  <c r="DU26" i="4" a="1"/>
  <c r="DU26" i="4" s="1"/>
  <c r="DM21" i="4"/>
  <c r="DM25" i="4"/>
  <c r="DM27" i="4"/>
  <c r="DL27" i="4"/>
  <c r="DN27" i="4" s="1"/>
  <c r="DM28" i="4"/>
  <c r="DL28" i="4"/>
  <c r="DN28" i="4" s="1"/>
  <c r="DA21" i="4" a="1"/>
  <c r="DA21" i="4" s="1"/>
  <c r="DC21" i="4" s="1"/>
  <c r="DA23" i="4" a="1"/>
  <c r="DA23" i="4" s="1"/>
  <c r="DC23" i="4" s="1"/>
  <c r="DA25" i="4" a="1"/>
  <c r="DA25" i="4" s="1"/>
  <c r="DC25" i="4" s="1"/>
  <c r="DA27" i="4" a="1"/>
  <c r="DA27" i="4" s="1"/>
  <c r="DC27" i="4" s="1"/>
  <c r="DU28" i="4" a="1"/>
  <c r="DU28" i="4" s="1"/>
  <c r="DV28" i="4" s="1" a="1"/>
  <c r="DV28" i="4" s="1"/>
  <c r="DX28" i="4" s="1"/>
  <c r="FZ20" i="4"/>
  <c r="FY20" i="4"/>
  <c r="FX20" i="4"/>
  <c r="FF20" i="4"/>
  <c r="FD20" i="4"/>
  <c r="FB20" i="4"/>
  <c r="EY20" i="4"/>
  <c r="ET20" i="4"/>
  <c r="EO20" i="4"/>
  <c r="EJ20" i="4"/>
  <c r="DY20" i="4"/>
  <c r="DT20" i="4"/>
  <c r="DR20" i="4"/>
  <c r="DQ20" i="4"/>
  <c r="DJ20" i="4"/>
  <c r="DH20" i="4"/>
  <c r="DD20" i="4"/>
  <c r="CZ20" i="4" a="1"/>
  <c r="CZ20" i="4" s="1"/>
  <c r="CX20" i="4" a="1"/>
  <c r="CX20" i="4" s="1"/>
  <c r="BY20" i="4"/>
  <c r="BX20" i="4"/>
  <c r="BW20" i="4"/>
  <c r="BV20" i="4"/>
  <c r="BU20" i="4"/>
  <c r="BT20" i="4"/>
  <c r="BR20" i="4"/>
  <c r="BQ20" i="4"/>
  <c r="BP20" i="4"/>
  <c r="BO20" i="4"/>
  <c r="BN20" i="4"/>
  <c r="BM20" i="4"/>
  <c r="BL20" i="4"/>
  <c r="BK20" i="4"/>
  <c r="BJ20" i="4"/>
  <c r="BI20" i="4"/>
  <c r="BH20" i="4"/>
  <c r="BG20" i="4"/>
  <c r="BF20" i="4"/>
  <c r="BE20" i="4"/>
  <c r="BD20" i="4"/>
  <c r="BC20" i="4"/>
  <c r="BB20" i="4"/>
  <c r="BA20" i="4"/>
  <c r="AZ20" i="4"/>
  <c r="AY20" i="4"/>
  <c r="AV20" i="4"/>
  <c r="AU20" i="4"/>
  <c r="AN20" i="4"/>
  <c r="R20" i="4"/>
  <c r="Q20" i="4"/>
  <c r="P20" i="4"/>
  <c r="O20" i="4"/>
  <c r="N20" i="4"/>
  <c r="M20" i="4"/>
  <c r="L20" i="4"/>
  <c r="K20" i="4"/>
  <c r="J20" i="4"/>
  <c r="I20" i="4"/>
  <c r="H20" i="4"/>
  <c r="E20" i="4"/>
  <c r="FZ19" i="4"/>
  <c r="FY19" i="4"/>
  <c r="FX19" i="4"/>
  <c r="FF19" i="4"/>
  <c r="FD19" i="4"/>
  <c r="FB19" i="4"/>
  <c r="EY19" i="4"/>
  <c r="ET19" i="4"/>
  <c r="EO19" i="4"/>
  <c r="EJ19" i="4"/>
  <c r="DY19" i="4"/>
  <c r="DT19" i="4"/>
  <c r="DR19" i="4"/>
  <c r="DQ19" i="4"/>
  <c r="DJ19" i="4"/>
  <c r="DH19" i="4"/>
  <c r="DD19" i="4"/>
  <c r="CZ19" i="4" a="1"/>
  <c r="CZ19" i="4" s="1"/>
  <c r="CX19" i="4" a="1"/>
  <c r="CX19" i="4" s="1"/>
  <c r="BY19" i="4"/>
  <c r="BX19" i="4"/>
  <c r="BW19" i="4"/>
  <c r="BV19" i="4"/>
  <c r="BU19" i="4"/>
  <c r="BT19" i="4"/>
  <c r="BR19" i="4"/>
  <c r="BQ19" i="4"/>
  <c r="BP19" i="4"/>
  <c r="BO19" i="4"/>
  <c r="BN19" i="4"/>
  <c r="BM19" i="4"/>
  <c r="BL19" i="4"/>
  <c r="BK19" i="4"/>
  <c r="BJ19" i="4"/>
  <c r="BI19" i="4"/>
  <c r="BH19" i="4"/>
  <c r="BG19" i="4"/>
  <c r="BF19" i="4"/>
  <c r="BE19" i="4"/>
  <c r="BD19" i="4"/>
  <c r="BC19" i="4"/>
  <c r="BB19" i="4"/>
  <c r="BA19" i="4"/>
  <c r="AZ19" i="4"/>
  <c r="AY19" i="4"/>
  <c r="AV19" i="4"/>
  <c r="AU19" i="4"/>
  <c r="AN19" i="4"/>
  <c r="R19" i="4"/>
  <c r="Q19" i="4"/>
  <c r="P19" i="4"/>
  <c r="O19" i="4"/>
  <c r="N19" i="4"/>
  <c r="M19" i="4"/>
  <c r="L19" i="4"/>
  <c r="K19" i="4"/>
  <c r="J19" i="4"/>
  <c r="I19" i="4"/>
  <c r="H19" i="4"/>
  <c r="E19" i="4"/>
  <c r="FZ18" i="4"/>
  <c r="FY18" i="4"/>
  <c r="FX18" i="4"/>
  <c r="FF18" i="4"/>
  <c r="FD18" i="4"/>
  <c r="FB18" i="4"/>
  <c r="EY18" i="4"/>
  <c r="ET18" i="4"/>
  <c r="EO18" i="4"/>
  <c r="EJ18" i="4"/>
  <c r="DY18" i="4"/>
  <c r="DT18" i="4"/>
  <c r="DR18" i="4"/>
  <c r="DQ18" i="4"/>
  <c r="DJ18" i="4"/>
  <c r="DH18" i="4"/>
  <c r="DD18" i="4"/>
  <c r="CZ18" i="4" a="1"/>
  <c r="CZ18" i="4" s="1"/>
  <c r="CX18" i="4" a="1"/>
  <c r="CX18" i="4" s="1"/>
  <c r="BY18" i="4"/>
  <c r="BX18" i="4"/>
  <c r="BW18" i="4"/>
  <c r="BV18" i="4"/>
  <c r="BU18" i="4"/>
  <c r="BT18" i="4"/>
  <c r="BR18" i="4"/>
  <c r="BQ18" i="4"/>
  <c r="BP18" i="4"/>
  <c r="BO18" i="4"/>
  <c r="BN18" i="4"/>
  <c r="BM18" i="4"/>
  <c r="BL18" i="4"/>
  <c r="BK18" i="4"/>
  <c r="BJ18" i="4"/>
  <c r="BI18" i="4"/>
  <c r="BH18" i="4"/>
  <c r="BG18" i="4"/>
  <c r="BF18" i="4"/>
  <c r="BE18" i="4"/>
  <c r="BD18" i="4"/>
  <c r="BC18" i="4"/>
  <c r="BB18" i="4"/>
  <c r="BA18" i="4"/>
  <c r="AZ18" i="4"/>
  <c r="AY18" i="4"/>
  <c r="AV18" i="4"/>
  <c r="AU18" i="4"/>
  <c r="AN18" i="4"/>
  <c r="R18" i="4"/>
  <c r="Q18" i="4"/>
  <c r="P18" i="4"/>
  <c r="O18" i="4"/>
  <c r="N18" i="4"/>
  <c r="M18" i="4"/>
  <c r="L18" i="4"/>
  <c r="K18" i="4"/>
  <c r="J18" i="4"/>
  <c r="I18" i="4"/>
  <c r="H18" i="4"/>
  <c r="E18" i="4"/>
  <c r="FZ17" i="4"/>
  <c r="FY17" i="4"/>
  <c r="FX17" i="4"/>
  <c r="FF17" i="4"/>
  <c r="FD17" i="4"/>
  <c r="FB17" i="4"/>
  <c r="EY17" i="4"/>
  <c r="ET17" i="4"/>
  <c r="EO17" i="4"/>
  <c r="EJ17" i="4"/>
  <c r="DY17" i="4"/>
  <c r="DT17" i="4"/>
  <c r="DR17" i="4"/>
  <c r="DQ17" i="4"/>
  <c r="DJ17" i="4"/>
  <c r="DH17" i="4"/>
  <c r="DD17" i="4"/>
  <c r="CZ17" i="4" a="1"/>
  <c r="CZ17" i="4" s="1"/>
  <c r="CX17" i="4" a="1"/>
  <c r="CX17" i="4" s="1"/>
  <c r="BY17" i="4"/>
  <c r="BX17" i="4"/>
  <c r="BW17" i="4"/>
  <c r="BV17" i="4"/>
  <c r="BU17" i="4"/>
  <c r="BT17" i="4"/>
  <c r="BR17" i="4"/>
  <c r="BQ17" i="4"/>
  <c r="BP17" i="4"/>
  <c r="BO17" i="4"/>
  <c r="BN17" i="4"/>
  <c r="BM17" i="4"/>
  <c r="BL17" i="4"/>
  <c r="BK17" i="4"/>
  <c r="BJ17" i="4"/>
  <c r="BI17" i="4"/>
  <c r="BH17" i="4"/>
  <c r="BG17" i="4"/>
  <c r="BF17" i="4"/>
  <c r="BE17" i="4"/>
  <c r="BD17" i="4"/>
  <c r="BC17" i="4"/>
  <c r="BB17" i="4"/>
  <c r="BA17" i="4"/>
  <c r="AZ17" i="4"/>
  <c r="AY17" i="4"/>
  <c r="AV17" i="4"/>
  <c r="AU17" i="4"/>
  <c r="AN17" i="4"/>
  <c r="R17" i="4"/>
  <c r="Q17" i="4"/>
  <c r="P17" i="4"/>
  <c r="O17" i="4"/>
  <c r="N17" i="4"/>
  <c r="M17" i="4"/>
  <c r="L17" i="4"/>
  <c r="K17" i="4"/>
  <c r="J17" i="4"/>
  <c r="I17" i="4"/>
  <c r="H17" i="4"/>
  <c r="E17" i="4"/>
  <c r="FZ16" i="4"/>
  <c r="FY16" i="4"/>
  <c r="FX16" i="4"/>
  <c r="FF16" i="4"/>
  <c r="FD16" i="4"/>
  <c r="FB16" i="4"/>
  <c r="EY16" i="4"/>
  <c r="ET16" i="4"/>
  <c r="EO16" i="4"/>
  <c r="EJ16" i="4"/>
  <c r="DY16" i="4"/>
  <c r="DT16" i="4"/>
  <c r="DR16" i="4"/>
  <c r="DQ16" i="4"/>
  <c r="DJ16" i="4"/>
  <c r="DH16" i="4"/>
  <c r="DD16" i="4"/>
  <c r="CZ16" i="4" a="1"/>
  <c r="CZ16" i="4" s="1"/>
  <c r="CX16" i="4" a="1"/>
  <c r="CX16" i="4" s="1"/>
  <c r="BY16" i="4"/>
  <c r="BX16" i="4"/>
  <c r="BW16" i="4"/>
  <c r="BV16" i="4"/>
  <c r="BU16" i="4"/>
  <c r="BT16" i="4"/>
  <c r="BR16" i="4"/>
  <c r="BQ16" i="4"/>
  <c r="BP16" i="4"/>
  <c r="BO16" i="4"/>
  <c r="BN16" i="4"/>
  <c r="BM16" i="4"/>
  <c r="BL16" i="4"/>
  <c r="BK16" i="4"/>
  <c r="BJ16" i="4"/>
  <c r="BI16" i="4"/>
  <c r="BH16" i="4"/>
  <c r="BG16" i="4"/>
  <c r="BF16" i="4"/>
  <c r="BE16" i="4"/>
  <c r="BD16" i="4"/>
  <c r="BC16" i="4"/>
  <c r="BB16" i="4"/>
  <c r="BA16" i="4"/>
  <c r="AZ16" i="4"/>
  <c r="AY16" i="4"/>
  <c r="AV16" i="4"/>
  <c r="AU16" i="4"/>
  <c r="AN16" i="4"/>
  <c r="R16" i="4"/>
  <c r="Q16" i="4"/>
  <c r="P16" i="4"/>
  <c r="O16" i="4"/>
  <c r="N16" i="4"/>
  <c r="M16" i="4"/>
  <c r="L16" i="4"/>
  <c r="K16" i="4"/>
  <c r="J16" i="4"/>
  <c r="I16" i="4"/>
  <c r="H16" i="4"/>
  <c r="E16" i="4"/>
  <c r="FZ15" i="4"/>
  <c r="FY15" i="4"/>
  <c r="FX15" i="4"/>
  <c r="FF15" i="4"/>
  <c r="FD15" i="4"/>
  <c r="FB15" i="4"/>
  <c r="EY15" i="4"/>
  <c r="ET15" i="4"/>
  <c r="EO15" i="4"/>
  <c r="EJ15" i="4"/>
  <c r="DY15" i="4"/>
  <c r="DT15" i="4"/>
  <c r="DR15" i="4"/>
  <c r="DQ15" i="4"/>
  <c r="DJ15" i="4"/>
  <c r="DH15" i="4"/>
  <c r="DD15" i="4"/>
  <c r="CZ15" i="4" a="1"/>
  <c r="CZ15" i="4" s="1"/>
  <c r="CX15" i="4" a="1"/>
  <c r="CX15" i="4" s="1"/>
  <c r="BY15" i="4"/>
  <c r="BX15" i="4"/>
  <c r="BW15" i="4"/>
  <c r="BV15" i="4"/>
  <c r="BU15" i="4"/>
  <c r="BT15" i="4"/>
  <c r="BR15" i="4"/>
  <c r="BQ15" i="4"/>
  <c r="BP15" i="4"/>
  <c r="BO15" i="4"/>
  <c r="BN15" i="4"/>
  <c r="BM15" i="4"/>
  <c r="BL15" i="4"/>
  <c r="BK15" i="4"/>
  <c r="BJ15" i="4"/>
  <c r="BI15" i="4"/>
  <c r="BH15" i="4"/>
  <c r="BG15" i="4"/>
  <c r="BF15" i="4"/>
  <c r="BE15" i="4"/>
  <c r="BD15" i="4"/>
  <c r="BC15" i="4"/>
  <c r="BB15" i="4"/>
  <c r="BA15" i="4"/>
  <c r="AZ15" i="4"/>
  <c r="AY15" i="4"/>
  <c r="AV15" i="4"/>
  <c r="AU15" i="4"/>
  <c r="AN15" i="4"/>
  <c r="R15" i="4"/>
  <c r="Q15" i="4"/>
  <c r="P15" i="4"/>
  <c r="O15" i="4"/>
  <c r="N15" i="4"/>
  <c r="M15" i="4"/>
  <c r="L15" i="4"/>
  <c r="K15" i="4"/>
  <c r="J15" i="4"/>
  <c r="I15" i="4"/>
  <c r="H15" i="4"/>
  <c r="E15" i="4"/>
  <c r="FZ14" i="4"/>
  <c r="FY14" i="4"/>
  <c r="FX14" i="4"/>
  <c r="FF14" i="4"/>
  <c r="FD14" i="4"/>
  <c r="FB14" i="4"/>
  <c r="EY14" i="4"/>
  <c r="ET14" i="4"/>
  <c r="EO14" i="4"/>
  <c r="EJ14" i="4"/>
  <c r="DY14" i="4"/>
  <c r="DT14" i="4"/>
  <c r="DR14" i="4"/>
  <c r="DQ14" i="4"/>
  <c r="DJ14" i="4"/>
  <c r="DH14" i="4"/>
  <c r="DD14" i="4"/>
  <c r="CZ14" i="4" a="1"/>
  <c r="CZ14" i="4" s="1"/>
  <c r="CX14" i="4" a="1"/>
  <c r="CX14" i="4" s="1"/>
  <c r="BY14" i="4"/>
  <c r="BX14" i="4"/>
  <c r="BW14" i="4"/>
  <c r="BV14" i="4"/>
  <c r="BU14" i="4"/>
  <c r="BT14" i="4"/>
  <c r="BR14" i="4"/>
  <c r="BQ14" i="4"/>
  <c r="BP14" i="4"/>
  <c r="BO14" i="4"/>
  <c r="BN14" i="4"/>
  <c r="BM14" i="4"/>
  <c r="BL14" i="4"/>
  <c r="BK14" i="4"/>
  <c r="BJ14" i="4"/>
  <c r="BI14" i="4"/>
  <c r="BH14" i="4"/>
  <c r="BG14" i="4"/>
  <c r="BF14" i="4"/>
  <c r="BE14" i="4"/>
  <c r="BD14" i="4"/>
  <c r="BC14" i="4"/>
  <c r="BB14" i="4"/>
  <c r="BA14" i="4"/>
  <c r="AZ14" i="4"/>
  <c r="AY14" i="4"/>
  <c r="AV14" i="4"/>
  <c r="AU14" i="4"/>
  <c r="AN14" i="4"/>
  <c r="R14" i="4"/>
  <c r="Q14" i="4"/>
  <c r="P14" i="4"/>
  <c r="O14" i="4"/>
  <c r="N14" i="4"/>
  <c r="M14" i="4"/>
  <c r="L14" i="4"/>
  <c r="K14" i="4"/>
  <c r="J14" i="4"/>
  <c r="I14" i="4"/>
  <c r="H14" i="4"/>
  <c r="E14" i="4"/>
  <c r="FZ13" i="4"/>
  <c r="FY13" i="4"/>
  <c r="FX13" i="4"/>
  <c r="FF13" i="4"/>
  <c r="FD13" i="4"/>
  <c r="FB13" i="4"/>
  <c r="EY13" i="4"/>
  <c r="ET13" i="4"/>
  <c r="EO13" i="4"/>
  <c r="EJ13" i="4"/>
  <c r="DY13" i="4"/>
  <c r="DT13" i="4"/>
  <c r="DR13" i="4"/>
  <c r="DQ13" i="4"/>
  <c r="DJ13" i="4"/>
  <c r="DH13" i="4"/>
  <c r="DD13" i="4"/>
  <c r="CZ13" i="4" a="1"/>
  <c r="CZ13" i="4" s="1"/>
  <c r="CX13" i="4" a="1"/>
  <c r="CX13" i="4" s="1"/>
  <c r="BY13" i="4"/>
  <c r="BX13" i="4"/>
  <c r="BW13" i="4"/>
  <c r="BV13" i="4"/>
  <c r="BU13" i="4"/>
  <c r="BT13" i="4"/>
  <c r="BR13" i="4"/>
  <c r="BQ13" i="4"/>
  <c r="BP13" i="4"/>
  <c r="BO13" i="4"/>
  <c r="BN13" i="4"/>
  <c r="BM13" i="4"/>
  <c r="BL13" i="4"/>
  <c r="BK13" i="4"/>
  <c r="BJ13" i="4"/>
  <c r="BI13" i="4"/>
  <c r="BH13" i="4"/>
  <c r="BG13" i="4"/>
  <c r="BF13" i="4"/>
  <c r="BE13" i="4"/>
  <c r="BD13" i="4"/>
  <c r="BC13" i="4"/>
  <c r="BB13" i="4"/>
  <c r="BA13" i="4"/>
  <c r="AZ13" i="4"/>
  <c r="AY13" i="4"/>
  <c r="AV13" i="4"/>
  <c r="AU13" i="4"/>
  <c r="AN13" i="4"/>
  <c r="R13" i="4"/>
  <c r="Q13" i="4"/>
  <c r="P13" i="4"/>
  <c r="O13" i="4"/>
  <c r="N13" i="4"/>
  <c r="M13" i="4"/>
  <c r="L13" i="4"/>
  <c r="K13" i="4"/>
  <c r="J13" i="4"/>
  <c r="I13" i="4"/>
  <c r="H13" i="4"/>
  <c r="E13" i="4"/>
  <c r="FZ12" i="4"/>
  <c r="FY12" i="4"/>
  <c r="FX12" i="4"/>
  <c r="FF12" i="4"/>
  <c r="FD12" i="4"/>
  <c r="FB12" i="4"/>
  <c r="EY12" i="4"/>
  <c r="ET12" i="4"/>
  <c r="EO12" i="4"/>
  <c r="EJ12" i="4"/>
  <c r="DY12" i="4"/>
  <c r="DT12" i="4"/>
  <c r="DR12" i="4"/>
  <c r="DQ12" i="4"/>
  <c r="DJ12" i="4"/>
  <c r="DH12" i="4"/>
  <c r="DD12" i="4"/>
  <c r="CZ12" i="4" a="1"/>
  <c r="CZ12" i="4" s="1"/>
  <c r="CX12" i="4" a="1"/>
  <c r="CX12" i="4" s="1"/>
  <c r="BY12" i="4"/>
  <c r="BX12" i="4"/>
  <c r="BW12" i="4"/>
  <c r="BV12" i="4"/>
  <c r="BU12" i="4"/>
  <c r="BT12" i="4"/>
  <c r="BR12" i="4"/>
  <c r="BQ12" i="4"/>
  <c r="BP12" i="4"/>
  <c r="BO12" i="4"/>
  <c r="BN12" i="4"/>
  <c r="BM12" i="4"/>
  <c r="BL12" i="4"/>
  <c r="BK12" i="4"/>
  <c r="BJ12" i="4"/>
  <c r="BI12" i="4"/>
  <c r="BH12" i="4"/>
  <c r="BG12" i="4"/>
  <c r="BF12" i="4"/>
  <c r="BE12" i="4"/>
  <c r="BD12" i="4"/>
  <c r="BC12" i="4"/>
  <c r="BB12" i="4"/>
  <c r="BA12" i="4"/>
  <c r="AZ12" i="4"/>
  <c r="AY12" i="4"/>
  <c r="AV12" i="4"/>
  <c r="AU12" i="4"/>
  <c r="AN12" i="4"/>
  <c r="R12" i="4"/>
  <c r="Q12" i="4"/>
  <c r="P12" i="4"/>
  <c r="O12" i="4"/>
  <c r="N12" i="4"/>
  <c r="M12" i="4"/>
  <c r="L12" i="4"/>
  <c r="K12" i="4"/>
  <c r="J12" i="4"/>
  <c r="I12" i="4"/>
  <c r="H12" i="4"/>
  <c r="E12" i="4"/>
  <c r="FZ11" i="4"/>
  <c r="FY11" i="4"/>
  <c r="FX11" i="4"/>
  <c r="FF11" i="4"/>
  <c r="FD11" i="4"/>
  <c r="FB11" i="4"/>
  <c r="EY11" i="4"/>
  <c r="ET11" i="4"/>
  <c r="EO11" i="4"/>
  <c r="EJ11" i="4"/>
  <c r="DY11" i="4"/>
  <c r="DT11" i="4"/>
  <c r="DR11" i="4"/>
  <c r="DQ11" i="4"/>
  <c r="DJ11" i="4"/>
  <c r="DH11" i="4"/>
  <c r="DD11" i="4"/>
  <c r="CZ11" i="4" a="1"/>
  <c r="CZ11" i="4" s="1"/>
  <c r="CX11" i="4" a="1"/>
  <c r="CX11" i="4" s="1"/>
  <c r="BY11" i="4"/>
  <c r="BX11" i="4"/>
  <c r="BW11" i="4"/>
  <c r="BV11" i="4"/>
  <c r="BU11" i="4"/>
  <c r="BT11" i="4"/>
  <c r="BR11" i="4"/>
  <c r="BQ11" i="4"/>
  <c r="BP11" i="4"/>
  <c r="BO11" i="4"/>
  <c r="BN11" i="4"/>
  <c r="BM11" i="4"/>
  <c r="BL11" i="4"/>
  <c r="BK11" i="4"/>
  <c r="BJ11" i="4"/>
  <c r="BI11" i="4"/>
  <c r="BH11" i="4"/>
  <c r="BG11" i="4"/>
  <c r="BF11" i="4"/>
  <c r="BE11" i="4"/>
  <c r="BD11" i="4"/>
  <c r="BC11" i="4"/>
  <c r="BB11" i="4"/>
  <c r="BA11" i="4"/>
  <c r="AZ11" i="4"/>
  <c r="AY11" i="4"/>
  <c r="AV11" i="4"/>
  <c r="AU11" i="4"/>
  <c r="AN11" i="4"/>
  <c r="R11" i="4"/>
  <c r="Q11" i="4"/>
  <c r="P11" i="4"/>
  <c r="O11" i="4"/>
  <c r="N11" i="4"/>
  <c r="M11" i="4"/>
  <c r="L11" i="4"/>
  <c r="K11" i="4"/>
  <c r="J11" i="4"/>
  <c r="I11" i="4"/>
  <c r="H11" i="4"/>
  <c r="E11" i="4"/>
  <c r="FZ10" i="4"/>
  <c r="FY10" i="4"/>
  <c r="FX10" i="4"/>
  <c r="FF10" i="4"/>
  <c r="FD10" i="4"/>
  <c r="FB10" i="4"/>
  <c r="EY10" i="4"/>
  <c r="ET10" i="4"/>
  <c r="EO10" i="4"/>
  <c r="EJ10" i="4"/>
  <c r="DY10" i="4"/>
  <c r="DT10" i="4"/>
  <c r="DR10" i="4"/>
  <c r="DQ10" i="4"/>
  <c r="DJ10" i="4"/>
  <c r="DH10" i="4"/>
  <c r="DD10" i="4"/>
  <c r="CZ10" i="4" a="1"/>
  <c r="CZ10" i="4" s="1"/>
  <c r="CX10" i="4" a="1"/>
  <c r="CX10" i="4" s="1"/>
  <c r="BY10" i="4"/>
  <c r="BX10" i="4"/>
  <c r="BW10" i="4"/>
  <c r="BV10" i="4"/>
  <c r="BU10" i="4"/>
  <c r="BT10" i="4"/>
  <c r="BR10" i="4"/>
  <c r="BQ10" i="4"/>
  <c r="BP10" i="4"/>
  <c r="BO10" i="4"/>
  <c r="BN10" i="4"/>
  <c r="BM10" i="4"/>
  <c r="BL10" i="4"/>
  <c r="BK10" i="4"/>
  <c r="BJ10" i="4"/>
  <c r="BI10" i="4"/>
  <c r="BH10" i="4"/>
  <c r="BG10" i="4"/>
  <c r="BF10" i="4"/>
  <c r="BE10" i="4"/>
  <c r="BD10" i="4"/>
  <c r="BC10" i="4"/>
  <c r="BB10" i="4"/>
  <c r="BA10" i="4"/>
  <c r="AZ10" i="4"/>
  <c r="AY10" i="4"/>
  <c r="AV10" i="4"/>
  <c r="AU10" i="4"/>
  <c r="AN10" i="4"/>
  <c r="R10" i="4"/>
  <c r="Q10" i="4"/>
  <c r="P10" i="4"/>
  <c r="O10" i="4"/>
  <c r="N10" i="4"/>
  <c r="M10" i="4"/>
  <c r="L10" i="4"/>
  <c r="K10" i="4"/>
  <c r="J10" i="4"/>
  <c r="I10" i="4"/>
  <c r="H10" i="4"/>
  <c r="E10" i="4"/>
  <c r="FZ9" i="4"/>
  <c r="FY9" i="4"/>
  <c r="FX9" i="4"/>
  <c r="FF9" i="4"/>
  <c r="FD9" i="4"/>
  <c r="FB9" i="4"/>
  <c r="EY9" i="4"/>
  <c r="ET9" i="4"/>
  <c r="EO9" i="4"/>
  <c r="EJ9" i="4"/>
  <c r="DY9" i="4"/>
  <c r="DT9" i="4"/>
  <c r="DR9" i="4"/>
  <c r="DQ9" i="4"/>
  <c r="DJ9" i="4"/>
  <c r="DH9" i="4"/>
  <c r="DD9" i="4"/>
  <c r="CZ9" i="4" a="1"/>
  <c r="CZ9" i="4" s="1"/>
  <c r="CX9" i="4" a="1"/>
  <c r="CX9" i="4" s="1"/>
  <c r="BY9" i="4"/>
  <c r="BX9" i="4"/>
  <c r="BW9" i="4"/>
  <c r="BV9" i="4"/>
  <c r="BU9" i="4"/>
  <c r="BT9" i="4"/>
  <c r="BR9" i="4"/>
  <c r="BQ9" i="4"/>
  <c r="BP9" i="4"/>
  <c r="BO9" i="4"/>
  <c r="BN9" i="4"/>
  <c r="BM9" i="4"/>
  <c r="BL9" i="4"/>
  <c r="BK9" i="4"/>
  <c r="BJ9" i="4"/>
  <c r="BI9" i="4"/>
  <c r="BH9" i="4"/>
  <c r="BG9" i="4"/>
  <c r="BF9" i="4"/>
  <c r="BE9" i="4"/>
  <c r="BD9" i="4"/>
  <c r="BC9" i="4"/>
  <c r="BB9" i="4"/>
  <c r="BA9" i="4"/>
  <c r="AZ9" i="4"/>
  <c r="AY9" i="4"/>
  <c r="AV9" i="4"/>
  <c r="AU9" i="4"/>
  <c r="AN9" i="4"/>
  <c r="R9" i="4"/>
  <c r="Q9" i="4"/>
  <c r="P9" i="4"/>
  <c r="O9" i="4"/>
  <c r="N9" i="4"/>
  <c r="M9" i="4"/>
  <c r="L9" i="4"/>
  <c r="K9" i="4"/>
  <c r="J9" i="4"/>
  <c r="I9" i="4"/>
  <c r="H9" i="4"/>
  <c r="E9" i="4"/>
  <c r="DV21" i="4" l="1" a="1"/>
  <c r="DV21" i="4" s="1"/>
  <c r="DX21" i="4" s="1"/>
  <c r="DV27" i="4" a="1"/>
  <c r="DV27" i="4" s="1"/>
  <c r="DX27" i="4" s="1"/>
  <c r="DL22" i="4"/>
  <c r="DN22" i="4" s="1"/>
  <c r="DV24" i="4" a="1"/>
  <c r="DV24" i="4" s="1"/>
  <c r="DX24" i="4" s="1"/>
  <c r="DL26" i="4"/>
  <c r="DN26" i="4" s="1"/>
  <c r="DL24" i="4"/>
  <c r="DN24" i="4" s="1"/>
  <c r="DK12" i="4" a="1"/>
  <c r="DK12" i="4" s="1"/>
  <c r="DM12" i="4" s="1"/>
  <c r="DK14" i="4" a="1"/>
  <c r="DK14" i="4" s="1"/>
  <c r="DM14" i="4" s="1"/>
  <c r="DU14" i="4" a="1"/>
  <c r="DU14" i="4" s="1"/>
  <c r="DK18" i="4" a="1"/>
  <c r="DK18" i="4" s="1"/>
  <c r="DM18" i="4" s="1"/>
  <c r="DL23" i="4"/>
  <c r="DN23" i="4" s="1"/>
  <c r="DV26" i="4" a="1"/>
  <c r="DV26" i="4" s="1"/>
  <c r="DX26" i="4" s="1"/>
  <c r="DA20" i="4" a="1"/>
  <c r="DA20" i="4" s="1"/>
  <c r="DC20" i="4" s="1"/>
  <c r="DU9" i="4" a="1"/>
  <c r="DU9" i="4" s="1"/>
  <c r="DU12" i="4" a="1"/>
  <c r="DU12" i="4" s="1"/>
  <c r="DS16" i="4" a="1"/>
  <c r="DS16" i="4" s="1"/>
  <c r="DU19" i="4" a="1"/>
  <c r="DU19" i="4" s="1"/>
  <c r="DV22" i="4" a="1"/>
  <c r="DV22" i="4" s="1"/>
  <c r="DX22" i="4" s="1"/>
  <c r="DS15" i="4" a="1"/>
  <c r="DS15" i="4" s="1"/>
  <c r="DK9" i="4" a="1"/>
  <c r="DK9" i="4" s="1"/>
  <c r="DM9" i="4" s="1"/>
  <c r="DS10" i="4" a="1"/>
  <c r="DS10" i="4" s="1"/>
  <c r="DS11" i="4" a="1"/>
  <c r="DS11" i="4" s="1"/>
  <c r="DA15" i="4" a="1"/>
  <c r="DA15" i="4" s="1"/>
  <c r="DC15" i="4" s="1"/>
  <c r="DU16" i="4" a="1"/>
  <c r="DU16" i="4" s="1"/>
  <c r="DU11" i="4" a="1"/>
  <c r="DU11" i="4" s="1"/>
  <c r="DK16" i="4" a="1"/>
  <c r="DK16" i="4" s="1"/>
  <c r="DM16" i="4" s="1"/>
  <c r="DK17" i="4" a="1"/>
  <c r="DK17" i="4" s="1"/>
  <c r="DM17" i="4" s="1"/>
  <c r="DK20" i="4" a="1"/>
  <c r="DK20" i="4" s="1"/>
  <c r="DL20" i="4" s="1"/>
  <c r="DN20" i="4" s="1"/>
  <c r="DU18" i="4" a="1"/>
  <c r="DU18" i="4" s="1"/>
  <c r="DK10" i="4" a="1"/>
  <c r="DK10" i="4" s="1"/>
  <c r="DM10" i="4" s="1"/>
  <c r="DU10" i="4" a="1"/>
  <c r="DU10" i="4" s="1"/>
  <c r="DA12" i="4" a="1"/>
  <c r="DA12" i="4" s="1"/>
  <c r="DC12" i="4" s="1"/>
  <c r="DK13" i="4" a="1"/>
  <c r="DK13" i="4" s="1"/>
  <c r="DL13" i="4" s="1"/>
  <c r="DN13" i="4" s="1"/>
  <c r="DU13" i="4" a="1"/>
  <c r="DU13" i="4" s="1"/>
  <c r="DS14" i="4" a="1"/>
  <c r="DS14" i="4" s="1"/>
  <c r="DK15" i="4" a="1"/>
  <c r="DK15" i="4" s="1"/>
  <c r="DL15" i="4" s="1"/>
  <c r="DN15" i="4" s="1"/>
  <c r="DU15" i="4" a="1"/>
  <c r="DU15" i="4" s="1"/>
  <c r="DU17" i="4" a="1"/>
  <c r="DU17" i="4" s="1"/>
  <c r="DS20" i="4" a="1"/>
  <c r="DS20" i="4" s="1"/>
  <c r="DS17" i="4" a="1"/>
  <c r="DS17" i="4" s="1"/>
  <c r="DS9" i="4" a="1"/>
  <c r="DS9" i="4" s="1"/>
  <c r="DS19" i="4" a="1"/>
  <c r="DS19" i="4" s="1"/>
  <c r="DS12" i="4" a="1"/>
  <c r="DS12" i="4" s="1"/>
  <c r="DA9" i="4" a="1"/>
  <c r="DA9" i="4" s="1"/>
  <c r="DC9" i="4" s="1"/>
  <c r="DK11" i="4" a="1"/>
  <c r="DK11" i="4" s="1"/>
  <c r="DL11" i="4" s="1"/>
  <c r="DN11" i="4" s="1"/>
  <c r="DS13" i="4" a="1"/>
  <c r="DS13" i="4" s="1"/>
  <c r="DA14" i="4" a="1"/>
  <c r="DA14" i="4" s="1"/>
  <c r="DC14" i="4" s="1"/>
  <c r="DA17" i="4" a="1"/>
  <c r="DA17" i="4" s="1"/>
  <c r="DC17" i="4" s="1"/>
  <c r="DS18" i="4" a="1"/>
  <c r="DS18" i="4" s="1"/>
  <c r="DV18" i="4" s="1" a="1"/>
  <c r="DV18" i="4" s="1"/>
  <c r="DX18" i="4" s="1"/>
  <c r="DK19" i="4" a="1"/>
  <c r="DK19" i="4" s="1"/>
  <c r="DL19" i="4" s="1"/>
  <c r="DN19" i="4" s="1"/>
  <c r="DU20" i="4" a="1"/>
  <c r="DU20" i="4" s="1"/>
  <c r="DV20" i="4" s="1" a="1"/>
  <c r="DV20" i="4" s="1"/>
  <c r="DX20" i="4" s="1"/>
  <c r="DA11" i="4" a="1"/>
  <c r="DA11" i="4" s="1"/>
  <c r="DC11" i="4" s="1"/>
  <c r="DA16" i="4" a="1"/>
  <c r="DA16" i="4" s="1"/>
  <c r="DC16" i="4" s="1"/>
  <c r="DA19" i="4" a="1"/>
  <c r="DA19" i="4" s="1"/>
  <c r="DC19" i="4" s="1"/>
  <c r="DA10" i="4" a="1"/>
  <c r="DA10" i="4" s="1"/>
  <c r="DC10" i="4" s="1"/>
  <c r="DA13" i="4" a="1"/>
  <c r="DA13" i="4" s="1"/>
  <c r="DC13" i="4" s="1"/>
  <c r="DA18" i="4" a="1"/>
  <c r="DA18" i="4" s="1"/>
  <c r="DC18" i="4" s="1"/>
  <c r="DL12" i="4" l="1"/>
  <c r="DN12" i="4" s="1"/>
  <c r="DV15" i="4" a="1"/>
  <c r="DV15" i="4" s="1"/>
  <c r="DX15" i="4" s="1"/>
  <c r="DL18" i="4"/>
  <c r="DN18" i="4" s="1"/>
  <c r="DV16" i="4" a="1"/>
  <c r="DV16" i="4" s="1"/>
  <c r="DX16" i="4" s="1"/>
  <c r="DL9" i="4"/>
  <c r="DN9" i="4" s="1"/>
  <c r="DV10" i="4" a="1"/>
  <c r="DV10" i="4" s="1"/>
  <c r="DX10" i="4" s="1"/>
  <c r="DM13" i="4"/>
  <c r="DM19" i="4"/>
  <c r="DV9" i="4" a="1"/>
  <c r="DV9" i="4" s="1"/>
  <c r="DX9" i="4" s="1"/>
  <c r="DL17" i="4"/>
  <c r="DN17" i="4" s="1"/>
  <c r="DV14" i="4" a="1"/>
  <c r="DV14" i="4" s="1"/>
  <c r="DX14" i="4" s="1"/>
  <c r="DM11" i="4"/>
  <c r="DV11" i="4" a="1"/>
  <c r="DV11" i="4" s="1"/>
  <c r="DX11" i="4" s="1"/>
  <c r="DM15" i="4"/>
  <c r="DV17" i="4" a="1"/>
  <c r="DV17" i="4" s="1"/>
  <c r="DX17" i="4" s="1"/>
  <c r="DL14" i="4"/>
  <c r="DN14" i="4" s="1"/>
  <c r="DV19" i="4" a="1"/>
  <c r="DV19" i="4" s="1"/>
  <c r="DX19" i="4" s="1"/>
  <c r="DM20" i="4"/>
  <c r="DL16" i="4"/>
  <c r="DN16" i="4" s="1"/>
  <c r="DL10" i="4"/>
  <c r="DN10" i="4" s="1"/>
  <c r="DV13" i="4" a="1"/>
  <c r="DV13" i="4" s="1"/>
  <c r="DX13" i="4" s="1"/>
  <c r="DV12" i="4" a="1"/>
  <c r="DV12" i="4" s="1"/>
  <c r="DX12" i="4" s="1"/>
  <c r="F23" i="31" l="1"/>
  <c r="D23" i="31"/>
  <c r="H8" i="4"/>
  <c r="P8" i="4"/>
  <c r="O8" i="4"/>
  <c r="N8" i="4"/>
  <c r="M8" i="4"/>
  <c r="L8" i="4"/>
  <c r="K8" i="4"/>
  <c r="J8" i="4"/>
  <c r="I8" i="4"/>
  <c r="F37" i="31"/>
  <c r="F35" i="31"/>
  <c r="F29" i="31"/>
  <c r="D37" i="31"/>
  <c r="D35" i="31"/>
  <c r="D29" i="31"/>
  <c r="F25" i="31"/>
  <c r="D25" i="31"/>
  <c r="D19" i="31"/>
  <c r="D17" i="31"/>
  <c r="D21" i="31"/>
  <c r="F21" i="31"/>
  <c r="F19" i="31"/>
  <c r="F17" i="31"/>
  <c r="F15" i="31"/>
  <c r="D15" i="31"/>
  <c r="F13" i="31"/>
  <c r="D13" i="31"/>
  <c r="F11" i="31"/>
  <c r="D11" i="31"/>
  <c r="F9" i="31"/>
  <c r="D9" i="31"/>
  <c r="F5" i="31"/>
  <c r="D5" i="31"/>
  <c r="F4" i="31"/>
  <c r="D4" i="31"/>
  <c r="J59" i="31" l="1"/>
  <c r="J60" i="31"/>
  <c r="ED1" i="4"/>
  <c r="AU8" i="4" l="1"/>
  <c r="AV8" i="4"/>
  <c r="DT8" i="4" l="1"/>
  <c r="DR8" i="4"/>
  <c r="DQ8" i="4"/>
  <c r="EJ8" i="4" l="1"/>
  <c r="M3" i="4"/>
  <c r="DY8" i="4" l="1"/>
  <c r="DD8" i="4"/>
  <c r="FD8" i="4" l="1"/>
  <c r="E8" i="4" l="1"/>
  <c r="BX8" i="4"/>
  <c r="BW8" i="4"/>
  <c r="BV8" i="4"/>
  <c r="BU8" i="4"/>
  <c r="BT8" i="4"/>
  <c r="BR8" i="4"/>
  <c r="BQ8" i="4"/>
  <c r="BP8" i="4"/>
  <c r="BO8" i="4"/>
  <c r="BN8" i="4"/>
  <c r="BM8" i="4"/>
  <c r="BL8" i="4"/>
  <c r="BK8" i="4"/>
  <c r="BJ8" i="4"/>
  <c r="BI8" i="4"/>
  <c r="BH8" i="4"/>
  <c r="BG8" i="4"/>
  <c r="BF8" i="4"/>
  <c r="BE8" i="4"/>
  <c r="BD8" i="4"/>
  <c r="BC8" i="4"/>
  <c r="BB8" i="4"/>
  <c r="BA8" i="4"/>
  <c r="AZ8" i="4"/>
  <c r="AY8" i="4"/>
  <c r="CX8" i="4" l="1" a="1"/>
  <c r="CX8" i="4" s="1"/>
  <c r="B2" i="27"/>
  <c r="AN8" i="4"/>
  <c r="F41" i="31"/>
  <c r="F39" i="31"/>
  <c r="F33" i="31"/>
  <c r="F31" i="31"/>
  <c r="D41" i="31"/>
  <c r="D39" i="31"/>
  <c r="D33" i="31"/>
  <c r="D31" i="31"/>
  <c r="DU8" i="4" a="1"/>
  <c r="DU8" i="4" s="1"/>
  <c r="DS8" i="4" a="1"/>
  <c r="DS8" i="4" s="1"/>
  <c r="DV8" i="4" l="1" a="1"/>
  <c r="DV8" i="4" s="1"/>
  <c r="DX8" i="4" s="1"/>
  <c r="F43" i="31" l="1"/>
  <c r="D43" i="31"/>
  <c r="BY8" i="4" l="1"/>
  <c r="B5" i="30" l="1" a="1"/>
  <c r="BI30" i="30" s="1"/>
  <c r="FZ8" i="4"/>
  <c r="FY8" i="4"/>
  <c r="FX8" i="4"/>
  <c r="D24" i="30" l="1"/>
  <c r="AB6" i="30"/>
  <c r="BR6" i="30"/>
  <c r="BD7" i="30"/>
  <c r="BB7" i="30" s="1"/>
  <c r="U8" i="30"/>
  <c r="D7" i="30"/>
  <c r="D28" i="30"/>
  <c r="AJ6" i="30"/>
  <c r="AH6" i="30" s="1"/>
  <c r="L7" i="30"/>
  <c r="BK7" i="30"/>
  <c r="D12" i="30"/>
  <c r="D32" i="30"/>
  <c r="BA6" i="30"/>
  <c r="AY6" i="30" s="1"/>
  <c r="AB7" i="30"/>
  <c r="BT7" i="30"/>
  <c r="D16" i="30"/>
  <c r="R6" i="30"/>
  <c r="BI6" i="30"/>
  <c r="AJ7" i="30"/>
  <c r="AH7" i="30" s="1"/>
  <c r="N8" i="30"/>
  <c r="D20" i="30"/>
  <c r="J6" i="30"/>
  <c r="AS6" i="30"/>
  <c r="CA6" i="30"/>
  <c r="AS7" i="30"/>
  <c r="CC7" i="30"/>
  <c r="AE8" i="30"/>
  <c r="AU8" i="30"/>
  <c r="BV8" i="30"/>
  <c r="U9" i="30"/>
  <c r="AU9" i="30"/>
  <c r="L10" i="30"/>
  <c r="AU10" i="30"/>
  <c r="BX10" i="30"/>
  <c r="R11" i="30"/>
  <c r="BO11" i="30"/>
  <c r="R12" i="30"/>
  <c r="AJ12" i="30"/>
  <c r="AH12" i="30" s="1"/>
  <c r="BK12" i="30"/>
  <c r="N13" i="30"/>
  <c r="AX13" i="30"/>
  <c r="AV13" i="30" s="1"/>
  <c r="BT13" i="30"/>
  <c r="AE14" i="30"/>
  <c r="BD14" i="30"/>
  <c r="BB14" i="30" s="1"/>
  <c r="BO14" i="30"/>
  <c r="Z15" i="30"/>
  <c r="AM15" i="30"/>
  <c r="AK15" i="30" s="1"/>
  <c r="BK15" i="30"/>
  <c r="U16" i="30"/>
  <c r="BD16" i="30"/>
  <c r="BB16" i="30" s="1"/>
  <c r="N17" i="30"/>
  <c r="BO17" i="30"/>
  <c r="W18" i="30"/>
  <c r="P19" i="30"/>
  <c r="L20" i="30"/>
  <c r="W25" i="30"/>
  <c r="L30" i="30"/>
  <c r="D9" i="30"/>
  <c r="D13" i="30"/>
  <c r="D17" i="30"/>
  <c r="D21" i="30"/>
  <c r="D25" i="30"/>
  <c r="D29" i="30"/>
  <c r="D33" i="30"/>
  <c r="L6" i="30"/>
  <c r="U6" i="30"/>
  <c r="AE6" i="30"/>
  <c r="AM6" i="30"/>
  <c r="AK6" i="30" s="1"/>
  <c r="AU6" i="30"/>
  <c r="BK6" i="30"/>
  <c r="BT6" i="30"/>
  <c r="CC6" i="30"/>
  <c r="N7" i="30"/>
  <c r="U7" i="30"/>
  <c r="AE7" i="30"/>
  <c r="AM7" i="30"/>
  <c r="AK7" i="30" s="1"/>
  <c r="AU7" i="30"/>
  <c r="BM7" i="30"/>
  <c r="BV7" i="30"/>
  <c r="H8" i="30"/>
  <c r="P8" i="30"/>
  <c r="W8" i="30"/>
  <c r="AG8" i="30"/>
  <c r="AP8" i="30"/>
  <c r="AN8" i="30" s="1"/>
  <c r="AX8" i="30"/>
  <c r="AV8" i="30" s="1"/>
  <c r="BI8" i="30"/>
  <c r="BX8" i="30"/>
  <c r="N9" i="30"/>
  <c r="W9" i="30"/>
  <c r="AE9" i="30"/>
  <c r="AM9" i="30"/>
  <c r="AK9" i="30" s="1"/>
  <c r="BD9" i="30"/>
  <c r="BB9" i="30" s="1"/>
  <c r="BM9" i="30"/>
  <c r="BV9" i="30"/>
  <c r="N10" i="30"/>
  <c r="W10" i="30"/>
  <c r="AG10" i="30"/>
  <c r="AX10" i="30"/>
  <c r="AV10" i="30" s="1"/>
  <c r="BI10" i="30"/>
  <c r="BR10" i="30"/>
  <c r="CA10" i="30"/>
  <c r="L11" i="30"/>
  <c r="AB11" i="30"/>
  <c r="AJ11" i="30"/>
  <c r="AH11" i="30" s="1"/>
  <c r="AS11" i="30"/>
  <c r="BA11" i="30"/>
  <c r="AY11" i="30" s="1"/>
  <c r="BI11" i="30"/>
  <c r="BR11" i="30"/>
  <c r="CA11" i="30"/>
  <c r="L12" i="30"/>
  <c r="U12" i="30"/>
  <c r="AB12" i="30"/>
  <c r="AS12" i="30"/>
  <c r="BD12" i="30"/>
  <c r="BB12" i="30" s="1"/>
  <c r="BM12" i="30"/>
  <c r="BV12" i="30"/>
  <c r="CC12" i="30"/>
  <c r="R13" i="30"/>
  <c r="AP13" i="30"/>
  <c r="AN13" i="30" s="1"/>
  <c r="BM13" i="30"/>
  <c r="BV13" i="30"/>
  <c r="J14" i="30"/>
  <c r="U14" i="30"/>
  <c r="AG14" i="30"/>
  <c r="AS14" i="30"/>
  <c r="BG14" i="30"/>
  <c r="BR14" i="30"/>
  <c r="H15" i="30"/>
  <c r="R15" i="30"/>
  <c r="AB15" i="30"/>
  <c r="AS15" i="30"/>
  <c r="BD15" i="30"/>
  <c r="BB15" i="30" s="1"/>
  <c r="BM15" i="30"/>
  <c r="H16" i="30"/>
  <c r="AP16" i="30"/>
  <c r="AN16" i="30" s="1"/>
  <c r="BI16" i="30"/>
  <c r="R17" i="30"/>
  <c r="AJ17" i="30"/>
  <c r="AH17" i="30" s="1"/>
  <c r="BR17" i="30"/>
  <c r="J18" i="30"/>
  <c r="AB18" i="30"/>
  <c r="BM18" i="30"/>
  <c r="W19" i="30"/>
  <c r="BI19" i="30"/>
  <c r="U20" i="30"/>
  <c r="BD20" i="30"/>
  <c r="BB20" i="30" s="1"/>
  <c r="R21" i="30"/>
  <c r="BO21" i="30"/>
  <c r="AS22" i="30"/>
  <c r="AS23" i="30"/>
  <c r="AJ24" i="30"/>
  <c r="AH24" i="30" s="1"/>
  <c r="BI26" i="30"/>
  <c r="BV27" i="30"/>
  <c r="L29" i="30"/>
  <c r="B5" i="30"/>
  <c r="N5" i="30" s="1"/>
  <c r="CC33" i="30"/>
  <c r="BT33" i="30"/>
  <c r="BM33" i="30"/>
  <c r="BD33" i="30"/>
  <c r="BB33" i="30" s="1"/>
  <c r="AM33" i="30"/>
  <c r="AK33" i="30" s="1"/>
  <c r="U33" i="30"/>
  <c r="L33" i="30"/>
  <c r="CA32" i="30"/>
  <c r="BT32" i="30"/>
  <c r="BK32" i="30"/>
  <c r="BA32" i="30"/>
  <c r="AY32" i="30" s="1"/>
  <c r="AE32" i="30"/>
  <c r="W32" i="30"/>
  <c r="CA33" i="30"/>
  <c r="BR33" i="30"/>
  <c r="BK33" i="30"/>
  <c r="AU33" i="30"/>
  <c r="AJ33" i="30"/>
  <c r="AH33" i="30" s="1"/>
  <c r="AB33" i="30"/>
  <c r="R33" i="30"/>
  <c r="J33" i="30"/>
  <c r="BR32" i="30"/>
  <c r="BI32" i="30"/>
  <c r="AX32" i="30"/>
  <c r="AV32" i="30" s="1"/>
  <c r="AP32" i="30"/>
  <c r="AN32" i="30" s="1"/>
  <c r="AJ32" i="30"/>
  <c r="AH32" i="30" s="1"/>
  <c r="AB32" i="30"/>
  <c r="U32" i="30"/>
  <c r="L32" i="30"/>
  <c r="CA31" i="30"/>
  <c r="BR31" i="30"/>
  <c r="BI31" i="30"/>
  <c r="AU31" i="30"/>
  <c r="AJ31" i="30"/>
  <c r="AH31" i="30" s="1"/>
  <c r="Z31" i="30"/>
  <c r="R31" i="30"/>
  <c r="J31" i="30"/>
  <c r="BX30" i="30"/>
  <c r="BO30" i="30"/>
  <c r="AU30" i="30"/>
  <c r="AM30" i="30"/>
  <c r="AK30" i="30" s="1"/>
  <c r="AG30" i="30"/>
  <c r="W30" i="30"/>
  <c r="N30" i="30"/>
  <c r="BV29" i="30"/>
  <c r="BO29" i="30"/>
  <c r="AS29" i="30"/>
  <c r="AG29" i="30"/>
  <c r="Z29" i="30"/>
  <c r="P29" i="30"/>
  <c r="H29" i="30"/>
  <c r="BX28" i="30"/>
  <c r="BO28" i="30"/>
  <c r="AU28" i="30"/>
  <c r="Z28" i="30"/>
  <c r="R28" i="30"/>
  <c r="J28" i="30"/>
  <c r="BX27" i="30"/>
  <c r="BO27" i="30"/>
  <c r="BA27" i="30"/>
  <c r="AY27" i="30" s="1"/>
  <c r="AU27" i="30"/>
  <c r="AJ27" i="30"/>
  <c r="AH27" i="30" s="1"/>
  <c r="Z27" i="30"/>
  <c r="R27" i="30"/>
  <c r="J27" i="30"/>
  <c r="BX26" i="30"/>
  <c r="BO26" i="30"/>
  <c r="AU26" i="30"/>
  <c r="AM26" i="30"/>
  <c r="AK26" i="30" s="1"/>
  <c r="AG26" i="30"/>
  <c r="W26" i="30"/>
  <c r="N26" i="30"/>
  <c r="BV25" i="30"/>
  <c r="BO25" i="30"/>
  <c r="BG25" i="30"/>
  <c r="AS25" i="30"/>
  <c r="AG25" i="30"/>
  <c r="Z25" i="30"/>
  <c r="P25" i="30"/>
  <c r="H25" i="30"/>
  <c r="BX24" i="30"/>
  <c r="BO24" i="30"/>
  <c r="BG24" i="30"/>
  <c r="AU24" i="30"/>
  <c r="BX33" i="30"/>
  <c r="BI33" i="30"/>
  <c r="BA33" i="30"/>
  <c r="AY33" i="30" s="1"/>
  <c r="AS33" i="30"/>
  <c r="AG33" i="30"/>
  <c r="Z33" i="30"/>
  <c r="P33" i="30"/>
  <c r="H33" i="30"/>
  <c r="BX32" i="30"/>
  <c r="BO32" i="30"/>
  <c r="AU32" i="30"/>
  <c r="Z32" i="30"/>
  <c r="R32" i="30"/>
  <c r="J32" i="30"/>
  <c r="BX31" i="30"/>
  <c r="BO31" i="30"/>
  <c r="BA31" i="30"/>
  <c r="AY31" i="30" s="1"/>
  <c r="AS31" i="30"/>
  <c r="BV33" i="30"/>
  <c r="AP33" i="30"/>
  <c r="AN33" i="30" s="1"/>
  <c r="CC32" i="30"/>
  <c r="AS32" i="30"/>
  <c r="P32" i="30"/>
  <c r="BV31" i="30"/>
  <c r="AP31" i="30"/>
  <c r="AN31" i="30" s="1"/>
  <c r="AB31" i="30"/>
  <c r="P31" i="30"/>
  <c r="CC30" i="30"/>
  <c r="BR30" i="30"/>
  <c r="BD30" i="30"/>
  <c r="BB30" i="30" s="1"/>
  <c r="AP30" i="30"/>
  <c r="AN30" i="30" s="1"/>
  <c r="U30" i="30"/>
  <c r="J30" i="30"/>
  <c r="BX29" i="30"/>
  <c r="BM29" i="30"/>
  <c r="AU29" i="30"/>
  <c r="AE29" i="30"/>
  <c r="U29" i="30"/>
  <c r="J29" i="30"/>
  <c r="BV28" i="30"/>
  <c r="BK28" i="30"/>
  <c r="AX28" i="30"/>
  <c r="AV28" i="30" s="1"/>
  <c r="AM28" i="30"/>
  <c r="AK28" i="30" s="1"/>
  <c r="AE28" i="30"/>
  <c r="U28" i="30"/>
  <c r="H28" i="30"/>
  <c r="BT27" i="30"/>
  <c r="BI27" i="30"/>
  <c r="AP27" i="30"/>
  <c r="AN27" i="30" s="1"/>
  <c r="AB27" i="30"/>
  <c r="P27" i="30"/>
  <c r="CC26" i="30"/>
  <c r="BR26" i="30"/>
  <c r="BD26" i="30"/>
  <c r="BB26" i="30" s="1"/>
  <c r="AP26" i="30"/>
  <c r="AN26" i="30" s="1"/>
  <c r="U26" i="30"/>
  <c r="J26" i="30"/>
  <c r="BX25" i="30"/>
  <c r="BM25" i="30"/>
  <c r="AU25" i="30"/>
  <c r="AE25" i="30"/>
  <c r="U25" i="30"/>
  <c r="J25" i="30"/>
  <c r="BV24" i="30"/>
  <c r="BK24" i="30"/>
  <c r="AX24" i="30"/>
  <c r="AV24" i="30" s="1"/>
  <c r="Z24" i="30"/>
  <c r="R24" i="30"/>
  <c r="J24" i="30"/>
  <c r="BX23" i="30"/>
  <c r="BO23" i="30"/>
  <c r="BG23" i="30"/>
  <c r="AP23" i="30"/>
  <c r="AN23" i="30" s="1"/>
  <c r="AE23" i="30"/>
  <c r="U23" i="30"/>
  <c r="N23" i="30"/>
  <c r="CC22" i="30"/>
  <c r="BT22" i="30"/>
  <c r="BK22" i="30"/>
  <c r="BA22" i="30"/>
  <c r="AY22" i="30" s="1"/>
  <c r="AP22" i="30"/>
  <c r="AN22" i="30" s="1"/>
  <c r="Z22" i="30"/>
  <c r="P22" i="30"/>
  <c r="BO33" i="30"/>
  <c r="AE33" i="30"/>
  <c r="BV32" i="30"/>
  <c r="AM32" i="30"/>
  <c r="AK32" i="30" s="1"/>
  <c r="N32" i="30"/>
  <c r="BT31" i="30"/>
  <c r="BD31" i="30"/>
  <c r="BB31" i="30" s="1"/>
  <c r="AM31" i="30"/>
  <c r="AK31" i="30" s="1"/>
  <c r="W31" i="30"/>
  <c r="N31" i="30"/>
  <c r="CA30" i="30"/>
  <c r="BM30" i="30"/>
  <c r="BA30" i="30"/>
  <c r="AY30" i="30" s="1"/>
  <c r="AE30" i="30"/>
  <c r="R30" i="30"/>
  <c r="H30" i="30"/>
  <c r="BT29" i="30"/>
  <c r="W33" i="30"/>
  <c r="BM32" i="30"/>
  <c r="AG32" i="30"/>
  <c r="H32" i="30"/>
  <c r="BM31" i="30"/>
  <c r="AG31" i="30"/>
  <c r="U31" i="30"/>
  <c r="L31" i="30"/>
  <c r="BV30" i="30"/>
  <c r="BK30" i="30"/>
  <c r="AX30" i="30"/>
  <c r="AV30" i="30" s="1"/>
  <c r="AB30" i="30"/>
  <c r="P30" i="30"/>
  <c r="CC29" i="30"/>
  <c r="BR29" i="30"/>
  <c r="BI29" i="30"/>
  <c r="AX29" i="30"/>
  <c r="AV29" i="30" s="1"/>
  <c r="AM29" i="30"/>
  <c r="AK29" i="30" s="1"/>
  <c r="AB29" i="30"/>
  <c r="N29" i="30"/>
  <c r="CA28" i="30"/>
  <c r="BR28" i="30"/>
  <c r="BD28" i="30"/>
  <c r="BB28" i="30" s="1"/>
  <c r="AJ28" i="30"/>
  <c r="AH28" i="30" s="1"/>
  <c r="N28" i="30"/>
  <c r="CA27" i="30"/>
  <c r="BM27" i="30"/>
  <c r="BD27" i="30"/>
  <c r="BB27" i="30" s="1"/>
  <c r="AG27" i="30"/>
  <c r="U27" i="30"/>
  <c r="L27" i="30"/>
  <c r="BV26" i="30"/>
  <c r="BK26" i="30"/>
  <c r="AX26" i="30"/>
  <c r="AV26" i="30" s="1"/>
  <c r="AB26" i="30"/>
  <c r="P26" i="30"/>
  <c r="CC25" i="30"/>
  <c r="BR25" i="30"/>
  <c r="BI25" i="30"/>
  <c r="AX25" i="30"/>
  <c r="AV25" i="30" s="1"/>
  <c r="AM25" i="30"/>
  <c r="AK25" i="30" s="1"/>
  <c r="AB25" i="30"/>
  <c r="N25" i="30"/>
  <c r="CA24" i="30"/>
  <c r="BR24" i="30"/>
  <c r="BD24" i="30"/>
  <c r="BB24" i="30" s="1"/>
  <c r="AE24" i="30"/>
  <c r="W24" i="30"/>
  <c r="N24" i="30"/>
  <c r="CC23" i="30"/>
  <c r="BT23" i="30"/>
  <c r="BK23" i="30"/>
  <c r="BD23" i="30"/>
  <c r="BB23" i="30" s="1"/>
  <c r="AU23" i="30"/>
  <c r="AJ23" i="30"/>
  <c r="AH23" i="30" s="1"/>
  <c r="Z23" i="30"/>
  <c r="R23" i="30"/>
  <c r="J23" i="30"/>
  <c r="BX22" i="30"/>
  <c r="BO22" i="30"/>
  <c r="BG22" i="30"/>
  <c r="AU22" i="30"/>
  <c r="AM22" i="30"/>
  <c r="AK22" i="30" s="1"/>
  <c r="AE22" i="30"/>
  <c r="U22" i="30"/>
  <c r="L22" i="30"/>
  <c r="CC21" i="30"/>
  <c r="BT21" i="30"/>
  <c r="BM21" i="30"/>
  <c r="BD21" i="30"/>
  <c r="BB21" i="30" s="1"/>
  <c r="AM21" i="30"/>
  <c r="AK21" i="30" s="1"/>
  <c r="U21" i="30"/>
  <c r="L21" i="30"/>
  <c r="CA20" i="30"/>
  <c r="AX33" i="30"/>
  <c r="AV33" i="30" s="1"/>
  <c r="CC31" i="30"/>
  <c r="AS30" i="30"/>
  <c r="CA29" i="30"/>
  <c r="BA29" i="30"/>
  <c r="AY29" i="30" s="1"/>
  <c r="CC28" i="30"/>
  <c r="BI28" i="30"/>
  <c r="P28" i="30"/>
  <c r="BR27" i="30"/>
  <c r="AX27" i="30"/>
  <c r="AV27" i="30" s="1"/>
  <c r="W27" i="30"/>
  <c r="CA26" i="30"/>
  <c r="BA26" i="30"/>
  <c r="AY26" i="30" s="1"/>
  <c r="AE26" i="30"/>
  <c r="H26" i="30"/>
  <c r="BK25" i="30"/>
  <c r="AP25" i="30"/>
  <c r="AN25" i="30" s="1"/>
  <c r="R25" i="30"/>
  <c r="BT24" i="30"/>
  <c r="AS24" i="30"/>
  <c r="AG24" i="30"/>
  <c r="P24" i="30"/>
  <c r="BV23" i="30"/>
  <c r="AM23" i="30"/>
  <c r="AK23" i="30" s="1"/>
  <c r="CA22" i="30"/>
  <c r="BI22" i="30"/>
  <c r="W22" i="30"/>
  <c r="H22" i="30"/>
  <c r="BV21" i="30"/>
  <c r="BK21" i="30"/>
  <c r="BA21" i="30"/>
  <c r="AY21" i="30" s="1"/>
  <c r="AP21" i="30"/>
  <c r="AN21" i="30" s="1"/>
  <c r="AB21" i="30"/>
  <c r="P21" i="30"/>
  <c r="CC20" i="30"/>
  <c r="BT20" i="30"/>
  <c r="BK20" i="30"/>
  <c r="BA20" i="30"/>
  <c r="AY20" i="30" s="1"/>
  <c r="AJ20" i="30"/>
  <c r="AH20" i="30" s="1"/>
  <c r="Z20" i="30"/>
  <c r="R20" i="30"/>
  <c r="J20" i="30"/>
  <c r="BX19" i="30"/>
  <c r="BO19" i="30"/>
  <c r="BG19" i="30"/>
  <c r="AP19" i="30"/>
  <c r="AN19" i="30" s="1"/>
  <c r="AE19" i="30"/>
  <c r="U19" i="30"/>
  <c r="N19" i="30"/>
  <c r="CC18" i="30"/>
  <c r="BT18" i="30"/>
  <c r="BK18" i="30"/>
  <c r="BA18" i="30"/>
  <c r="AY18" i="30" s="1"/>
  <c r="AP18" i="30"/>
  <c r="AN18" i="30" s="1"/>
  <c r="Z18" i="30"/>
  <c r="P18" i="30"/>
  <c r="H18" i="30"/>
  <c r="BX17" i="30"/>
  <c r="BI17" i="30"/>
  <c r="BA17" i="30"/>
  <c r="AY17" i="30" s="1"/>
  <c r="AS17" i="30"/>
  <c r="AG17" i="30"/>
  <c r="Z17" i="30"/>
  <c r="P17" i="30"/>
  <c r="H17" i="30"/>
  <c r="BX16" i="30"/>
  <c r="BO16" i="30"/>
  <c r="BG16" i="30"/>
  <c r="AU16" i="30"/>
  <c r="AM16" i="30"/>
  <c r="AK16" i="30" s="1"/>
  <c r="AE16" i="30"/>
  <c r="W16" i="30"/>
  <c r="N16" i="30"/>
  <c r="CC15" i="30"/>
  <c r="BT15" i="30"/>
  <c r="N33" i="30"/>
  <c r="BK31" i="30"/>
  <c r="H31" i="30"/>
  <c r="AJ30" i="30"/>
  <c r="AH30" i="30" s="1"/>
  <c r="W29" i="30"/>
  <c r="BA28" i="30"/>
  <c r="AY28" i="30" s="1"/>
  <c r="AG28" i="30"/>
  <c r="L28" i="30"/>
  <c r="BK27" i="30"/>
  <c r="AS27" i="30"/>
  <c r="BT26" i="30"/>
  <c r="AS26" i="30"/>
  <c r="Z26" i="30"/>
  <c r="CA25" i="30"/>
  <c r="BD25" i="30"/>
  <c r="BB25" i="30" s="1"/>
  <c r="AJ25" i="30"/>
  <c r="AH25" i="30" s="1"/>
  <c r="L25" i="30"/>
  <c r="BM24" i="30"/>
  <c r="AP24" i="30"/>
  <c r="AN24" i="30" s="1"/>
  <c r="AB24" i="30"/>
  <c r="L24" i="30"/>
  <c r="BR23" i="30"/>
  <c r="BA23" i="30"/>
  <c r="AY23" i="30" s="1"/>
  <c r="AG23" i="30"/>
  <c r="P23" i="30"/>
  <c r="BV22" i="30"/>
  <c r="BD22" i="30"/>
  <c r="BB22" i="30" s="1"/>
  <c r="AJ22" i="30"/>
  <c r="AH22" i="30" s="1"/>
  <c r="R22" i="30"/>
  <c r="BR21" i="30"/>
  <c r="BI21" i="30"/>
  <c r="AX21" i="30"/>
  <c r="AV21" i="30" s="1"/>
  <c r="AJ21" i="30"/>
  <c r="AH21" i="30" s="1"/>
  <c r="Z21" i="30"/>
  <c r="N21" i="30"/>
  <c r="BR20" i="30"/>
  <c r="BI20" i="30"/>
  <c r="AX20" i="30"/>
  <c r="AV20" i="30" s="1"/>
  <c r="AP20" i="30"/>
  <c r="AN20" i="30" s="1"/>
  <c r="AG20" i="30"/>
  <c r="P20" i="30"/>
  <c r="H20" i="30"/>
  <c r="BV19" i="30"/>
  <c r="BM19" i="30"/>
  <c r="AX19" i="30"/>
  <c r="AV19" i="30" s="1"/>
  <c r="AM19" i="30"/>
  <c r="AK19" i="30" s="1"/>
  <c r="AB19" i="30"/>
  <c r="L19" i="30"/>
  <c r="CA18" i="30"/>
  <c r="BR18" i="30"/>
  <c r="BI18" i="30"/>
  <c r="AX18" i="30"/>
  <c r="AV18" i="30" s="1"/>
  <c r="AG18" i="30"/>
  <c r="BD32" i="30"/>
  <c r="BB32" i="30" s="1"/>
  <c r="AX31" i="30"/>
  <c r="AV31" i="30" s="1"/>
  <c r="BT30" i="30"/>
  <c r="Z30" i="30"/>
  <c r="BK29" i="30"/>
  <c r="AP29" i="30"/>
  <c r="AN29" i="30" s="1"/>
  <c r="R29" i="30"/>
  <c r="BT28" i="30"/>
  <c r="AS28" i="30"/>
  <c r="AB28" i="30"/>
  <c r="CC27" i="30"/>
  <c r="AM27" i="30"/>
  <c r="AK27" i="30" s="1"/>
  <c r="N27" i="30"/>
  <c r="BM26" i="30"/>
  <c r="R26" i="30"/>
  <c r="BT25" i="30"/>
  <c r="BA25" i="30"/>
  <c r="AY25" i="30" s="1"/>
  <c r="CC24" i="30"/>
  <c r="BI24" i="30"/>
  <c r="AM24" i="30"/>
  <c r="AK24" i="30" s="1"/>
  <c r="H24" i="30"/>
  <c r="BM23" i="30"/>
  <c r="AX23" i="30"/>
  <c r="AV23" i="30" s="1"/>
  <c r="AB23" i="30"/>
  <c r="L23" i="30"/>
  <c r="BR22" i="30"/>
  <c r="AX22" i="30"/>
  <c r="AV22" i="30" s="1"/>
  <c r="AG22" i="30"/>
  <c r="N22" i="30"/>
  <c r="CA21" i="30"/>
  <c r="BG21" i="30"/>
  <c r="AU21" i="30"/>
  <c r="AG21" i="30"/>
  <c r="W21" i="30"/>
  <c r="J21" i="30"/>
  <c r="BX20" i="30"/>
  <c r="BO20" i="30"/>
  <c r="BG20" i="30"/>
  <c r="AU20" i="30"/>
  <c r="AM20" i="30"/>
  <c r="AK20" i="30" s="1"/>
  <c r="AE20" i="30"/>
  <c r="W20" i="30"/>
  <c r="N20" i="30"/>
  <c r="CC19" i="30"/>
  <c r="BT19" i="30"/>
  <c r="BK19" i="30"/>
  <c r="BD19" i="30"/>
  <c r="BB19" i="30" s="1"/>
  <c r="AU19" i="30"/>
  <c r="AJ19" i="30"/>
  <c r="AH19" i="30" s="1"/>
  <c r="Z19" i="30"/>
  <c r="R19" i="30"/>
  <c r="J19" i="30"/>
  <c r="BX18" i="30"/>
  <c r="BO18" i="30"/>
  <c r="BG18" i="30"/>
  <c r="AU18" i="30"/>
  <c r="AM18" i="30"/>
  <c r="AK18" i="30" s="1"/>
  <c r="AE18" i="30"/>
  <c r="U18" i="30"/>
  <c r="L18" i="30"/>
  <c r="CC17" i="30"/>
  <c r="BT17" i="30"/>
  <c r="BM17" i="30"/>
  <c r="BD17" i="30"/>
  <c r="BB17" i="30" s="1"/>
  <c r="AM17" i="30"/>
  <c r="AK17" i="30" s="1"/>
  <c r="U17" i="30"/>
  <c r="L17" i="30"/>
  <c r="CA16" i="30"/>
  <c r="BT16" i="30"/>
  <c r="BK16" i="30"/>
  <c r="BA16" i="30"/>
  <c r="AY16" i="30" s="1"/>
  <c r="AJ16" i="30"/>
  <c r="AH16" i="30" s="1"/>
  <c r="Z16" i="30"/>
  <c r="R16" i="30"/>
  <c r="J16" i="30"/>
  <c r="BX15" i="30"/>
  <c r="BO15" i="30"/>
  <c r="BG15" i="30"/>
  <c r="AP15" i="30"/>
  <c r="AN15" i="30" s="1"/>
  <c r="AE15" i="30"/>
  <c r="U15" i="30"/>
  <c r="N15" i="30"/>
  <c r="CC14" i="30"/>
  <c r="BT14" i="30"/>
  <c r="BK14" i="30"/>
  <c r="BA14" i="30"/>
  <c r="AY14" i="30" s="1"/>
  <c r="AP14" i="30"/>
  <c r="AN14" i="30" s="1"/>
  <c r="Z14" i="30"/>
  <c r="P14" i="30"/>
  <c r="H14" i="30"/>
  <c r="BX13" i="30"/>
  <c r="BI13" i="30"/>
  <c r="BA13" i="30"/>
  <c r="AY13" i="30" s="1"/>
  <c r="AS13" i="30"/>
  <c r="AG13" i="30"/>
  <c r="Z13" i="30"/>
  <c r="P13" i="30"/>
  <c r="H13" i="30"/>
  <c r="D10" i="30"/>
  <c r="D14" i="30"/>
  <c r="D18" i="30"/>
  <c r="D22" i="30"/>
  <c r="D26" i="30"/>
  <c r="D30" i="30"/>
  <c r="D8" i="30"/>
  <c r="N6" i="30"/>
  <c r="W6" i="30"/>
  <c r="AG6" i="30"/>
  <c r="BD6" i="30"/>
  <c r="BB6" i="30" s="1"/>
  <c r="BM6" i="30"/>
  <c r="BV6" i="30"/>
  <c r="H7" i="30"/>
  <c r="P7" i="30"/>
  <c r="W7" i="30"/>
  <c r="AG7" i="30"/>
  <c r="AX7" i="30"/>
  <c r="AV7" i="30" s="1"/>
  <c r="BG7" i="30"/>
  <c r="BO7" i="30"/>
  <c r="BX7" i="30"/>
  <c r="J8" i="30"/>
  <c r="R8" i="30"/>
  <c r="Z8" i="30"/>
  <c r="AJ8" i="30"/>
  <c r="AH8" i="30" s="1"/>
  <c r="BA8" i="30"/>
  <c r="AY8" i="30" s="1"/>
  <c r="BK8" i="30"/>
  <c r="BR8" i="30"/>
  <c r="H9" i="30"/>
  <c r="P9" i="30"/>
  <c r="Z9" i="30"/>
  <c r="AG9" i="30"/>
  <c r="AP9" i="30"/>
  <c r="AN9" i="30" s="1"/>
  <c r="AX9" i="30"/>
  <c r="AV9" i="30" s="1"/>
  <c r="BG9" i="30"/>
  <c r="BO9" i="30"/>
  <c r="BX9" i="30"/>
  <c r="H10" i="30"/>
  <c r="P10" i="30"/>
  <c r="Z10" i="30"/>
  <c r="AP10" i="30"/>
  <c r="AN10" i="30" s="1"/>
  <c r="BA10" i="30"/>
  <c r="AY10" i="30" s="1"/>
  <c r="BK10" i="30"/>
  <c r="BT10" i="30"/>
  <c r="CC10" i="30"/>
  <c r="N11" i="30"/>
  <c r="U11" i="30"/>
  <c r="AE11" i="30"/>
  <c r="AM11" i="30"/>
  <c r="AK11" i="30" s="1"/>
  <c r="AU11" i="30"/>
  <c r="BD11" i="30"/>
  <c r="BB11" i="30" s="1"/>
  <c r="BK11" i="30"/>
  <c r="BT11" i="30"/>
  <c r="CC11" i="30"/>
  <c r="N12" i="30"/>
  <c r="W12" i="30"/>
  <c r="AE12" i="30"/>
  <c r="AM12" i="30"/>
  <c r="AK12" i="30" s="1"/>
  <c r="AU12" i="30"/>
  <c r="BG12" i="30"/>
  <c r="BO12" i="30"/>
  <c r="BX12" i="30"/>
  <c r="J13" i="30"/>
  <c r="U13" i="30"/>
  <c r="AE13" i="30"/>
  <c r="AU13" i="30"/>
  <c r="BD13" i="30"/>
  <c r="BB13" i="30" s="1"/>
  <c r="BO13" i="30"/>
  <c r="CA13" i="30"/>
  <c r="L14" i="30"/>
  <c r="W14" i="30"/>
  <c r="AJ14" i="30"/>
  <c r="AH14" i="30" s="1"/>
  <c r="AU14" i="30"/>
  <c r="BI14" i="30"/>
  <c r="BV14" i="30"/>
  <c r="J15" i="30"/>
  <c r="AG15" i="30"/>
  <c r="AU15" i="30"/>
  <c r="BR15" i="30"/>
  <c r="L16" i="30"/>
  <c r="AB16" i="30"/>
  <c r="AS16" i="30"/>
  <c r="BM16" i="30"/>
  <c r="CC16" i="30"/>
  <c r="W17" i="30"/>
  <c r="AP17" i="30"/>
  <c r="AN17" i="30" s="1"/>
  <c r="BG17" i="30"/>
  <c r="BV17" i="30"/>
  <c r="N18" i="30"/>
  <c r="AJ18" i="30"/>
  <c r="AH18" i="30" s="1"/>
  <c r="BV18" i="30"/>
  <c r="AG19" i="30"/>
  <c r="BR19" i="30"/>
  <c r="AB20" i="30"/>
  <c r="BM20" i="30"/>
  <c r="AE21" i="30"/>
  <c r="BX21" i="30"/>
  <c r="BM22" i="30"/>
  <c r="BI23" i="30"/>
  <c r="BA24" i="30"/>
  <c r="AY24" i="30" s="1"/>
  <c r="H27" i="30"/>
  <c r="W28" i="30"/>
  <c r="AJ29" i="30"/>
  <c r="AH29" i="30" s="1"/>
  <c r="AE31" i="30"/>
  <c r="AM8" i="30"/>
  <c r="AK8" i="30" s="1"/>
  <c r="BG8" i="30"/>
  <c r="BO8" i="30"/>
  <c r="CC8" i="30"/>
  <c r="L9" i="30"/>
  <c r="AJ9" i="30"/>
  <c r="AH9" i="30" s="1"/>
  <c r="BK9" i="30"/>
  <c r="BT9" i="30"/>
  <c r="CC9" i="30"/>
  <c r="U10" i="30"/>
  <c r="AE10" i="30"/>
  <c r="AM10" i="30"/>
  <c r="AK10" i="30" s="1"/>
  <c r="BG10" i="30"/>
  <c r="BO10" i="30"/>
  <c r="J11" i="30"/>
  <c r="Z11" i="30"/>
  <c r="AP11" i="30"/>
  <c r="AN11" i="30" s="1"/>
  <c r="BG11" i="30"/>
  <c r="BX11" i="30"/>
  <c r="J12" i="30"/>
  <c r="Z12" i="30"/>
  <c r="BA12" i="30"/>
  <c r="AY12" i="30" s="1"/>
  <c r="BT12" i="30"/>
  <c r="CA12" i="30"/>
  <c r="AB13" i="30"/>
  <c r="AM13" i="30"/>
  <c r="AK13" i="30" s="1"/>
  <c r="BK13" i="30"/>
  <c r="R14" i="30"/>
  <c r="CA14" i="30"/>
  <c r="P15" i="30"/>
  <c r="BA15" i="30"/>
  <c r="AY15" i="30" s="1"/>
  <c r="CA15" i="30"/>
  <c r="BV16" i="30"/>
  <c r="AE17" i="30"/>
  <c r="AX17" i="30"/>
  <c r="AV17" i="30" s="1"/>
  <c r="BD18" i="30"/>
  <c r="BB18" i="30" s="1"/>
  <c r="BA19" i="30"/>
  <c r="AY19" i="30" s="1"/>
  <c r="AS20" i="30"/>
  <c r="H21" i="30"/>
  <c r="AB22" i="30"/>
  <c r="W23" i="30"/>
  <c r="U24" i="30"/>
  <c r="AJ26" i="30"/>
  <c r="AH26" i="30" s="1"/>
  <c r="BM28" i="30"/>
  <c r="D6" i="30"/>
  <c r="D11" i="30"/>
  <c r="D15" i="30"/>
  <c r="D19" i="30"/>
  <c r="D23" i="30"/>
  <c r="D27" i="30"/>
  <c r="D31" i="30"/>
  <c r="H6" i="30"/>
  <c r="P6" i="30"/>
  <c r="Z6" i="30"/>
  <c r="AP6" i="30"/>
  <c r="AN6" i="30" s="1"/>
  <c r="AX6" i="30"/>
  <c r="AV6" i="30" s="1"/>
  <c r="BG6" i="30"/>
  <c r="BO6" i="30"/>
  <c r="BX6" i="30"/>
  <c r="J7" i="30"/>
  <c r="R7" i="30"/>
  <c r="Z7" i="30"/>
  <c r="AP7" i="30"/>
  <c r="AN7" i="30" s="1"/>
  <c r="BA7" i="30"/>
  <c r="AY7" i="30" s="1"/>
  <c r="BI7" i="30"/>
  <c r="BR7" i="30"/>
  <c r="CA7" i="30"/>
  <c r="L8" i="30"/>
  <c r="AB8" i="30"/>
  <c r="AS8" i="30"/>
  <c r="BD8" i="30"/>
  <c r="BB8" i="30" s="1"/>
  <c r="BM8" i="30"/>
  <c r="BT8" i="30"/>
  <c r="CA8" i="30"/>
  <c r="J9" i="30"/>
  <c r="R9" i="30"/>
  <c r="AB9" i="30"/>
  <c r="AS9" i="30"/>
  <c r="BA9" i="30"/>
  <c r="AY9" i="30" s="1"/>
  <c r="BI9" i="30"/>
  <c r="BR9" i="30"/>
  <c r="CA9" i="30"/>
  <c r="J10" i="30"/>
  <c r="R10" i="30"/>
  <c r="AB10" i="30"/>
  <c r="AJ10" i="30"/>
  <c r="AH10" i="30" s="1"/>
  <c r="AS10" i="30"/>
  <c r="BD10" i="30"/>
  <c r="BB10" i="30" s="1"/>
  <c r="BM10" i="30"/>
  <c r="BV10" i="30"/>
  <c r="H11" i="30"/>
  <c r="P11" i="30"/>
  <c r="W11" i="30"/>
  <c r="AG11" i="30"/>
  <c r="AX11" i="30"/>
  <c r="AV11" i="30" s="1"/>
  <c r="BM11" i="30"/>
  <c r="BV11" i="30"/>
  <c r="H12" i="30"/>
  <c r="P12" i="30"/>
  <c r="AG12" i="30"/>
  <c r="AP12" i="30"/>
  <c r="AN12" i="30" s="1"/>
  <c r="AX12" i="30"/>
  <c r="AV12" i="30" s="1"/>
  <c r="BI12" i="30"/>
  <c r="BR12" i="30"/>
  <c r="L13" i="30"/>
  <c r="W13" i="30"/>
  <c r="AJ13" i="30"/>
  <c r="AH13" i="30" s="1"/>
  <c r="BG13" i="30"/>
  <c r="BR13" i="30"/>
  <c r="CC13" i="30"/>
  <c r="N14" i="30"/>
  <c r="AB14" i="30"/>
  <c r="AM14" i="30"/>
  <c r="AK14" i="30" s="1"/>
  <c r="AX14" i="30"/>
  <c r="AV14" i="30" s="1"/>
  <c r="BM14" i="30"/>
  <c r="BX14" i="30"/>
  <c r="L15" i="30"/>
  <c r="W15" i="30"/>
  <c r="AJ15" i="30"/>
  <c r="AH15" i="30" s="1"/>
  <c r="AX15" i="30"/>
  <c r="AV15" i="30" s="1"/>
  <c r="BI15" i="30"/>
  <c r="BV15" i="30"/>
  <c r="P16" i="30"/>
  <c r="AG16" i="30"/>
  <c r="AX16" i="30"/>
  <c r="AV16" i="30" s="1"/>
  <c r="BR16" i="30"/>
  <c r="J17" i="30"/>
  <c r="AB17" i="30"/>
  <c r="AU17" i="30"/>
  <c r="BK17" i="30"/>
  <c r="CA17" i="30"/>
  <c r="R18" i="30"/>
  <c r="AS18" i="30"/>
  <c r="H19" i="30"/>
  <c r="AS19" i="30"/>
  <c r="CA19" i="30"/>
  <c r="BV20" i="30"/>
  <c r="AS21" i="30"/>
  <c r="J22" i="30"/>
  <c r="H23" i="30"/>
  <c r="CA23" i="30"/>
  <c r="L26" i="30"/>
  <c r="AE27" i="30"/>
  <c r="AP28" i="30"/>
  <c r="AN28" i="30" s="1"/>
  <c r="BD29" i="30"/>
  <c r="BB29" i="30" s="1"/>
  <c r="H5" i="30" l="1"/>
  <c r="J5" i="30"/>
  <c r="R5" i="30"/>
  <c r="P5" i="30"/>
  <c r="D5" i="30"/>
  <c r="U5" i="30"/>
  <c r="L5" i="30"/>
  <c r="X11" i="30"/>
  <c r="BY7" i="30"/>
  <c r="AQ10" i="30"/>
  <c r="S18" i="30"/>
  <c r="AC10" i="30"/>
  <c r="AQ7" i="30"/>
  <c r="S31" i="30"/>
  <c r="BY15" i="30"/>
  <c r="BY17" i="30"/>
  <c r="BY6" i="30"/>
  <c r="BY29" i="30"/>
  <c r="AQ14" i="30"/>
  <c r="BY12" i="30"/>
  <c r="X19" i="30"/>
  <c r="X6" i="30"/>
  <c r="AQ31" i="30"/>
  <c r="AQ33" i="30"/>
  <c r="AC13" i="30"/>
  <c r="X18" i="30"/>
  <c r="AQ21" i="30"/>
  <c r="X7" i="30"/>
  <c r="X33" i="30"/>
  <c r="S8" i="30"/>
  <c r="X21" i="30"/>
  <c r="X12" i="30"/>
  <c r="AQ32" i="30"/>
  <c r="BY14" i="30"/>
  <c r="BP13" i="30"/>
  <c r="AC6" i="30"/>
  <c r="BY23" i="30"/>
  <c r="BY18" i="30"/>
  <c r="AQ8" i="30"/>
  <c r="S24" i="30"/>
  <c r="AQ6" i="30"/>
  <c r="BP14" i="30"/>
  <c r="S17" i="30"/>
  <c r="BE21" i="30"/>
  <c r="BY22" i="30"/>
  <c r="F12" i="30"/>
  <c r="BY8" i="30"/>
  <c r="AC17" i="30"/>
  <c r="S19" i="30"/>
  <c r="BY9" i="30"/>
  <c r="X14" i="30"/>
  <c r="AQ19" i="30"/>
  <c r="AQ18" i="30"/>
  <c r="AC15" i="30"/>
  <c r="BY19" i="30"/>
  <c r="BE12" i="30"/>
  <c r="BE17" i="30"/>
  <c r="AC19" i="30"/>
  <c r="AC18" i="30"/>
  <c r="F31" i="30"/>
  <c r="AC33" i="30"/>
  <c r="AC25" i="30"/>
  <c r="AC29" i="30"/>
  <c r="S32" i="30"/>
  <c r="F11" i="30"/>
  <c r="F21" i="30"/>
  <c r="BE13" i="30"/>
  <c r="BP11" i="30"/>
  <c r="BP15" i="30"/>
  <c r="S11" i="30"/>
  <c r="X9" i="30"/>
  <c r="BE7" i="30"/>
  <c r="S15" i="30"/>
  <c r="X16" i="30"/>
  <c r="AC20" i="30"/>
  <c r="F24" i="30"/>
  <c r="AQ28" i="30"/>
  <c r="BP18" i="30"/>
  <c r="F20" i="30"/>
  <c r="BP21" i="30"/>
  <c r="BP23" i="30"/>
  <c r="BY25" i="30"/>
  <c r="AQ27" i="30"/>
  <c r="AQ17" i="30"/>
  <c r="F18" i="30"/>
  <c r="BE19" i="30"/>
  <c r="BE25" i="30"/>
  <c r="X26" i="30"/>
  <c r="BP29" i="30"/>
  <c r="S26" i="30"/>
  <c r="BY26" i="30"/>
  <c r="AC28" i="30"/>
  <c r="S30" i="30"/>
  <c r="BY30" i="30"/>
  <c r="X25" i="30"/>
  <c r="X27" i="30"/>
  <c r="X31" i="30"/>
  <c r="BP33" i="30"/>
  <c r="AQ23" i="30"/>
  <c r="AC9" i="30"/>
  <c r="S7" i="30"/>
  <c r="S6" i="30"/>
  <c r="S9" i="30"/>
  <c r="F19" i="30"/>
  <c r="BP7" i="30"/>
  <c r="AQ20" i="30"/>
  <c r="S10" i="30"/>
  <c r="F7" i="30"/>
  <c r="S29" i="30"/>
  <c r="AQ24" i="30"/>
  <c r="BY33" i="30"/>
  <c r="AC24" i="30"/>
  <c r="BE23" i="30"/>
  <c r="X29" i="30"/>
  <c r="F16" i="30"/>
  <c r="BE14" i="30"/>
  <c r="BP9" i="30"/>
  <c r="BE8" i="30"/>
  <c r="X15" i="30"/>
  <c r="BE11" i="30"/>
  <c r="AQ16" i="30"/>
  <c r="F10" i="30"/>
  <c r="X13" i="30"/>
  <c r="BY16" i="30"/>
  <c r="BE16" i="30"/>
  <c r="X20" i="30"/>
  <c r="F22" i="30"/>
  <c r="BY20" i="30"/>
  <c r="BP25" i="30"/>
  <c r="S27" i="30"/>
  <c r="BY27" i="30"/>
  <c r="BP28" i="30"/>
  <c r="AC31" i="30"/>
  <c r="F30" i="30"/>
  <c r="S23" i="30"/>
  <c r="X24" i="30"/>
  <c r="BP27" i="30"/>
  <c r="X32" i="30"/>
  <c r="X28" i="30"/>
  <c r="BY31" i="30"/>
  <c r="BP32" i="30"/>
  <c r="S33" i="30"/>
  <c r="AQ22" i="30"/>
  <c r="S20" i="30"/>
  <c r="AQ12" i="30"/>
  <c r="BY11" i="30"/>
  <c r="AQ11" i="30"/>
  <c r="BY10" i="30"/>
  <c r="F6" i="30"/>
  <c r="S16" i="30"/>
  <c r="BE6" i="30"/>
  <c r="BE10" i="30"/>
  <c r="F27" i="30"/>
  <c r="BP19" i="30"/>
  <c r="BY13" i="30"/>
  <c r="AC12" i="30"/>
  <c r="F9" i="30"/>
  <c r="BE18" i="30"/>
  <c r="BP20" i="30"/>
  <c r="AC16" i="30"/>
  <c r="X17" i="30"/>
  <c r="F26" i="30"/>
  <c r="S22" i="30"/>
  <c r="BE22" i="30"/>
  <c r="BP24" i="30"/>
  <c r="AC27" i="30"/>
  <c r="BY28" i="30"/>
  <c r="X22" i="30"/>
  <c r="AC23" i="30"/>
  <c r="F33" i="30"/>
  <c r="F25" i="30"/>
  <c r="AQ25" i="30"/>
  <c r="AQ26" i="30"/>
  <c r="F29" i="30"/>
  <c r="AQ29" i="30"/>
  <c r="AQ30" i="30"/>
  <c r="F15" i="30"/>
  <c r="F8" i="30"/>
  <c r="S25" i="30"/>
  <c r="BE9" i="30"/>
  <c r="F17" i="30"/>
  <c r="BP16" i="30"/>
  <c r="F23" i="30"/>
  <c r="BP12" i="30"/>
  <c r="AC21" i="30"/>
  <c r="S13" i="30"/>
  <c r="AC11" i="30"/>
  <c r="BP10" i="30"/>
  <c r="X10" i="30"/>
  <c r="BP8" i="30"/>
  <c r="X8" i="30"/>
  <c r="F13" i="30"/>
  <c r="AQ13" i="30"/>
  <c r="F14" i="30"/>
  <c r="BE15" i="30"/>
  <c r="BE20" i="30"/>
  <c r="BY21" i="30"/>
  <c r="BP22" i="30"/>
  <c r="AC26" i="30"/>
  <c r="S21" i="30"/>
  <c r="AC22" i="30"/>
  <c r="X23" i="30"/>
  <c r="BY24" i="30"/>
  <c r="X30" i="30"/>
  <c r="AC30" i="30"/>
  <c r="BP31" i="30"/>
  <c r="BP26" i="30"/>
  <c r="S28" i="30"/>
  <c r="BP30" i="30"/>
  <c r="F32" i="30"/>
  <c r="BE24" i="30"/>
  <c r="F28" i="30"/>
  <c r="AC32" i="30"/>
  <c r="BY32" i="30"/>
  <c r="BV5" i="30"/>
  <c r="BM5" i="30"/>
  <c r="BD5" i="30"/>
  <c r="AS5" i="30"/>
  <c r="AG5" i="30"/>
  <c r="W5" i="30"/>
  <c r="CC5" i="30"/>
  <c r="BT5" i="30"/>
  <c r="BK5" i="30"/>
  <c r="BA5" i="30"/>
  <c r="AP5" i="30"/>
  <c r="AE5" i="30"/>
  <c r="CA5" i="30"/>
  <c r="BR5" i="30"/>
  <c r="BI5" i="30"/>
  <c r="AX5" i="30"/>
  <c r="AM5" i="30"/>
  <c r="AB5" i="30"/>
  <c r="BX5" i="30"/>
  <c r="AJ5" i="30"/>
  <c r="AU5" i="30"/>
  <c r="BO5" i="30"/>
  <c r="Z5" i="30"/>
  <c r="BP17" i="30"/>
  <c r="AQ15" i="30"/>
  <c r="S14" i="30"/>
  <c r="S12" i="30"/>
  <c r="AC7" i="30"/>
  <c r="BP6" i="30"/>
  <c r="AC14" i="30"/>
  <c r="AQ9" i="30"/>
  <c r="AC8" i="30"/>
  <c r="BB5" i="30" l="1"/>
  <c r="AY5" i="30"/>
  <c r="AV5" i="30"/>
  <c r="AN5" i="30"/>
  <c r="AK5" i="30"/>
  <c r="AH5" i="30"/>
  <c r="BY5" i="30" l="1"/>
  <c r="AQ5" i="30"/>
  <c r="S5" i="30"/>
  <c r="AC5" i="30"/>
  <c r="X5" i="30"/>
  <c r="F5" i="30"/>
  <c r="BP5" i="30"/>
  <c r="EY8" i="4" l="1"/>
  <c r="ET8" i="4"/>
  <c r="EO8" i="4"/>
  <c r="FF8" i="4"/>
  <c r="FB8" i="4"/>
  <c r="Q8" i="4" l="1"/>
  <c r="R8" i="4"/>
  <c r="M2" i="4" l="1"/>
  <c r="M4" i="4" s="1"/>
  <c r="DJ8" i="4" l="1"/>
  <c r="DH8" i="4"/>
  <c r="CZ8" i="4" a="1"/>
  <c r="CZ8" i="4" s="1"/>
  <c r="DK8" i="4" l="1" a="1"/>
  <c r="DK8" i="4" s="1"/>
  <c r="DL8" i="4" s="1"/>
  <c r="DA8" i="4" a="1"/>
  <c r="DA8" i="4" s="1"/>
  <c r="DC8" i="4" s="1"/>
  <c r="DM8" i="4" l="1"/>
  <c r="DN8" i="4"/>
  <c r="AA2" i="27"/>
  <c r="Y2" i="27"/>
  <c r="W2" i="27"/>
  <c r="U2" i="27"/>
  <c r="S2" i="27"/>
  <c r="Q2" i="27"/>
  <c r="O2" i="27"/>
  <c r="M2" i="27"/>
  <c r="K2" i="27"/>
  <c r="I2" i="27"/>
  <c r="G2" i="27"/>
  <c r="E2" i="27"/>
  <c r="Z2" i="27"/>
  <c r="X2" i="27"/>
  <c r="V2" i="27"/>
  <c r="T2" i="27"/>
  <c r="R2" i="27"/>
  <c r="P2" i="27"/>
  <c r="N2" i="27"/>
  <c r="L2" i="27"/>
  <c r="J2" i="27"/>
  <c r="H2" i="27"/>
  <c r="F2" i="27"/>
  <c r="D2" i="27"/>
  <c r="C2" i="27"/>
  <c r="BG5" i="30"/>
  <c r="BE5" i="30" s="1"/>
  <c r="BG29" i="30"/>
  <c r="BE29" i="30" s="1"/>
  <c r="BG26" i="30"/>
  <c r="BE26" i="30" s="1"/>
  <c r="BG31" i="30"/>
  <c r="BE31" i="30" s="1"/>
  <c r="BG30" i="30"/>
  <c r="BE30" i="30" s="1"/>
  <c r="BG33" i="30"/>
  <c r="BE33" i="30" s="1"/>
  <c r="BG28" i="30"/>
  <c r="BE28" i="30" s="1"/>
  <c r="BG32" i="30"/>
  <c r="BE32" i="30" s="1"/>
  <c r="BG27" i="30"/>
  <c r="BE27" i="3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<sst xmlns="http://schemas.openxmlformats.org/spreadsheetml/2006/main" count="15320" uniqueCount="7567">
  <si>
    <t>Lagerort</t>
  </si>
  <si>
    <t>WGK</t>
  </si>
  <si>
    <t>Hersteller / Lieferant</t>
  </si>
  <si>
    <t>Lagerklassen nach TRGS 510</t>
  </si>
  <si>
    <t>Explosive Gefahrstoffe</t>
  </si>
  <si>
    <t>Gase (ohne Aerosolpackungen und Feuerzeuge)</t>
  </si>
  <si>
    <t>Aerosolpackungen und Feuerzeuge</t>
  </si>
  <si>
    <t>Entzündbare Flüssigkeiten</t>
  </si>
  <si>
    <t>Sonstige explosionsgefährliche Gefahrstoffe</t>
  </si>
  <si>
    <t>Entzündbare feste Gefahrstoffe</t>
  </si>
  <si>
    <t>Pyrophore oder selbsterhitzungsfähige Gefahrstoffe</t>
  </si>
  <si>
    <t>Stark oxidierende Gefahrstoffe</t>
  </si>
  <si>
    <t>Oxidierende Gefahrstoffe</t>
  </si>
  <si>
    <t>Ammoniumnitrat und ammoniumnitrathaltige Zubereitungen</t>
  </si>
  <si>
    <t>Organische Peroxide und selbstzersetzliche Gefahrstoffe</t>
  </si>
  <si>
    <t>Brennbare, akut toxische Kat.1 und 2 / sehr giftige Gefahrstoffe</t>
  </si>
  <si>
    <t>Nicht brennbare, akut toxische Kat.1 und 2 /sehr giftige Gefahrstoffe</t>
  </si>
  <si>
    <t>Brennbare, akut toxische Kat.3 / giftige oder chronisch wirkende Gefahrstoffe</t>
  </si>
  <si>
    <t>Nicht brennbare, akut toxische Kat.3 / giftige oder chronisch wirkende Gefahrstoffe</t>
  </si>
  <si>
    <t>Ansteckungsgefährliche Stoffe</t>
  </si>
  <si>
    <t>Radioaktive Stoffe</t>
  </si>
  <si>
    <t>Nicht brennbare ätzende Gefahrstoffe</t>
  </si>
  <si>
    <t>nicht besetzt</t>
  </si>
  <si>
    <t>Brennbare Flüssigkeiten, die keiner der vorgenannten LGK zuzuordnen sind</t>
  </si>
  <si>
    <t>Brennbare Feststoffe, die keiner der vorgenannten LGK zuzuordnen sind</t>
  </si>
  <si>
    <t>Nicht brennbare Flüssigkeiten, die keiner der vorgenannten LGK zuzuordnen sind</t>
  </si>
  <si>
    <t>Nicht brennbare Feststoffe, die keiner der vorgenannten LGK zuzuordnen sind</t>
  </si>
  <si>
    <t>Gefahrstoffe, die in Berührung mit Wasser entzündbare Gase entwickeln</t>
  </si>
  <si>
    <t>Brennbare ätzende Gefahrstoffe</t>
  </si>
  <si>
    <t>GHS-Piktogramme</t>
  </si>
  <si>
    <t>Status</t>
  </si>
  <si>
    <t>aktiv</t>
  </si>
  <si>
    <t>nicht als gefährlich eingestuft</t>
  </si>
  <si>
    <t>H 200er - Reihe: Physikalische Gefahren</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</si>
  <si>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</si>
  <si>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</si>
  <si>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</si>
  <si>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</si>
  <si>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</si>
  <si>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</si>
  <si>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</si>
  <si>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</si>
  <si>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</si>
  <si>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</si>
  <si>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</si>
  <si>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</si>
  <si>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</si>
  <si>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</si>
  <si>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</si>
  <si>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</si>
  <si>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</si>
  <si>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</si>
  <si>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</si>
  <si>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</si>
  <si>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</si>
  <si>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</si>
  <si>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</si>
  <si>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</si>
  <si>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</si>
  <si>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</si>
  <si>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</si>
  <si>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</si>
  <si>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</si>
  <si>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</si>
  <si>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H200</t>
  </si>
  <si>
    <t>Instabil, explosiv.</t>
  </si>
  <si>
    <t>Explosiv, Gefahr der Massenexplosion.</t>
  </si>
  <si>
    <t>Explosiv; große Gefahr durch Splitter, Spreng- und Wurfstücke.</t>
  </si>
  <si>
    <t>Explosiv; Gefahr durch Feuer, Luftdruck oder Splitter, Spreng- und Wurfstücke.</t>
  </si>
  <si>
    <t>Gefahr durch Feuer oder Splitter, Spreng- und Wurfstücke.</t>
  </si>
  <si>
    <t>Gefahr der Massenexplosion bei Feuer.</t>
  </si>
  <si>
    <t>Extrem entzündbares Gas.</t>
  </si>
  <si>
    <t>Entzündbares Gas.</t>
  </si>
  <si>
    <t>Extrem entzündbares Aerosol.</t>
  </si>
  <si>
    <t>Entzündbares Aerosol.</t>
  </si>
  <si>
    <t>Flüssigkeit und Dampf extrem entzündbar.</t>
  </si>
  <si>
    <t>Flüssigkeit und Dampf leicht entzündbar.</t>
  </si>
  <si>
    <t>Flüssigkeit und Dampf entzündbar.</t>
  </si>
  <si>
    <t>Entzündbarer Feststoff.</t>
  </si>
  <si>
    <t>Behälter steht unter Druck: kann bei Erwärmung bersten.</t>
  </si>
  <si>
    <t>Kann auch in Abwesenheit von Luft explosionsartig reagieren.</t>
  </si>
  <si>
    <t>Kann auch in Abwesenheit von Luft bei erhöhtem Druck und/oder erhöhter Temperatur explosionsartig reagieren.</t>
  </si>
  <si>
    <t>Erwärmung kann Explosion verursachen.</t>
  </si>
  <si>
    <t>Erwärmung kann Brand oder Explosion verursachen.</t>
  </si>
  <si>
    <t>Erwärmung kann Brand verursachen.</t>
  </si>
  <si>
    <t>Entzündet sich in Berührung mit Luft von selbst.</t>
  </si>
  <si>
    <t>Selbsterhitzungsfähig; kann in Brand geraten.</t>
  </si>
  <si>
    <t>In großen Mengen selbsterhitzungsfähig; kann in Brand geraten.</t>
  </si>
  <si>
    <t>In Berührung mit Wasser entstehen entzündbare Gase, die sich spontan entzünden können.</t>
  </si>
  <si>
    <t>In Berührung mit Wasser entstehen entzündbare Gase.</t>
  </si>
  <si>
    <t>Kann Brand verursachen oder verstärken; Oxidationsmittel.</t>
  </si>
  <si>
    <t>Kann Brand oder Explosion verursachen; starkes Oxidationsmittel.</t>
  </si>
  <si>
    <t>Kann Brand verstärken; Oxidationsmittel.</t>
  </si>
  <si>
    <t>Enthält Gas unter Druck; kann bei Erwärmung explodieren.</t>
  </si>
  <si>
    <t>Enthält tiefgekühltes Gas; kann Kälteverbrennungen oder -verletzungen verursachen.</t>
  </si>
  <si>
    <t>Kann gegenüber Metallen korrosiv sein.</t>
  </si>
  <si>
    <t>H 300er - Reihe: Gesundheitsgefahren</t>
  </si>
  <si>
    <t>EUH - Sätze:</t>
  </si>
  <si>
    <t>P 100er - Reihe: Allgemeines</t>
  </si>
  <si>
    <t>P 200er - Reihe: Prävention</t>
  </si>
  <si>
    <t>P 300er - Reihe: Reaktion</t>
  </si>
  <si>
    <t>P 400er - Reihe: Aufbewahrung</t>
  </si>
  <si>
    <t>P 500er - Reihe: Entsorgung</t>
  </si>
  <si>
    <t>GG
Einatmen</t>
  </si>
  <si>
    <t>GG
Haut</t>
  </si>
  <si>
    <t>B</t>
  </si>
  <si>
    <t>mittel</t>
  </si>
  <si>
    <t>HB</t>
  </si>
  <si>
    <t>klein</t>
  </si>
  <si>
    <t>kurz</t>
  </si>
  <si>
    <t>HC</t>
  </si>
  <si>
    <t>A</t>
  </si>
  <si>
    <t>HA</t>
  </si>
  <si>
    <t>niedrig</t>
  </si>
  <si>
    <t>Freisetzungsgruppe</t>
  </si>
  <si>
    <t>Siedepunkt</t>
  </si>
  <si>
    <t>H 400er - Reihe: Umweltgefahren</t>
  </si>
  <si>
    <t>keine</t>
  </si>
  <si>
    <t>C</t>
  </si>
  <si>
    <t>D</t>
  </si>
  <si>
    <t>Beratung</t>
  </si>
  <si>
    <t>HD</t>
  </si>
  <si>
    <t>E</t>
  </si>
  <si>
    <t>Mit Arbeitsplatzgrenzwert (Reinstoffe, Kohlenwasserstoffgemische)</t>
  </si>
  <si>
    <t>Ohne Arbeitplatzgrenzwert (Gemische)</t>
  </si>
  <si>
    <t>bis</t>
  </si>
  <si>
    <t>Flüssigkeiten</t>
  </si>
  <si>
    <t>ppm</t>
  </si>
  <si>
    <t>Feststoffe</t>
  </si>
  <si>
    <t>mg/m³</t>
  </si>
  <si>
    <t>H319, H335, H336, H304</t>
  </si>
  <si>
    <t>H302, H332, H318, H371*</t>
  </si>
  <si>
    <t>H301**, H331**, H314, H334, H341*, H351*, H361f*, H361d*, H370*, H373*, EUH031, TRGS 907</t>
  </si>
  <si>
    <t>H300, H330, H360D*, H372*, EUH032</t>
  </si>
  <si>
    <t>H340*, H350*, H350i, H360F*, TRGS 905, TRGS 906</t>
  </si>
  <si>
    <t>gering</t>
  </si>
  <si>
    <t>hoch</t>
  </si>
  <si>
    <t>Mengengruppe</t>
  </si>
  <si>
    <t>Dampfdruck</t>
  </si>
  <si>
    <t>&lt; 0,5</t>
  </si>
  <si>
    <t>0,5 - 25</t>
  </si>
  <si>
    <t>&gt; 25</t>
  </si>
  <si>
    <t>kPa</t>
  </si>
  <si>
    <t>&gt; 150</t>
  </si>
  <si>
    <t>50 - 150</t>
  </si>
  <si>
    <t>&lt; 50</t>
  </si>
  <si>
    <t>&lt; 2xAT+10</t>
  </si>
  <si>
    <t>&lt; 5xAT+50</t>
  </si>
  <si>
    <t>Reihe 100</t>
  </si>
  <si>
    <t>HE</t>
  </si>
  <si>
    <t>EUH066</t>
  </si>
  <si>
    <t>H315</t>
  </si>
  <si>
    <t>H311, H314 (Hautätz. 1B, 1C), H341*, H351*, H361*, H370*, H372*</t>
  </si>
  <si>
    <t>Reihe 300</t>
  </si>
  <si>
    <t>Wirkfläche</t>
  </si>
  <si>
    <t>kleinflächige Benetzung (Spritzer)</t>
  </si>
  <si>
    <t>großflächige Benetzung (z. B. ganze Hand)</t>
  </si>
  <si>
    <t>groß</t>
  </si>
  <si>
    <t>Wirkfläche des Hautkontaktes</t>
  </si>
  <si>
    <t>Hautkontakt</t>
  </si>
  <si>
    <t>Wirkdauer des Hautkontaktes</t>
  </si>
  <si>
    <t>Wirkdauer</t>
  </si>
  <si>
    <t>lang</t>
  </si>
  <si>
    <t>unter 15 min / Tag</t>
  </si>
  <si>
    <t>über 15 min / Tag</t>
  </si>
  <si>
    <t>Abteilung</t>
  </si>
  <si>
    <t>Schutzleitfaden</t>
  </si>
  <si>
    <t>Freisetzungs- gruppe</t>
  </si>
  <si>
    <t>Stoffeigenschaften</t>
  </si>
  <si>
    <t>Betrieblicher Umgang</t>
  </si>
  <si>
    <t>+</t>
  </si>
  <si>
    <r>
      <t xml:space="preserve">Flamm-
punkt
</t>
    </r>
    <r>
      <rPr>
        <sz val="10"/>
        <color indexed="8"/>
        <rFont val="Arial"/>
        <family val="2"/>
      </rPr>
      <t>[°C]</t>
    </r>
  </si>
  <si>
    <r>
      <t xml:space="preserve">Anwendungs-
Temperatur
</t>
    </r>
    <r>
      <rPr>
        <sz val="10"/>
        <color indexed="8"/>
        <rFont val="Arial"/>
        <family val="2"/>
      </rPr>
      <t>[°C]</t>
    </r>
  </si>
  <si>
    <r>
      <t xml:space="preserve">Dampfdruck 
bei 20°C
</t>
    </r>
    <r>
      <rPr>
        <sz val="10"/>
        <color indexed="8"/>
        <rFont val="Arial"/>
        <family val="2"/>
      </rPr>
      <t>[kPa]</t>
    </r>
  </si>
  <si>
    <t>Kennzeichnung</t>
  </si>
  <si>
    <t>GHS 01</t>
  </si>
  <si>
    <t>GHS 02</t>
  </si>
  <si>
    <t>GHS 03</t>
  </si>
  <si>
    <t>GHS 04</t>
  </si>
  <si>
    <t>GHS 05</t>
  </si>
  <si>
    <t>GHS 06</t>
  </si>
  <si>
    <t>GHS 07</t>
  </si>
  <si>
    <t>GHS 08</t>
  </si>
  <si>
    <t>GHS 09</t>
  </si>
  <si>
    <t>Achtung</t>
  </si>
  <si>
    <t>Gefahr</t>
  </si>
  <si>
    <t>(alte Kennzeichnung)</t>
  </si>
  <si>
    <t>Auswahl</t>
  </si>
  <si>
    <t>nein</t>
  </si>
  <si>
    <t>ja</t>
  </si>
  <si>
    <t>keine Zuordnung</t>
  </si>
  <si>
    <t>Allgemeine Informationen zum Produkt</t>
  </si>
  <si>
    <t>EUH210</t>
  </si>
  <si>
    <t>EUH-Sätze</t>
  </si>
  <si>
    <t>EUH204</t>
  </si>
  <si>
    <t>EUH208</t>
  </si>
  <si>
    <t>H412</t>
  </si>
  <si>
    <t>H336</t>
  </si>
  <si>
    <t>prüfen</t>
  </si>
  <si>
    <t>erweitert</t>
  </si>
  <si>
    <t>Maßnahmenbedarf</t>
  </si>
  <si>
    <t>Schutzleitfaden 120</t>
  </si>
  <si>
    <t>Schutzleitfaden 250</t>
  </si>
  <si>
    <t>Gefährlichkeitsgruppe</t>
  </si>
  <si>
    <t>Gefährdungsbeurteilung</t>
  </si>
  <si>
    <t>hoch*</t>
  </si>
  <si>
    <t>hoch**</t>
  </si>
  <si>
    <t>Zuordnung</t>
  </si>
  <si>
    <t>H312**, H317, H371*, H373*</t>
  </si>
  <si>
    <t xml:space="preserve"> TRGS 907</t>
  </si>
  <si>
    <t>H310, H314 (Hautätz. 1A), H340*, H350*, H360*</t>
  </si>
  <si>
    <t>TRGS 905*, TRGS 906*</t>
  </si>
  <si>
    <t>Einstufung</t>
  </si>
  <si>
    <t>Maßnahmen-bedarf</t>
  </si>
  <si>
    <t>Hier bitte nichts verändern!</t>
  </si>
  <si>
    <t>Schutzleitfaden-120</t>
  </si>
  <si>
    <t>Schutzleitfaden-250</t>
  </si>
  <si>
    <t>öffnen</t>
  </si>
  <si>
    <t>Reihe 200</t>
  </si>
  <si>
    <t>Feststoff</t>
  </si>
  <si>
    <t>Flüssigkeit</t>
  </si>
  <si>
    <t>Schutzleitfaden 100er</t>
  </si>
  <si>
    <t>Schutzleitfaden 200er</t>
  </si>
  <si>
    <t>Schutzleitfaden 300er</t>
  </si>
  <si>
    <t>ml - Bereich</t>
  </si>
  <si>
    <t>l - Bereich</t>
  </si>
  <si>
    <t>m³ - Bereich</t>
  </si>
  <si>
    <t>t - Bereich</t>
  </si>
  <si>
    <t>g - Bereich</t>
  </si>
  <si>
    <t>kg - Bereich</t>
  </si>
  <si>
    <t>bei Raumtemp.</t>
  </si>
  <si>
    <t>bei Anwendungstemp. AT</t>
  </si>
  <si>
    <t>Luftkonzentrationsbereich</t>
  </si>
  <si>
    <t>von</t>
  </si>
  <si>
    <t>Zustand</t>
  </si>
  <si>
    <t>Ergebnis</t>
  </si>
  <si>
    <t>Zustandsform</t>
  </si>
  <si>
    <t>Mengengruppe 1</t>
  </si>
  <si>
    <t>Pellet</t>
  </si>
  <si>
    <t>Wachs</t>
  </si>
  <si>
    <t>Granulat</t>
  </si>
  <si>
    <t>Pulver grob</t>
  </si>
  <si>
    <t>Pulver fein</t>
  </si>
  <si>
    <t>Aerosol</t>
  </si>
  <si>
    <r>
      <t xml:space="preserve">Siedepunkt
</t>
    </r>
    <r>
      <rPr>
        <sz val="10"/>
        <color indexed="8"/>
        <rFont val="Arial"/>
        <family val="2"/>
      </rPr>
      <t>[°C]</t>
    </r>
  </si>
  <si>
    <t>Siedepunkt &lt; 50°C</t>
  </si>
  <si>
    <t>Siedepunkt &gt; 150°C</t>
  </si>
  <si>
    <t>Siedepunkt 50°C - 150°C</t>
  </si>
  <si>
    <t>Verhalten</t>
  </si>
  <si>
    <t>Maßnahmenreihe</t>
  </si>
  <si>
    <t>Schutzleitfaden-100</t>
  </si>
  <si>
    <t>Schutzleitfaden-102</t>
  </si>
  <si>
    <t>Schutzleitfaden-110</t>
  </si>
  <si>
    <t>Schutzleitfaden-130</t>
  </si>
  <si>
    <t>Schutzleitfaden-200</t>
  </si>
  <si>
    <t>Schutzleitfaden-201</t>
  </si>
  <si>
    <t>Schutzleitfaden-203</t>
  </si>
  <si>
    <t>Schutzleitfaden-204</t>
  </si>
  <si>
    <t>Schutzleitfaden-205</t>
  </si>
  <si>
    <t>Schutzleitfaden-206</t>
  </si>
  <si>
    <t>Schutzleitfaden-208</t>
  </si>
  <si>
    <t>Schutzleitfaden-210</t>
  </si>
  <si>
    <t>Schutzleitfaden-211</t>
  </si>
  <si>
    <t>Schutzleitfaden-212</t>
  </si>
  <si>
    <t>Schutzleitfaden-213</t>
  </si>
  <si>
    <t>Schutzleitfaden-214</t>
  </si>
  <si>
    <t>Schutzleitfaden-215</t>
  </si>
  <si>
    <t>Schutzleitfaden-217</t>
  </si>
  <si>
    <t>Schutzleitfaden-222</t>
  </si>
  <si>
    <t>Schutzleitfaden-223</t>
  </si>
  <si>
    <t>Schutzleitfaden-228</t>
  </si>
  <si>
    <t>Schutzleitfaden-230</t>
  </si>
  <si>
    <t>Schutzleitfaden-240</t>
  </si>
  <si>
    <t>Schutzleitfaden-260</t>
  </si>
  <si>
    <t>Schutzleitfaden-300</t>
  </si>
  <si>
    <t>Schutzleitfaden-310</t>
  </si>
  <si>
    <t>Schutzleitfaden-301</t>
  </si>
  <si>
    <t>Schutzleitfaden-305</t>
  </si>
  <si>
    <t>Schutzleitfaden-306</t>
  </si>
  <si>
    <t>Schutzleitfaden-307</t>
  </si>
  <si>
    <t>Schutzleitfaden-308</t>
  </si>
  <si>
    <t>Schutzleitfaden-312</t>
  </si>
  <si>
    <t>Schutzleitfaden-BP1081</t>
  </si>
  <si>
    <t>Schutzleitfaden-LA101</t>
  </si>
  <si>
    <t>Schutzleitfaden-PC170</t>
  </si>
  <si>
    <t>Schutzleitfaden-PC280</t>
  </si>
  <si>
    <t>Schutzleitfaden-PC270</t>
  </si>
  <si>
    <t>Schutzleitfaden-PC271</t>
  </si>
  <si>
    <t>Schutzleitfaden-PC281</t>
  </si>
  <si>
    <t>Schutzleitfaden-PC282</t>
  </si>
  <si>
    <t>Schutzleitfaden-PC370</t>
  </si>
  <si>
    <r>
      <t xml:space="preserve">H-Sätze
</t>
    </r>
    <r>
      <rPr>
        <sz val="10"/>
        <color indexed="8"/>
        <rFont val="Arial"/>
        <family val="2"/>
      </rPr>
      <t>200-er</t>
    </r>
  </si>
  <si>
    <r>
      <t xml:space="preserve">H-Sätze
</t>
    </r>
    <r>
      <rPr>
        <sz val="10"/>
        <color indexed="8"/>
        <rFont val="Arial"/>
        <family val="2"/>
      </rPr>
      <t>300-er</t>
    </r>
  </si>
  <si>
    <r>
      <t xml:space="preserve">H-Sätze
</t>
    </r>
    <r>
      <rPr>
        <sz val="10"/>
        <color indexed="8"/>
        <rFont val="Arial"/>
        <family val="2"/>
      </rPr>
      <t>400-er</t>
    </r>
  </si>
  <si>
    <t>H317</t>
  </si>
  <si>
    <t>Dampfdruck &lt; 0,5 kPa</t>
  </si>
  <si>
    <t>Dampfdruck &gt; 25 kPa</t>
  </si>
  <si>
    <t>Dampfdruck 0,5 - 25 kPa</t>
  </si>
  <si>
    <t>H411</t>
  </si>
  <si>
    <t>H319</t>
  </si>
  <si>
    <t>H302</t>
  </si>
  <si>
    <t>H413</t>
  </si>
  <si>
    <t>H410</t>
  </si>
  <si>
    <t>H360Df</t>
  </si>
  <si>
    <t>H318</t>
  </si>
  <si>
    <t>H400</t>
  </si>
  <si>
    <t>H304</t>
  </si>
  <si>
    <t>H335</t>
  </si>
  <si>
    <t>H300</t>
  </si>
  <si>
    <t>H301</t>
  </si>
  <si>
    <t>H310</t>
  </si>
  <si>
    <t>H311</t>
  </si>
  <si>
    <t>H312</t>
  </si>
  <si>
    <t>H314</t>
  </si>
  <si>
    <t>H330</t>
  </si>
  <si>
    <t>H331</t>
  </si>
  <si>
    <t>H332</t>
  </si>
  <si>
    <t>H334</t>
  </si>
  <si>
    <t>H340</t>
  </si>
  <si>
    <t>H341</t>
  </si>
  <si>
    <t>H350</t>
  </si>
  <si>
    <t>H350i</t>
  </si>
  <si>
    <t>H351</t>
  </si>
  <si>
    <t>H360</t>
  </si>
  <si>
    <t>H360F</t>
  </si>
  <si>
    <t>H360D</t>
  </si>
  <si>
    <t>H360FD</t>
  </si>
  <si>
    <t>H360Fd</t>
  </si>
  <si>
    <t>H361</t>
  </si>
  <si>
    <t>H362</t>
  </si>
  <si>
    <t>H370</t>
  </si>
  <si>
    <t>H371</t>
  </si>
  <si>
    <t>H372</t>
  </si>
  <si>
    <t>H373</t>
  </si>
  <si>
    <t>H361f</t>
  </si>
  <si>
    <t>H361d</t>
  </si>
  <si>
    <t>H361fd</t>
  </si>
  <si>
    <t>Lebensgefahr bei Verschlucken.</t>
  </si>
  <si>
    <t>Giftig bei Verschlucken.</t>
  </si>
  <si>
    <t>Gesundheitsschädlich bei Verschlucken.</t>
  </si>
  <si>
    <t>Kann bei Verschlucken und Eindringen in die Atemwege tödlich sein.</t>
  </si>
  <si>
    <t>Lebensgefahr bei Hautkontakt.</t>
  </si>
  <si>
    <t>Giftig bei Hautkontakt.</t>
  </si>
  <si>
    <t>Gesundheitsschädlich bei Hautkontakt.</t>
  </si>
  <si>
    <t>Verursacht schwere Verätzungen der Haut und schwere Augenschäden.</t>
  </si>
  <si>
    <t>Verursacht Hautreizungen.</t>
  </si>
  <si>
    <t>Kann allergische Hautreaktionen verursachen.</t>
  </si>
  <si>
    <t>Verursacht schwere Augenschäden.</t>
  </si>
  <si>
    <t>Verursacht schwere Augenreizung.</t>
  </si>
  <si>
    <t>Lebensgefahr bei Einatmen.</t>
  </si>
  <si>
    <t>Giftig bei Einatmen.</t>
  </si>
  <si>
    <t>Gesundheitsschädlich bei Einatmen.</t>
  </si>
  <si>
    <t>Kann bei Einatmen Allergie, asthmaartige Symptome oder Atembeschwerden verursachen.</t>
  </si>
  <si>
    <t>Kann die Atemwege reizen.</t>
  </si>
  <si>
    <t>Kann Schläfrigkeit und Benommenheit verursachen.</t>
  </si>
  <si>
    <t>Kann bei Einatmen Krebs erzeugen.</t>
  </si>
  <si>
    <t>Kann die Fruchtbarkeit beeinträchtigen.</t>
  </si>
  <si>
    <t>Kann das Kind im Mutterleib schädigen.</t>
  </si>
  <si>
    <t>Kann die Fruchtbarkeit beeinträchtigen. Kann das Kind im Mutterleib schädigen.</t>
  </si>
  <si>
    <t>Kann die Fruchtbarkeit beeinträchtigen. Kann vermutlich das Kind im Mutterleib schädigen.</t>
  </si>
  <si>
    <t>Kann das Kind im Mutterleib schädigen. Kann vermutlich die Fruchtbarkeit beeinträchtigen.</t>
  </si>
  <si>
    <t>Kann vermutlich die Fruchtbarkeit beeinträchtigen.</t>
  </si>
  <si>
    <t>Kann vermutlich das Kind im Mutterleib schädigen.</t>
  </si>
  <si>
    <t>Kann vermutlich die Fruchtbarkeit beeinträchtigen. Kann vermutlich das Kind im Mutterleib schädigen.</t>
  </si>
  <si>
    <t>Kann Säuglinge über die Muttermilch schädigen.</t>
  </si>
  <si>
    <t>H420</t>
  </si>
  <si>
    <t>Sehr giftig für Wasserorganismen mit langfristiger Wirkung.</t>
  </si>
  <si>
    <t>Sehr giftig für Wasserorganismen.</t>
  </si>
  <si>
    <t>Giftig für Wasserorganismen, mit langfristiger Wirkung.</t>
  </si>
  <si>
    <t>Schädlich für Wasserorganismen, mit langfristiger Wirkung.</t>
  </si>
  <si>
    <t>Kann für Wasserorganismen schädlich sein, mit langfristiger Wirkung.</t>
  </si>
  <si>
    <t>Schädigt die öffentliche Gesundheit und die Umwelt durch Ozonabbau in der äußeren Atmosphäre.</t>
  </si>
  <si>
    <t>EUH001</t>
  </si>
  <si>
    <t>EUH006</t>
  </si>
  <si>
    <t>EUH014</t>
  </si>
  <si>
    <t>EUH018</t>
  </si>
  <si>
    <t>EUH019</t>
  </si>
  <si>
    <t>EUH029</t>
  </si>
  <si>
    <t>EUH031</t>
  </si>
  <si>
    <t>EUH032</t>
  </si>
  <si>
    <t>EUH044</t>
  </si>
  <si>
    <t>EUH059</t>
  </si>
  <si>
    <t>EUH070</t>
  </si>
  <si>
    <t>EUH071</t>
  </si>
  <si>
    <t>EUH201</t>
  </si>
  <si>
    <t>EUH201A</t>
  </si>
  <si>
    <t>EUH202</t>
  </si>
  <si>
    <t>EUH203</t>
  </si>
  <si>
    <t>EUH205</t>
  </si>
  <si>
    <t>EUH206</t>
  </si>
  <si>
    <t>EUH207</t>
  </si>
  <si>
    <t>EUH209</t>
  </si>
  <si>
    <t>EUH209A</t>
  </si>
  <si>
    <t>EUH401</t>
  </si>
  <si>
    <t>Mit und ohne Luft explosionsfähig. (Mit der 4. Anpassung an den Technischen Fortschritt wird diese Kennung aufgehoben und durch H230 ersetzt)</t>
  </si>
  <si>
    <t>In trockenem Zustand explosiv.</t>
  </si>
  <si>
    <t>Reagiert heftig mit Wasser.</t>
  </si>
  <si>
    <t>Kann bei Verwendung explosionsfähige / entzündbare Dampf /Luft-Gemische bilden.</t>
  </si>
  <si>
    <t>Kann explosionsfähige Peroxide bilden.</t>
  </si>
  <si>
    <t>Entwickelt bei Berührung mit Wasser giftige Gase.</t>
  </si>
  <si>
    <t>Entwickelt bei Berührung mit Säure giftige Gase.</t>
  </si>
  <si>
    <t>Entwickelt bei Berührung mit Säure sehr giftige Gase.</t>
  </si>
  <si>
    <t>Explosionsgefahr bei Erhitzen unter Einschluss.</t>
  </si>
  <si>
    <t>Wiederholter Kontakt kann zu spröder oder rissiger Haut führen.</t>
  </si>
  <si>
    <t>Giftig bei Berührung mit den Augen.</t>
  </si>
  <si>
    <t>Wirkt ätzend auf die Atemwege.</t>
  </si>
  <si>
    <t>Enthält Blei. Nicht für den Anstrich von Gegenständen verwenden, die von Kindern gekaut oder gelutscht werden könnten.</t>
  </si>
  <si>
    <t>Achtung! Enthält Blei.</t>
  </si>
  <si>
    <t>Cyanacrylat. Gefahr. Klebt innerhalb von Sekunden Haut und Augenlider zusammen. Darf nicht in die Hände von Kindern gelangen.</t>
  </si>
  <si>
    <t>Enthält Chrom(VI). Kann allergische Reaktionen hervorrufen.</t>
  </si>
  <si>
    <t>Enthält Isocyanate. Kann allergische Reaktionen hervorrufen.</t>
  </si>
  <si>
    <t>Enthält epoxidhaltige Verbindungen. Kann allergische Reaktionen hervorrufen.</t>
  </si>
  <si>
    <t>Achtung! Nicht zusammen mit anderen Produkten verwenden, da gefährliche Gase (Chlor) freigesetzt werden können.</t>
  </si>
  <si>
    <t>Achtung! Enthält Cadmium. Bei der Verwendung entstehen gefährliche Dämpfe. Hinweise des Herstellers beachten. Sicherheitsanweisungen einhalten.</t>
  </si>
  <si>
    <t>Enthält (Name des sensibilisierenden Stoffes). Kann allergische Reaktionen hervorrufen.</t>
  </si>
  <si>
    <t>Kann bei Verwendung leicht entzündbar werden.</t>
  </si>
  <si>
    <t>Kann bei Verwendung entzündbar werden.</t>
  </si>
  <si>
    <t>Sicherheitsdatenblatt auf Anfrage erhältlich.</t>
  </si>
  <si>
    <t>Zur Vermeidung von Risiken für Mensch und Umwelt die Gebrauchsanleitung einhalten.</t>
  </si>
  <si>
    <t>LGK</t>
  </si>
  <si>
    <t>(Expositionsweg angeben, sofern schlüssig belegt ist, dass diese Gefahr bei keinem anderen Expositionsweg besteht).</t>
  </si>
  <si>
    <t>(konkrete Wirkung angeben, sofern bekannt) (Expositionsweg angeben, sofern schlüssig belegt ist, dass die Gefahr bei keinem anderen Expositionsweg besteht).</t>
  </si>
  <si>
    <t>Kann genetische Defekte verursachen.</t>
  </si>
  <si>
    <t>Kann vermutlich genetische Defekte verursachen.</t>
  </si>
  <si>
    <t>Kann Krebs erzeugen.</t>
  </si>
  <si>
    <t>Kann vermutlich Krebs erzeugen.</t>
  </si>
  <si>
    <t>Kann die Fruchtbarkeit beeinträchtigen oder das Kind im Mutterleib schädigen.</t>
  </si>
  <si>
    <t>Kann vermutlich die Fruchtbarkeit beeinträchtigen oder das Kind im Mutterleib schädigen.</t>
  </si>
  <si>
    <t>Schädigt die Organe.</t>
  </si>
  <si>
    <t>(oder alle betroffenen Organe nennen, sofern bekannt) (Expositionsweg angeben, sofern schlüssig belegt ist, dass diese Gefahr bei keinem anderen Expositionsweg besteht).</t>
  </si>
  <si>
    <t>Kann die Organe schädigen.</t>
  </si>
  <si>
    <t>Schädigt die Organe (alle betroffenen Organe nennen) bei längerer oder wiederholter Exposition.</t>
  </si>
  <si>
    <t>(Expositionsweg angeben, wenn schlüssig belegt ist, dass diese Gefahr bei keinem anderen Expositionsweg besteht).</t>
  </si>
  <si>
    <t>H300+H310</t>
  </si>
  <si>
    <t>H300+H310+H330</t>
  </si>
  <si>
    <t>H300+H330</t>
  </si>
  <si>
    <t>H301+H311</t>
  </si>
  <si>
    <t>H301+H311+H331</t>
  </si>
  <si>
    <t>H301+H331</t>
  </si>
  <si>
    <t>H302+H312</t>
  </si>
  <si>
    <t>H302+H312+H332</t>
  </si>
  <si>
    <t>H302+H332</t>
  </si>
  <si>
    <t>H310+H330</t>
  </si>
  <si>
    <t>H311+H331</t>
  </si>
  <si>
    <t>H312+H332</t>
  </si>
  <si>
    <t>Lebensgefahr bei Verschlucken oder Hautkontakt.</t>
  </si>
  <si>
    <t>Lebensgefahr bei Verschlucken, Hautkontakt oder Einatmen.</t>
  </si>
  <si>
    <t>Lebensgefahr bei Verschlucken oder Einatmen.</t>
  </si>
  <si>
    <t>Giftig bei Verschlucken oder Hautkontakt.</t>
  </si>
  <si>
    <t>Giftig bei Verschlucken oder Einatmen.</t>
  </si>
  <si>
    <t>Giftig bei Verschlucken, Hautkontakt oder Einatmen.</t>
  </si>
  <si>
    <t>Gesundheitsschädlich bei Verschlucken oder Hautkontakt.</t>
  </si>
  <si>
    <t>Gesundheitsschädlich bei Verschlucken, Hautkontakt oder Einatmen.</t>
  </si>
  <si>
    <t>Gesundheitsschädlich bei Verschlucken oder Einatmen.</t>
  </si>
  <si>
    <t>Lebensgefahr bei Hautkontakt oder Einatmen.</t>
  </si>
  <si>
    <t>Giftig bei Hautkontakt oder Einatmen.</t>
  </si>
  <si>
    <t>Gesundheitsschädlich bei Hautkontakt oder Einatmen.</t>
  </si>
  <si>
    <t>Mengeneinheit</t>
  </si>
  <si>
    <t>kg</t>
  </si>
  <si>
    <t>Liter</t>
  </si>
  <si>
    <t>Gebindeart</t>
  </si>
  <si>
    <t>Produktbezeichnung / Handelsname</t>
  </si>
  <si>
    <t>Explosion</t>
  </si>
  <si>
    <t>Flamme</t>
  </si>
  <si>
    <t>Flamme über Kreis</t>
  </si>
  <si>
    <t>Gasflasche</t>
  </si>
  <si>
    <t>Ätzwirkung</t>
  </si>
  <si>
    <t>Totenkopf (giftig)</t>
  </si>
  <si>
    <t>Ausrufezeichen</t>
  </si>
  <si>
    <t>Gesundheitsgefahr</t>
  </si>
  <si>
    <t>Umwelt</t>
  </si>
  <si>
    <t>2A</t>
  </si>
  <si>
    <t>2B</t>
  </si>
  <si>
    <t>4.1A</t>
  </si>
  <si>
    <t>4.1B</t>
  </si>
  <si>
    <t>4.2</t>
  </si>
  <si>
    <t>4.3</t>
  </si>
  <si>
    <t>5.1A</t>
  </si>
  <si>
    <t>5.1B</t>
  </si>
  <si>
    <t>5.1C</t>
  </si>
  <si>
    <t>5.2</t>
  </si>
  <si>
    <t>6.1A</t>
  </si>
  <si>
    <t>6.1B</t>
  </si>
  <si>
    <t>6.1C</t>
  </si>
  <si>
    <t>6.1D</t>
  </si>
  <si>
    <t>6.2</t>
  </si>
  <si>
    <t>7</t>
  </si>
  <si>
    <t>8A</t>
  </si>
  <si>
    <t>8B</t>
  </si>
  <si>
    <t>9</t>
  </si>
  <si>
    <t>10</t>
  </si>
  <si>
    <t>11</t>
  </si>
  <si>
    <t>12</t>
  </si>
  <si>
    <t>13</t>
  </si>
  <si>
    <t>10-13</t>
  </si>
  <si>
    <t>1</t>
  </si>
  <si>
    <t>Sonstige brennbare und nicht brennbare Stoffe</t>
  </si>
  <si>
    <t>Zusammenlagerungstabelle gemäß TRGS 510</t>
  </si>
  <si>
    <t>Beschreibung / Gefährdungsfaktor</t>
  </si>
  <si>
    <t>ml</t>
  </si>
  <si>
    <t>Leicht- / Hochentzündlich</t>
  </si>
  <si>
    <t>Brandfördernd</t>
  </si>
  <si>
    <t>Komprimierte Gase</t>
  </si>
  <si>
    <t>Ätzend</t>
  </si>
  <si>
    <t>Giftig / 
sehr giftig</t>
  </si>
  <si>
    <t>Gesundheits-
gefährdend</t>
  </si>
  <si>
    <t>Gesundheits-
schädlich</t>
  </si>
  <si>
    <t>Umweltgefährdend</t>
  </si>
  <si>
    <t>Explosions-gefährlich</t>
  </si>
  <si>
    <t>alle Abteilungen</t>
  </si>
  <si>
    <t>Verzeichnis der Gefahr- und Gebrauchsstoffe</t>
  </si>
  <si>
    <t>-</t>
  </si>
  <si>
    <t>Substitutionsprüfung</t>
  </si>
  <si>
    <t>P307</t>
  </si>
  <si>
    <t>P309</t>
  </si>
  <si>
    <t>aufgehoben</t>
  </si>
  <si>
    <t>P285</t>
  </si>
  <si>
    <t>P281</t>
  </si>
  <si>
    <t>P322</t>
  </si>
  <si>
    <t>P341</t>
  </si>
  <si>
    <t>P350</t>
  </si>
  <si>
    <t>Mit viel Wasser / … waschen.</t>
  </si>
  <si>
    <t>P351</t>
  </si>
  <si>
    <t>P352</t>
  </si>
  <si>
    <t>P353</t>
  </si>
  <si>
    <t>P360</t>
  </si>
  <si>
    <t>P361</t>
  </si>
  <si>
    <t>P362</t>
  </si>
  <si>
    <t>P363</t>
  </si>
  <si>
    <t>P364</t>
  </si>
  <si>
    <t>P302+P350</t>
  </si>
  <si>
    <t>P304+P341</t>
  </si>
  <si>
    <t>P309+P310</t>
  </si>
  <si>
    <t>P309+P311</t>
  </si>
  <si>
    <t>P101</t>
  </si>
  <si>
    <t>P102</t>
  </si>
  <si>
    <t>P103</t>
  </si>
  <si>
    <t>Ist ärztlicher Rat erforderlich, Verpackung oder Kennzeichnungsetikett bereithalten.</t>
  </si>
  <si>
    <t>Darf nicht in die Hände von Kindern gelangen.</t>
  </si>
  <si>
    <t>Vor Gebrauch Kennzeichnungsetikett lesen.</t>
  </si>
  <si>
    <t>P201</t>
  </si>
  <si>
    <t>P202</t>
  </si>
  <si>
    <t>P210</t>
  </si>
  <si>
    <t>P211</t>
  </si>
  <si>
    <t>P220</t>
  </si>
  <si>
    <t>P221</t>
  </si>
  <si>
    <t>P222</t>
  </si>
  <si>
    <t>P223</t>
  </si>
  <si>
    <t>P230</t>
  </si>
  <si>
    <t>P231</t>
  </si>
  <si>
    <t>P232</t>
  </si>
  <si>
    <t>P233</t>
  </si>
  <si>
    <t>P234</t>
  </si>
  <si>
    <t>P235</t>
  </si>
  <si>
    <t>P240</t>
  </si>
  <si>
    <t>P241</t>
  </si>
  <si>
    <t>P242</t>
  </si>
  <si>
    <t>P243</t>
  </si>
  <si>
    <t>P244</t>
  </si>
  <si>
    <t>P250</t>
  </si>
  <si>
    <t>P251</t>
  </si>
  <si>
    <t>P260</t>
  </si>
  <si>
    <t>P261</t>
  </si>
  <si>
    <t>P262</t>
  </si>
  <si>
    <t>P263</t>
  </si>
  <si>
    <t>P264</t>
  </si>
  <si>
    <t>P270</t>
  </si>
  <si>
    <t>P271</t>
  </si>
  <si>
    <t>P272</t>
  </si>
  <si>
    <t>P273</t>
  </si>
  <si>
    <t>P280</t>
  </si>
  <si>
    <t>P282</t>
  </si>
  <si>
    <t>P283</t>
  </si>
  <si>
    <t>P284</t>
  </si>
  <si>
    <t>P231+P232</t>
  </si>
  <si>
    <t>P235+P410</t>
  </si>
  <si>
    <t>Unter inertem Gas handhaben. Vor Feuchtigkeit schützen.</t>
  </si>
  <si>
    <t>Kühl halten. Vor Sonnenbestrahlung schützen.</t>
  </si>
  <si>
    <t>P301</t>
  </si>
  <si>
    <t>P302</t>
  </si>
  <si>
    <t>P303</t>
  </si>
  <si>
    <t>P304</t>
  </si>
  <si>
    <t>P305</t>
  </si>
  <si>
    <t>P306</t>
  </si>
  <si>
    <t>P308</t>
  </si>
  <si>
    <t>P310</t>
  </si>
  <si>
    <t>P311</t>
  </si>
  <si>
    <t>P312</t>
  </si>
  <si>
    <t>P313</t>
  </si>
  <si>
    <t>P314</t>
  </si>
  <si>
    <t>P315</t>
  </si>
  <si>
    <t>P320</t>
  </si>
  <si>
    <t>P321</t>
  </si>
  <si>
    <t>P330</t>
  </si>
  <si>
    <t>P331</t>
  </si>
  <si>
    <t>P332</t>
  </si>
  <si>
    <t>P333</t>
  </si>
  <si>
    <t>P334</t>
  </si>
  <si>
    <t>P335</t>
  </si>
  <si>
    <t>P336</t>
  </si>
  <si>
    <t>P337</t>
  </si>
  <si>
    <t>P338</t>
  </si>
  <si>
    <t>P340</t>
  </si>
  <si>
    <t>P342</t>
  </si>
  <si>
    <t>P370</t>
  </si>
  <si>
    <t>P371</t>
  </si>
  <si>
    <t>P372</t>
  </si>
  <si>
    <t>P373</t>
  </si>
  <si>
    <t>P374</t>
  </si>
  <si>
    <t>P375</t>
  </si>
  <si>
    <t>P376</t>
  </si>
  <si>
    <t>P377</t>
  </si>
  <si>
    <t>P378</t>
  </si>
  <si>
    <t>P380</t>
  </si>
  <si>
    <t>P381</t>
  </si>
  <si>
    <t>P390</t>
  </si>
  <si>
    <t>P391</t>
  </si>
  <si>
    <t>Bei Verschlucken: Sofort Giftinformationszentrum, Arzt oder … anrufen.</t>
  </si>
  <si>
    <t xml:space="preserve">P301+P310 </t>
  </si>
  <si>
    <t>Bei Verschlucken: Bei Unwohlsein Giftinformationszentrum, Arzt oder … anrufen.</t>
  </si>
  <si>
    <t xml:space="preserve">P301+P312 </t>
  </si>
  <si>
    <t>Bei Verschlucken: Mund ausspülen. Kein Erbrechen herbeiführen.</t>
  </si>
  <si>
    <t xml:space="preserve">P301+P330+P331 </t>
  </si>
  <si>
    <t>Bei Kontakt mit der Haut: In kaltes Wasser tauchen / nassen Verband anlegen.</t>
  </si>
  <si>
    <t xml:space="preserve">P302+P334 </t>
  </si>
  <si>
    <t xml:space="preserve">P302+P352 </t>
  </si>
  <si>
    <t>Bei Kontakt mit der Haut (oder dem Haar): Alle beschmutzten, getränkten Kleidungsstücke sofort ausziehen. Haut mit Wasser abwaschen/duschen.</t>
  </si>
  <si>
    <t xml:space="preserve">P303+P361+P353 </t>
  </si>
  <si>
    <t>Bei Einatmen: Die Person an die frische Luft bringen und für ungehinderte Atmung sorgen.</t>
  </si>
  <si>
    <t>P304+P340</t>
  </si>
  <si>
    <t>Vor Gebrauch besondere Anweisungen einholen.</t>
  </si>
  <si>
    <t>Vor Gebrauch alle Sicherheitshinweise lesen und verstehen.</t>
  </si>
  <si>
    <t>Von Hitze, heißen Oberflächen, Funken, offenen Flammen sowie anderen Zündquellenarten fernhalten. Nicht rauchen.</t>
  </si>
  <si>
    <t>Nicht gegen offene Flamme oder andere Zündquelle sprühen.</t>
  </si>
  <si>
    <t>Kontakt mit Luft nicht zulassen. Nach dem 1. Dezember 2014 mit Anpassung an 4. ATP: Berührung mit Luft vermeiden.</t>
  </si>
  <si>
    <t>Unter inertem Gas handhaben.</t>
  </si>
  <si>
    <t>Vor Feuchtigkeit schützen.</t>
  </si>
  <si>
    <t>Behälter dicht verschlossen halten.</t>
  </si>
  <si>
    <t>Nur im Originalbehälter aufbewahren.</t>
  </si>
  <si>
    <t>Kühl halten.</t>
  </si>
  <si>
    <t>Behälter und zu befüllende Anlage erden.</t>
  </si>
  <si>
    <t>Schwer entflammbare / flammhemmende Kleidung tragen.</t>
  </si>
  <si>
    <t>Atemschutz tragen.</t>
  </si>
  <si>
    <t>Schutzhandschuhe / Schutzkleidung / Augenschutz / Gesichtsschutz tragen.</t>
  </si>
  <si>
    <t>Freisetzung in die Umwelt vermeiden.</t>
  </si>
  <si>
    <t>Kontaminierte Arbeitskleidung nicht außerhalb des Arbeitsplatzes tragen.</t>
  </si>
  <si>
    <t>Bei Gebrauch nicht essen, trinken oder rauchen.</t>
  </si>
  <si>
    <t>Nur im Freien oder in gut belüfteten Räumen verwenden.</t>
  </si>
  <si>
    <t>Nur funkenfreies Werkzeug verwenden.</t>
  </si>
  <si>
    <t>Maßnahmen gegen elektrostatische Entladungen treffen.</t>
  </si>
  <si>
    <t>Druckminderer frei von Fett und Öl halten.</t>
  </si>
  <si>
    <t>Nicht durchstechen oder verbrennen, auch nicht nach der Verwendung.</t>
  </si>
  <si>
    <t>Staub / Rauch / Gas / Nebel / Dampf / Aerosol nicht einatmen.</t>
  </si>
  <si>
    <t>Einatmen von Staub / Rauch / Gas / Nebel / Dampf / Aerosol vermeiden.</t>
  </si>
  <si>
    <t>Nicht in die Augen, auf die Haut oder auf die Kleidung gelangen lassen.</t>
  </si>
  <si>
    <t>Kontakt während der Schwangerschaft / und der Stillzeit vermeiden.</t>
  </si>
  <si>
    <t>Schutzhandschuhe / Gesichtsschild / Augenschutz mit Kälteisolierung tragen.</t>
  </si>
  <si>
    <t>Bei Verschlucken:</t>
  </si>
  <si>
    <t>Bei Berührung mit der Haut:</t>
  </si>
  <si>
    <t>Bei Berührung mit der Haut (oder dem Haar):</t>
  </si>
  <si>
    <t>Bei Einatmen:</t>
  </si>
  <si>
    <t>Bei Kontakt mit den Augen:</t>
  </si>
  <si>
    <t>Bei kontaminierter Kleidung:</t>
  </si>
  <si>
    <t>Bei Exposition oder falls betroffen:</t>
  </si>
  <si>
    <t>Sofort Giftinformationszentrum, Arzt oder … anrufen.</t>
  </si>
  <si>
    <t>Giftinformationszentrum, Arzt oder … anrufen.</t>
  </si>
  <si>
    <t>Bei Unwohlsein Giftinformationszentrum, Arzt oder … anrufen.</t>
  </si>
  <si>
    <t>Ärztlichen Rat einholen / ärztliche Hilfe hinzuziehen.</t>
  </si>
  <si>
    <t>Bei Großbrand und großen Mengen: Umgebung räumen. Wegen Explosionsgefahr Brand aus der Entfernung bekämpfen.</t>
  </si>
  <si>
    <t>P371+P380+P375</t>
  </si>
  <si>
    <t>Bei Brand: Umgebung räumen. Wegen Explosionsgefahr Brand aus der Entfernung bekämpfen.</t>
  </si>
  <si>
    <t>P370+P380+P375</t>
  </si>
  <si>
    <t>P370+P380</t>
  </si>
  <si>
    <t>Bei Brand: Umgebung räumen.</t>
  </si>
  <si>
    <t>Bei Brand: Undichtigkeit beseitigen, wenn gefahrlos möglich.</t>
  </si>
  <si>
    <t>P370+P376</t>
  </si>
  <si>
    <t>P370+P378</t>
  </si>
  <si>
    <t>Bei Symptomen der Atemwege:</t>
  </si>
  <si>
    <t>Einige Minuten lang behutsam mit Wasser ausspülen.</t>
  </si>
  <si>
    <t>Haut mit Wasser abwaschen / duschen.</t>
  </si>
  <si>
    <t>Kontaminierte Kleidung und Haut sofort mit viel Wasser abwaschen und danach Kleidung ausziehen.</t>
  </si>
  <si>
    <t>Alle kontaminierten Kleidungsstücke sofort ausziehen.</t>
  </si>
  <si>
    <t>Kontaminierte Kleidung ausziehen.</t>
  </si>
  <si>
    <t>Kontaminierte Kleidung vor erneutem Tragen waschen.</t>
  </si>
  <si>
    <t>Und vor erneutem Tragen waschen.</t>
  </si>
  <si>
    <t>Bei Brand:</t>
  </si>
  <si>
    <t>Bei Großbrand und großen Mengen:</t>
  </si>
  <si>
    <t>Explosionsgefahr bei Brand.</t>
  </si>
  <si>
    <t>Keine Brandbekämpfung, wenn das Feuer explosive Stoffe / Gemische / Erzeugnisse erreicht.</t>
  </si>
  <si>
    <t>Brandbekämpfung mit üblichen Vorsichtsmaßnahmen aus angemessener Entfernung.</t>
  </si>
  <si>
    <t>Wegen Explosionsgefahr Brand aus der Entfernung bekämpfen.</t>
  </si>
  <si>
    <t>Undichtigkeit beseitigen, wenn gefahrlos möglich.</t>
  </si>
  <si>
    <t>Brand von ausströmendem Gas: Nicht löschen, bis Undichtigkeit gefahrlos beseitigt werden kann.</t>
  </si>
  <si>
    <t>Umgebung räumen.</t>
  </si>
  <si>
    <t>Alle Zündquellen entfernen, wenn gefahrlos möglich.</t>
  </si>
  <si>
    <t>Verschüttete Mengen aufnehmen, um Materialschäden zu vermeiden.</t>
  </si>
  <si>
    <t>Verschüttete Mengen aufnehmen.</t>
  </si>
  <si>
    <t>Bei Kontakt mit den Augen: Einige Minuten lang behutsam mit Wasser spülen. Vorhandene Kontaktlinsen nach Möglichkeit entfernen. Weiter spülen.</t>
  </si>
  <si>
    <t xml:space="preserve">P305+P351+P338 </t>
  </si>
  <si>
    <t>Bei Kontakt mit der Kleidung: Kontaminierte Kleidung und Haut sofort mit viel Wasser abwaschen und danach Kleidung ausziehen.</t>
  </si>
  <si>
    <t>P306+P360</t>
  </si>
  <si>
    <t>Bei Exposition: Giftinformationszentrum oder Arzt anrufen.</t>
  </si>
  <si>
    <t>Bei Exposition oder falls betroffen: Giftinformationszentrum, Arzt oder … anrufen.</t>
  </si>
  <si>
    <t>Mund ausspülen.</t>
  </si>
  <si>
    <t>Kein Erbrechen herbeiführen.</t>
  </si>
  <si>
    <t>Bei Hautreizung:</t>
  </si>
  <si>
    <t>Bei Hautreizung oder -ausschlag:</t>
  </si>
  <si>
    <t>In kaltes Wasser tauchen / nassen Verband anlegen.</t>
  </si>
  <si>
    <t>Lose Partikel von der Haut abbürsten.</t>
  </si>
  <si>
    <t>Vereiste Bereiche mit lauwarmem Wasser auftauen. Betroffenen Bereich nicht reiben.</t>
  </si>
  <si>
    <t>Bei anhaltender Augenreizung:</t>
  </si>
  <si>
    <t>Eventuell vorhandene Kontaktlinsen nach Möglichkeit entfernen. Weiter ausspülen.</t>
  </si>
  <si>
    <t>Die betroffene Person an die frische Luft bringen und für ungehinderte Atmung sorgen.</t>
  </si>
  <si>
    <t>Sofort ärztlichen Rat einholen / ärztliche Hilfe hinzuziehen.</t>
  </si>
  <si>
    <t>Bei Unwohlsein ärztlichen Rat einholen / ärztliche Hilfe hinzuziehen.</t>
  </si>
  <si>
    <t>Bei Exposition oder falls betroffen: Ärztlichen Rat einholen / ärztliche Hilfe hinzuziehen.</t>
  </si>
  <si>
    <t>P307+P311</t>
  </si>
  <si>
    <t>P308+P311</t>
  </si>
  <si>
    <t>P308+P313</t>
  </si>
  <si>
    <t>P332+P313</t>
  </si>
  <si>
    <t>P333+P313</t>
  </si>
  <si>
    <t>P335+P334</t>
  </si>
  <si>
    <t>P337+P313</t>
  </si>
  <si>
    <t>P342+P311</t>
  </si>
  <si>
    <t>Bei Symptomen der Atemwege: Giftinformationszentrum, Arzt oder … anrufen.</t>
  </si>
  <si>
    <t>Bei Hautreizung: Ärztlichen Rat einholen / ärztliche Hilfe hinzuziehen.</t>
  </si>
  <si>
    <t>Bei Hautreizung oder -ausschlag: Ärztlichen Rat einholen / ärztliche Hilfe hinzuziehen.</t>
  </si>
  <si>
    <t>Lose Partikel von der Haut abbürsten. In kaltes Wasser tauchen / nassen Verband anlegen.</t>
  </si>
  <si>
    <t>Bei anhaltender Augenreizung: Ärztlichen Rat einholen / ärztliche Hilfe hinzuziehen.</t>
  </si>
  <si>
    <t>Alle kontaminierten Kleidungsstücke sofort ausziehen und vor erneutem Tragen waschen.</t>
  </si>
  <si>
    <t>Kontaminierte Kleidung ausziehen und vor erneutem Tragen waschen.</t>
  </si>
  <si>
    <t>P361+P364</t>
  </si>
  <si>
    <t>P362+P364</t>
  </si>
  <si>
    <t>P401</t>
  </si>
  <si>
    <t>P402</t>
  </si>
  <si>
    <t>P403</t>
  </si>
  <si>
    <t>P404</t>
  </si>
  <si>
    <t>P405</t>
  </si>
  <si>
    <t>P406</t>
  </si>
  <si>
    <t>P407</t>
  </si>
  <si>
    <t>P410</t>
  </si>
  <si>
    <t>P411</t>
  </si>
  <si>
    <t>P412</t>
  </si>
  <si>
    <t>P413</t>
  </si>
  <si>
    <t>P420</t>
  </si>
  <si>
    <t>P422</t>
  </si>
  <si>
    <t>In einem geschlossenen Behälter an einem trockenen Ort aufbewahren.</t>
  </si>
  <si>
    <t>P402+P404</t>
  </si>
  <si>
    <t>P403+P233</t>
  </si>
  <si>
    <t>P403+P235</t>
  </si>
  <si>
    <t>P410+P403</t>
  </si>
  <si>
    <t>P410+P412</t>
  </si>
  <si>
    <t>P411+P235</t>
  </si>
  <si>
    <t>Behälter dicht verschlossen an einem gut belüfteten Ort aufbewahren.</t>
  </si>
  <si>
    <t>Kühl an einem gut belüfteten Ort aufbewahren.</t>
  </si>
  <si>
    <t>Vor Sonnenbestrahlung geschützt an einem gut belüfteten Ort aufbewahren.</t>
  </si>
  <si>
    <t>Vor Sonnenbestrahlung schützen und nicht Temperaturen von mehr als 50 °C aussetzen.</t>
  </si>
  <si>
    <t>P501</t>
  </si>
  <si>
    <t>P502</t>
  </si>
  <si>
    <t>Informationen zur Wiederverwendung/Wiederverwertung beim Hersteller/Lieferanten erfragen.</t>
  </si>
  <si>
    <t>Bei Kontakt mit der Haut: Mit viel Wasser / ... waschen.</t>
  </si>
  <si>
    <t xml:space="preserve">Explosionsgeschützte elektrische Betriebsmittel / Lüftungsanlagen / Beleuchtung / … verwenden. </t>
  </si>
  <si>
    <t>(Die vom Gesetzgeber offen gelassene Einfügung ist vom Inverkehrbringer zu ergänzen)</t>
  </si>
  <si>
    <t>Kühl und bei Temperaturen von nicht mehr als … °C aufbewahren.</t>
  </si>
  <si>
    <t xml:space="preserve">Bei Brand: … zum Löschen verwenden. </t>
  </si>
  <si>
    <t>… zum Löschen verwenden.</t>
  </si>
  <si>
    <t>Besondere Behandlung dringend erforderlich (siehe … auf diesem Kennzeichnungsetikett).</t>
  </si>
  <si>
    <t>Besondere Behandlung (siehe … auf diesem Kennzeichnungsetikett).</t>
  </si>
  <si>
    <t xml:space="preserve">Nach Gebrauch … gründlich waschen. </t>
  </si>
  <si>
    <t>Nicht schleifen / stoßen / … / reiben.</t>
  </si>
  <si>
    <t>Von Kleidung /…/ brennbaren Materialien fernhalten/entfernt aufbewahren.</t>
  </si>
  <si>
    <t>Mischen mit brennbaren Stoffen / … unbedingt verhindern.</t>
  </si>
  <si>
    <t>Keinen Kontakt mit Wasser zulassen.</t>
  </si>
  <si>
    <t>Feucht halten mit … .</t>
  </si>
  <si>
    <t>Inhalt / Behälter … zuführen.</t>
  </si>
  <si>
    <t>nwg</t>
  </si>
  <si>
    <t>awg</t>
  </si>
  <si>
    <t>… aufbewahren. (Die vom Gesetzgeber offen gelassene Einfügung ist vom Inverkehrbringer zu ergänzen)</t>
  </si>
  <si>
    <t>An einem trockenen Ort aufbewahren.</t>
  </si>
  <si>
    <t>An einem gut belüfteten Ort aufbewahren.</t>
  </si>
  <si>
    <t>In einem geschlossenen Behälter aufbewahren.</t>
  </si>
  <si>
    <t>Unter Verschluss aufbewahren.</t>
  </si>
  <si>
    <t>In korrosionsbeständigem / … Behälter mit korrosionsbeständiger Auskleidung aufbewahren.</t>
  </si>
  <si>
    <t>Luftspalt zwischen Stapeln / Paletten lassen.</t>
  </si>
  <si>
    <t>Vor Sonnenbestrahlung schützen.</t>
  </si>
  <si>
    <t xml:space="preserve">Bei Temperaturen von nicht mehr als … °C / … aufbewahren. </t>
  </si>
  <si>
    <t>Nicht Temperaturen von mehr als 50 °C aussetzen.</t>
  </si>
  <si>
    <t xml:space="preserve">Schüttgut in Mengen von mehr als … kg bei Temperaturen von nicht mehr als … °C aufbewahren. </t>
  </si>
  <si>
    <t>Von anderen Materialien entfernt aufbewahren.</t>
  </si>
  <si>
    <t>Inhalt in / unter … aufbewahren.</t>
  </si>
  <si>
    <r>
      <t>P-Sätze
1</t>
    </r>
    <r>
      <rPr>
        <sz val="10"/>
        <color theme="1"/>
        <rFont val="Arial"/>
        <family val="2"/>
      </rPr>
      <t>00-er</t>
    </r>
  </si>
  <si>
    <r>
      <t>P-Sätze
2</t>
    </r>
    <r>
      <rPr>
        <sz val="10"/>
        <color theme="1"/>
        <rFont val="Arial"/>
        <family val="2"/>
      </rPr>
      <t>00-er</t>
    </r>
  </si>
  <si>
    <r>
      <t>P-Sätze
3</t>
    </r>
    <r>
      <rPr>
        <sz val="10"/>
        <color theme="1"/>
        <rFont val="Arial"/>
        <family val="2"/>
      </rPr>
      <t>00-er</t>
    </r>
  </si>
  <si>
    <r>
      <t>P-Sätze
4</t>
    </r>
    <r>
      <rPr>
        <sz val="10"/>
        <color theme="1"/>
        <rFont val="Arial"/>
        <family val="2"/>
      </rPr>
      <t>00-er</t>
    </r>
  </si>
  <si>
    <r>
      <t>P-Sätze
5</t>
    </r>
    <r>
      <rPr>
        <sz val="10"/>
        <color theme="1"/>
        <rFont val="Arial"/>
        <family val="2"/>
      </rPr>
      <t>00-er</t>
    </r>
  </si>
  <si>
    <t>G</t>
  </si>
  <si>
    <t>TRGS 410</t>
  </si>
  <si>
    <t>Blecheimer / Kanister</t>
  </si>
  <si>
    <t>Dose</t>
  </si>
  <si>
    <t>Eimer</t>
  </si>
  <si>
    <t>Fass (Stahl)</t>
  </si>
  <si>
    <t>Fass (Kunststoff)</t>
  </si>
  <si>
    <t>Flasche (Glas)</t>
  </si>
  <si>
    <t>Flasche (Kunststoff)</t>
  </si>
  <si>
    <t>Flasche (Stahl)</t>
  </si>
  <si>
    <t>Kanister (Blech)</t>
  </si>
  <si>
    <t>Kanister (Kunststoff)</t>
  </si>
  <si>
    <t>Kartusche</t>
  </si>
  <si>
    <t>Sack</t>
  </si>
  <si>
    <t>Spraydose</t>
  </si>
  <si>
    <t>Tube</t>
  </si>
  <si>
    <t>Pulver</t>
  </si>
  <si>
    <t>Gas</t>
  </si>
  <si>
    <t>k. A.</t>
  </si>
  <si>
    <r>
      <t xml:space="preserve">Betriebs-
anweisung (BAG)
</t>
    </r>
    <r>
      <rPr>
        <sz val="8"/>
        <color indexed="8"/>
        <rFont val="Arial"/>
        <family val="2"/>
      </rPr>
      <t>(Bearbeitungsdatum)</t>
    </r>
  </si>
  <si>
    <r>
      <t xml:space="preserve">Sicherheits-
datenblatt (SDB)
</t>
    </r>
    <r>
      <rPr>
        <sz val="8"/>
        <color indexed="8"/>
        <rFont val="Arial"/>
        <family val="2"/>
      </rPr>
      <t>(Bearbeitungsdatum)</t>
    </r>
  </si>
  <si>
    <t>CMR_H</t>
  </si>
  <si>
    <t>Wortlaut</t>
  </si>
  <si>
    <t>CMR</t>
  </si>
  <si>
    <t>Kat. 1A</t>
  </si>
  <si>
    <t>Kat. 1B</t>
  </si>
  <si>
    <t>Kat. 2</t>
  </si>
  <si>
    <t xml:space="preserve"> </t>
  </si>
  <si>
    <t>H360Fd.</t>
  </si>
  <si>
    <t>entfällt</t>
  </si>
  <si>
    <t>Paste</t>
  </si>
  <si>
    <t>Nr.</t>
  </si>
  <si>
    <t>001</t>
  </si>
  <si>
    <t>002</t>
  </si>
  <si>
    <t>003</t>
  </si>
  <si>
    <t>004</t>
  </si>
  <si>
    <t>005</t>
  </si>
  <si>
    <t>006</t>
  </si>
  <si>
    <t>007</t>
  </si>
  <si>
    <t>008</t>
  </si>
  <si>
    <t>009</t>
  </si>
  <si>
    <t>010</t>
  </si>
  <si>
    <t>011</t>
  </si>
  <si>
    <t>012</t>
  </si>
  <si>
    <t>013</t>
  </si>
  <si>
    <t>014</t>
  </si>
  <si>
    <t>015</t>
  </si>
  <si>
    <t>016</t>
  </si>
  <si>
    <t>019</t>
  </si>
  <si>
    <t>Zustand_alle</t>
  </si>
  <si>
    <t>Toxikologie</t>
  </si>
  <si>
    <t>Entsorgungshinweise</t>
  </si>
  <si>
    <t>PSA</t>
  </si>
  <si>
    <r>
      <rPr>
        <b/>
        <sz val="10"/>
        <color indexed="8"/>
        <rFont val="Arial"/>
        <family val="2"/>
      </rPr>
      <t xml:space="preserve">Bezeichnung 
CMR-Inhaltsstoff (1)
</t>
    </r>
    <r>
      <rPr>
        <sz val="10"/>
        <color indexed="8"/>
        <rFont val="Arial"/>
        <family val="2"/>
      </rPr>
      <t>gemäß Abschnitt 3 SDB</t>
    </r>
  </si>
  <si>
    <r>
      <t xml:space="preserve">Anteil
</t>
    </r>
    <r>
      <rPr>
        <sz val="10"/>
        <color indexed="8"/>
        <rFont val="Arial"/>
        <family val="2"/>
      </rPr>
      <t>[Gew.-%]</t>
    </r>
  </si>
  <si>
    <t>CMR Kategorie</t>
  </si>
  <si>
    <t>H-Satz (CMR)</t>
  </si>
  <si>
    <t>Wortlaut der Einstufung</t>
  </si>
  <si>
    <r>
      <rPr>
        <b/>
        <sz val="10"/>
        <color indexed="8"/>
        <rFont val="Arial"/>
        <family val="2"/>
      </rPr>
      <t xml:space="preserve">Bezeichnung 
CMR-Inhaltsstoff (2)
</t>
    </r>
    <r>
      <rPr>
        <sz val="10"/>
        <color indexed="8"/>
        <rFont val="Arial"/>
        <family val="2"/>
      </rPr>
      <t>gemäß Abschnitt 3 SDB</t>
    </r>
  </si>
  <si>
    <r>
      <rPr>
        <b/>
        <sz val="10"/>
        <color indexed="8"/>
        <rFont val="Arial"/>
        <family val="2"/>
      </rPr>
      <t xml:space="preserve">Bezeichnung 
CMR-Inhaltsstoff (3)
</t>
    </r>
    <r>
      <rPr>
        <sz val="10"/>
        <color indexed="8"/>
        <rFont val="Arial"/>
        <family val="2"/>
      </rPr>
      <t>gemäß Abschnitt 3 SDB</t>
    </r>
  </si>
  <si>
    <r>
      <t xml:space="preserve">Abfallschlüssel
</t>
    </r>
    <r>
      <rPr>
        <sz val="10"/>
        <color theme="1"/>
        <rFont val="Arial"/>
        <family val="2"/>
      </rPr>
      <t>Produkt</t>
    </r>
  </si>
  <si>
    <r>
      <rPr>
        <b/>
        <sz val="10"/>
        <color theme="1"/>
        <rFont val="Arial"/>
        <family val="2"/>
      </rPr>
      <t>Schlüsselbezeichnung</t>
    </r>
    <r>
      <rPr>
        <sz val="10"/>
        <color theme="1"/>
        <rFont val="Arial"/>
        <family val="2"/>
      </rPr>
      <t xml:space="preserve">
Produkt</t>
    </r>
  </si>
  <si>
    <r>
      <t xml:space="preserve">Abfallschlüssel
</t>
    </r>
    <r>
      <rPr>
        <sz val="10"/>
        <color theme="1"/>
        <rFont val="Arial"/>
        <family val="2"/>
      </rPr>
      <t>Produkt / Verpackung</t>
    </r>
  </si>
  <si>
    <r>
      <rPr>
        <b/>
        <sz val="10"/>
        <color theme="1"/>
        <rFont val="Arial"/>
        <family val="2"/>
      </rPr>
      <t>Schlüsselbezeichnung</t>
    </r>
    <r>
      <rPr>
        <sz val="10"/>
        <color theme="1"/>
        <rFont val="Arial"/>
        <family val="2"/>
      </rPr>
      <t xml:space="preserve">
Produkt / Verpackung</t>
    </r>
  </si>
  <si>
    <t>Handschutz</t>
  </si>
  <si>
    <t>EN-Norm</t>
  </si>
  <si>
    <t>Material</t>
  </si>
  <si>
    <t>Materialstärke 
[mm]</t>
  </si>
  <si>
    <t>Durchdringzeit (max. Tragedauer) [min]</t>
  </si>
  <si>
    <t>Augenschutz / Gesichtsschutz</t>
  </si>
  <si>
    <t>Körperschutz</t>
  </si>
  <si>
    <t>Atemschutz</t>
  </si>
  <si>
    <t>Filter</t>
  </si>
  <si>
    <t>Abfallschlüssel</t>
  </si>
  <si>
    <t>Abfallbezeichnung</t>
  </si>
  <si>
    <t>Abfälle, die beim Aufsuchen, Ausbeuten und Gewinnen sowie bei der physikalischen und chemischen Behandlung von Bodenschätzen entstehen</t>
  </si>
  <si>
    <t>01 01</t>
  </si>
  <si>
    <t>Abfälle aus dem Abbau von Bodenschätzen</t>
  </si>
  <si>
    <t>01 01 01</t>
  </si>
  <si>
    <t>Abfälle aus dem Abbau von metallhaltigen Bodenschätzen</t>
  </si>
  <si>
    <t>01 01 02</t>
  </si>
  <si>
    <t>Abfälle aus dem Abbau von nichtmetallhaltigen Bodenschätzen</t>
  </si>
  <si>
    <t>01 03</t>
  </si>
  <si>
    <t>Abfälle aus der physikalischen und chemischen Verarbeitung von metallhaltigen Bodenschätzen</t>
  </si>
  <si>
    <t>01 03 04*</t>
  </si>
  <si>
    <t>Säure bildende Aufbereitungsrückstände aus der Verarbeitung von sulfidischem Erz</t>
  </si>
  <si>
    <t>01 03 05*</t>
  </si>
  <si>
    <t>andere Aufbereitungsrückstände, die gefährliche Stoffe enthalten</t>
  </si>
  <si>
    <t>01 03 06</t>
  </si>
  <si>
    <t>Aufbereitungsrückstände mit Ausnahme derjenigen, die unter 01 03 04 und 01 03 05 fallen</t>
  </si>
  <si>
    <t>01 03 07*</t>
  </si>
  <si>
    <t>andere, gefährliche Stoffe enthaltende Abfälle aus der physikalischen und chemischen Verarbeitung von metallhaltigen Bodenschätzen</t>
  </si>
  <si>
    <t>01 03 08</t>
  </si>
  <si>
    <t>staubende und pulvrige Abfälle mit Ausnahme derjenigen, die unter 01 03 07 fallen</t>
  </si>
  <si>
    <t>01 03 09</t>
  </si>
  <si>
    <t>Rotschlamm aus der Aluminiumoxidherstellung mit Ausnahme von Abfällen, die unter 01 03 10 fallen</t>
  </si>
  <si>
    <t>01 03 10*</t>
  </si>
  <si>
    <t>Rotschlamm aus der Aluminiumoxidherstellung, der gefährliche Stoffe enthält, mit Ausnahme der unter 01 03 07 genannten Abfälle</t>
  </si>
  <si>
    <t>01 03 99</t>
  </si>
  <si>
    <t>Abfälle a. n. g.</t>
  </si>
  <si>
    <t>01 04</t>
  </si>
  <si>
    <t>Abfälle aus der physikalischen und chemischen Weiterverarbeitung von nichtmetallhaltigen Bodenschätzen</t>
  </si>
  <si>
    <t>01 04 07*</t>
  </si>
  <si>
    <t>gefährliche Stoffe enthaltende Abfälle aus der physikalischen und chemischen Weiterverarbeitung von nichtmetallhaltigen Bodenschätzen</t>
  </si>
  <si>
    <t>01 04 08</t>
  </si>
  <si>
    <t>Abfälle von Kies- und Gesteinsbruch mit Ausnahme derjenigen, die unter 01 04 07 fallen</t>
  </si>
  <si>
    <t>01 04 09</t>
  </si>
  <si>
    <t>Abfälle von Sand und Ton</t>
  </si>
  <si>
    <t>01 04 10</t>
  </si>
  <si>
    <t>staubende und pulvrige Abfälle mit Ausnahme derjenigen, die unter 01 04 07 fallen</t>
  </si>
  <si>
    <t>01 04 11</t>
  </si>
  <si>
    <t>Abfälle aus der Verarbeitung von Kali- und Steinsalz mit Ausnahme derjenigen, die unter 01 04 07 fallen</t>
  </si>
  <si>
    <t>01 04 12</t>
  </si>
  <si>
    <t>Aufbereitungsrückstände und andere Abfälle aus der Wäsche und Reinigung von Bodenschätzen mit Ausnahme derjenigen, die unter 01 04 07 und 01 04 11 fallen</t>
  </si>
  <si>
    <t>01 04 13</t>
  </si>
  <si>
    <t>Abfälle aus Steinmetz- und -sägearbeiten mit Ausnahme derjenigen, die unter 01 04 07 fallen</t>
  </si>
  <si>
    <t>01 04 99</t>
  </si>
  <si>
    <t>01 05</t>
  </si>
  <si>
    <t>Bohrschlämme und andere Bohrabfälle</t>
  </si>
  <si>
    <t>01 05 04</t>
  </si>
  <si>
    <t>Schlämme und Abfälle aus Süßwasserbohrungen</t>
  </si>
  <si>
    <t>01 05 05*</t>
  </si>
  <si>
    <t>ölhaltige Bohrschlämme und -abfälle</t>
  </si>
  <si>
    <t>01 05 06*</t>
  </si>
  <si>
    <t>Bohrschlämme und andere Bohrabfälle, die gefährliche Stoffe enthalten</t>
  </si>
  <si>
    <t>01 05 07</t>
  </si>
  <si>
    <t>barythaltige Bohrschlämme und -abfälle mit Ausnahme derjenigen, die unter 01 05 05 und 01 05 06 fallen</t>
  </si>
  <si>
    <t>01 05 08</t>
  </si>
  <si>
    <t>chloridhaltige Bohrschlämme und -abfälle mit Ausnahme derjenigen, die unter 01 05 05 und 01 05 06 fallen</t>
  </si>
  <si>
    <t>01 05 99</t>
  </si>
  <si>
    <t>Abfälle aus Landwirtschaft, Gartenbau, Teichwirtschaft, Forstwirtschaft, Jagd und Fischerei sowie der Herstellung und Verarbeitung von Nahrungsmitteln</t>
  </si>
  <si>
    <t>02 01</t>
  </si>
  <si>
    <t>Abfälle aus Landwirtschaft, Gartenbau, Teichwirtschaft, Forstwirtschaft, Jagd und Fischerei</t>
  </si>
  <si>
    <t>02 01 01</t>
  </si>
  <si>
    <t>Schlämme von Wasch- und Reinigungsvorgängen</t>
  </si>
  <si>
    <t>02 01 02</t>
  </si>
  <si>
    <t>Abfälle aus tierischem Gewebe</t>
  </si>
  <si>
    <t>02 01 03</t>
  </si>
  <si>
    <t>Abfälle aus pflanzlichem Gewebe</t>
  </si>
  <si>
    <t>02 01 04</t>
  </si>
  <si>
    <t>Kunststoffabfälle (ohne Verpackungen)</t>
  </si>
  <si>
    <t>02 01 06</t>
  </si>
  <si>
    <t>tierische Ausscheidungen, Gülle/Jauche und Stallmist (einschließlich verdorbenes Stroh), Abwässer, getrennt gesammelt und extern behandelt</t>
  </si>
  <si>
    <t>02 01 07</t>
  </si>
  <si>
    <t>Abfälle aus der Forstwirtschaft</t>
  </si>
  <si>
    <t>02 01 08*</t>
  </si>
  <si>
    <t>Abfälle von Chemikalien für die Landwirtschaft, die gefährliche Stoffe enthalten</t>
  </si>
  <si>
    <t>02 01 09</t>
  </si>
  <si>
    <t>Abfälle von Chemikalien für die Landwirtschaft mit Ausnahme derjenigen, die unter 02 01 08 fallen</t>
  </si>
  <si>
    <t>02 01 10</t>
  </si>
  <si>
    <t>Metallabfälle</t>
  </si>
  <si>
    <t>02 01 99</t>
  </si>
  <si>
    <t>02 02</t>
  </si>
  <si>
    <t>Abfälle aus der Zubereitung und Verarbeitung von Fleisch, Fisch und anderen Nahrungsmitteln tierischen Ursprungs</t>
  </si>
  <si>
    <t>02 02 01</t>
  </si>
  <si>
    <t>02 02 02</t>
  </si>
  <si>
    <t>02 02 03</t>
  </si>
  <si>
    <t>für Verzehr oder Verarbeitung ungeeignete Stoffe</t>
  </si>
  <si>
    <t>02 02 04</t>
  </si>
  <si>
    <t>Schlämme aus der betriebseigenen Abwasserbehandlung</t>
  </si>
  <si>
    <t>02 02 99</t>
  </si>
  <si>
    <t>02 03</t>
  </si>
  <si>
    <t>Abfälle aus der Zubereitung und Verarbeitung von Obst, Gemüse, Getreide, Speiseölen, Kakao, Kaffee, Tee und Tabak, aus der Konservenherstellung, der Herstellung von Hefe und Hefeextrakt sowie der Zubereitung und Fermentierung von Melasse</t>
  </si>
  <si>
    <t>02 03 01</t>
  </si>
  <si>
    <t>Schlämme aus Wasch-, Reinigungs-, Schäl-, Zentrifugier- und Abtrennprozessen</t>
  </si>
  <si>
    <t>02 03 02</t>
  </si>
  <si>
    <t>Abfälle von Konservierungsstoffen</t>
  </si>
  <si>
    <t>02 03 03</t>
  </si>
  <si>
    <t>Abfälle aus der Extraktion mit Lösemitteln</t>
  </si>
  <si>
    <t>02 03 04</t>
  </si>
  <si>
    <t>02 03 05</t>
  </si>
  <si>
    <t>02 03 99</t>
  </si>
  <si>
    <t>02 04</t>
  </si>
  <si>
    <t>Abfälle aus der Zuckerherstellung</t>
  </si>
  <si>
    <t>02 04 01</t>
  </si>
  <si>
    <t>Rübenerde</t>
  </si>
  <si>
    <t>02 04 02</t>
  </si>
  <si>
    <t>nicht spezifikationsgerechter Calciumcarbonatschlamm</t>
  </si>
  <si>
    <t>02 04 03</t>
  </si>
  <si>
    <t>02 04 99</t>
  </si>
  <si>
    <t>02 05</t>
  </si>
  <si>
    <t>Abfälle aus der Milchverarbeitung</t>
  </si>
  <si>
    <t>02 05 01</t>
  </si>
  <si>
    <t>02 05 02</t>
  </si>
  <si>
    <t>02 05 99</t>
  </si>
  <si>
    <t>02 06</t>
  </si>
  <si>
    <t>Abfälle aus der Herstellung von Back- und Süßwaren</t>
  </si>
  <si>
    <t>02 06 01</t>
  </si>
  <si>
    <t>02 06 02</t>
  </si>
  <si>
    <t>02 06 03</t>
  </si>
  <si>
    <t>02 06 99</t>
  </si>
  <si>
    <t>02 07</t>
  </si>
  <si>
    <t>Abfälle aus der Herstellung von alkoholischen und alkoholfreien Getränken (ohne Kaffee, Tee und Kakao)</t>
  </si>
  <si>
    <t>02 07 01</t>
  </si>
  <si>
    <t>Abfälle aus der Wäsche, Reinigung und mechanischen Zerkleinerung des Rohmaterials</t>
  </si>
  <si>
    <t>02 07 02</t>
  </si>
  <si>
    <t>Abfälle aus der Alkoholdestillation</t>
  </si>
  <si>
    <t>02 07 03</t>
  </si>
  <si>
    <t>Abfälle aus der chemischen Behandlung</t>
  </si>
  <si>
    <t>02 07 04</t>
  </si>
  <si>
    <t>02 07 05</t>
  </si>
  <si>
    <t>02 07 99</t>
  </si>
  <si>
    <t>Abfälle aus der Holzbearbeitung und der Herstellung von Platten, Möbeln, Zellstoffen, Papier und Pappe</t>
  </si>
  <si>
    <t>03 01</t>
  </si>
  <si>
    <t>Abfälle aus der Holzbearbeitung und der Herstellung von Platten und Möbeln</t>
  </si>
  <si>
    <t>03 01 01</t>
  </si>
  <si>
    <t>Rinden- und Korkabfälle</t>
  </si>
  <si>
    <t>03 01 04*</t>
  </si>
  <si>
    <t>Sägemehl, Späne, Abschnitte, Holz, Spanplatten und Furniere, die gefährliche Stoffe enthalten</t>
  </si>
  <si>
    <t>03 01 05</t>
  </si>
  <si>
    <t>Sägemehl, Späne, Abschnitte, Holz, Spanplatten und Furniere mit Ausnahme derjenigen, die unter 03 01 04 fallen</t>
  </si>
  <si>
    <t>03 01 99</t>
  </si>
  <si>
    <t>03 02</t>
  </si>
  <si>
    <t>Abfälle aus der Holzkonservierung</t>
  </si>
  <si>
    <t>03 02 01*</t>
  </si>
  <si>
    <t>halogenfreie organische Holzschutzmittel</t>
  </si>
  <si>
    <t>03 02 02*</t>
  </si>
  <si>
    <t>chlororganische Holzschutzmittel</t>
  </si>
  <si>
    <t>03 02 03*</t>
  </si>
  <si>
    <t>metallorganische Holzschutzmittel</t>
  </si>
  <si>
    <t>03 02 04*</t>
  </si>
  <si>
    <t>anorganische Holzschutzmittel</t>
  </si>
  <si>
    <t>03 02 05*</t>
  </si>
  <si>
    <t>andere Holzschutzmittel, die gefährliche Stoffe enthalten</t>
  </si>
  <si>
    <t>03 02 99</t>
  </si>
  <si>
    <t>Holzschutzmittel a. n. g.</t>
  </si>
  <si>
    <t>03 03</t>
  </si>
  <si>
    <t>Abfälle aus der Herstellung und Verarbeitung von Zellstoff, Papier, Karton und Pappe</t>
  </si>
  <si>
    <t>03 03 01</t>
  </si>
  <si>
    <t>Rinden- und Holzabfälle</t>
  </si>
  <si>
    <t>03 03 02</t>
  </si>
  <si>
    <t>Sulfitschlämme (aus der Rückgewinnung von Kochlaugen)</t>
  </si>
  <si>
    <t>03 03 05</t>
  </si>
  <si>
    <t>De-inking-Schlämme aus dem Papierrecycling</t>
  </si>
  <si>
    <t>03 03 07</t>
  </si>
  <si>
    <t>mechanisch abgetrennte Abfälle aus der Auflösung von Papier- und Pappabfällen</t>
  </si>
  <si>
    <t>03 03 08</t>
  </si>
  <si>
    <t>Abfälle aus dem Sortieren von Papier und Pappe für das Recycling</t>
  </si>
  <si>
    <t>03 03 09</t>
  </si>
  <si>
    <t>Kalkschlammabfälle</t>
  </si>
  <si>
    <t>03 03 10</t>
  </si>
  <si>
    <t>Faserabfälle, Faser-, Füller- und Überzugsschlämme aus der mechanischen Abtrennung</t>
  </si>
  <si>
    <t>03 03 11</t>
  </si>
  <si>
    <t>Schlämme aus der betriebseigenen Abwasserbehandlung mit Ausnahme derjenigen, die unter 03 03 10 fallen</t>
  </si>
  <si>
    <t>03 03 99</t>
  </si>
  <si>
    <t>Abfälle aus der Leder-, Pelz- und Textilindustrie</t>
  </si>
  <si>
    <t>04 01</t>
  </si>
  <si>
    <t>Abfälle aus der Leder- und Pelzindustrie</t>
  </si>
  <si>
    <t>04 01 01</t>
  </si>
  <si>
    <t>Fleischabschabungen und Häuteabfälle</t>
  </si>
  <si>
    <t>04 01 02</t>
  </si>
  <si>
    <t>geäschertes Leimleder</t>
  </si>
  <si>
    <t>04 01 03*</t>
  </si>
  <si>
    <t>Entfettungsabfälle, lösemittelhaltig, ohne flüssige Phase</t>
  </si>
  <si>
    <t>04 01 04</t>
  </si>
  <si>
    <t>chromhaltige Gerbereibrühe</t>
  </si>
  <si>
    <t>04 01 05</t>
  </si>
  <si>
    <t>chromfreie Gerbereibrühe</t>
  </si>
  <si>
    <t>04 01 06</t>
  </si>
  <si>
    <t>chromhaltige Schlämme, insbesondere aus der betriebseigenen Abwasserbehandlung</t>
  </si>
  <si>
    <t>04 01 07</t>
  </si>
  <si>
    <t>chromfreie Schlämme, insbesondere aus der betriebseigenen Abwasserbehandlung</t>
  </si>
  <si>
    <t>04 01 08</t>
  </si>
  <si>
    <t>chromhaltige Abfälle aus gegerbtem Leder (Abschnitte, Schleifstaub, Falzspäne)</t>
  </si>
  <si>
    <t>04 01 09</t>
  </si>
  <si>
    <t>Abfälle aus der Zurichtung und dem Finish</t>
  </si>
  <si>
    <t>04 01 99</t>
  </si>
  <si>
    <t>04 02</t>
  </si>
  <si>
    <t>Abfälle aus der Textilindustrie</t>
  </si>
  <si>
    <t>04 02 09</t>
  </si>
  <si>
    <t>Abfälle aus Verbundmaterialien (imprägnierte Textilien, Elastomer, Plastomer)</t>
  </si>
  <si>
    <t>04 02 10</t>
  </si>
  <si>
    <t>organische Stoffe aus Naturstoffen (z.B. Fette, Wachse)</t>
  </si>
  <si>
    <t>04 02 14*</t>
  </si>
  <si>
    <t>Abfälle aus dem Finish, die organische Lösungsmittel enthalten</t>
  </si>
  <si>
    <t>04 02 15</t>
  </si>
  <si>
    <t>Abfälle aus dem Finish mit Ausnahme derjenigen, die unter 04 02 14 fallen</t>
  </si>
  <si>
    <t>04 02 16*</t>
  </si>
  <si>
    <t>Farbstoffe und Pigmente, die gefährliche Stoffe enthalten</t>
  </si>
  <si>
    <t>04 02 17</t>
  </si>
  <si>
    <t>Farbstoffe und Pigmente mit Ausnahme derjenigen, die unter 04 02 16 fallen</t>
  </si>
  <si>
    <t>04 02 19*</t>
  </si>
  <si>
    <t>Schlämme aus der betriebseigenen Abwasserbehandlung, die gefährliche Stoffe enthalten</t>
  </si>
  <si>
    <t>04 02 20</t>
  </si>
  <si>
    <t>Schlämme aus der betriebseigenen Abwasserbehandlung mit Ausnahme derjenigen, die unter 04 02 19 fallen</t>
  </si>
  <si>
    <t>04 02 21</t>
  </si>
  <si>
    <t>Abfälle aus unbehandelten Textilfasern</t>
  </si>
  <si>
    <t>04 02 22</t>
  </si>
  <si>
    <t>Abfälle aus verarbeiteten Textilfasern</t>
  </si>
  <si>
    <t>04 02 99</t>
  </si>
  <si>
    <t>Abfälle aus der Erdölraffination, Erdgasreinigung und Kohlepyrolyse</t>
  </si>
  <si>
    <t>05 01</t>
  </si>
  <si>
    <t>Abfälle aus der Erdölraffination</t>
  </si>
  <si>
    <t>05 01 02*</t>
  </si>
  <si>
    <t>Entsalzungsschlämme</t>
  </si>
  <si>
    <t>05 01 03*</t>
  </si>
  <si>
    <t>Bodenschlämme aus Tanks</t>
  </si>
  <si>
    <t>05 01 04*</t>
  </si>
  <si>
    <t>saure Alkylschlämme</t>
  </si>
  <si>
    <t>05 01 05*</t>
  </si>
  <si>
    <t>verschüttetes Öl</t>
  </si>
  <si>
    <t>05 01 06*</t>
  </si>
  <si>
    <t>ölhaltige Schlämme aus Betriebsvorgängen und Instandhaltung</t>
  </si>
  <si>
    <t>05 01 07*</t>
  </si>
  <si>
    <t>Säureteere</t>
  </si>
  <si>
    <t>05 01 08*</t>
  </si>
  <si>
    <t>andere Teere</t>
  </si>
  <si>
    <t>05 01 09*</t>
  </si>
  <si>
    <t>05 01 10</t>
  </si>
  <si>
    <t>Schlämme aus der betriebseigenen Abwasserbehandlung mit Ausnahme derjenigen, die unter 05 01 09 fallen</t>
  </si>
  <si>
    <t>05 01 11*</t>
  </si>
  <si>
    <t>Abfälle aus der Brennstoffreinigung mit Basen</t>
  </si>
  <si>
    <t>05 01 12*</t>
  </si>
  <si>
    <t>säurehaltige Öle</t>
  </si>
  <si>
    <t>05 01 13</t>
  </si>
  <si>
    <t>Schlämme aus der Kesselspeisewasseraufbereitung</t>
  </si>
  <si>
    <t>05 01 14</t>
  </si>
  <si>
    <t>Abfälle aus Kühlkolonnen</t>
  </si>
  <si>
    <t>05 01 15*</t>
  </si>
  <si>
    <t>gebrauchte Filtertone</t>
  </si>
  <si>
    <t>05 01 16</t>
  </si>
  <si>
    <t>schwefelhaltige Abfälle aus der Ölentschwefelung</t>
  </si>
  <si>
    <t>05 01 17</t>
  </si>
  <si>
    <t>Bitumen</t>
  </si>
  <si>
    <t>05 01 99</t>
  </si>
  <si>
    <t>05 06</t>
  </si>
  <si>
    <t>Abfälle aus der Kohlepyrolyse</t>
  </si>
  <si>
    <t>05 06 01*</t>
  </si>
  <si>
    <t>05 06 03*</t>
  </si>
  <si>
    <t>05 06 04</t>
  </si>
  <si>
    <t>05 06 99</t>
  </si>
  <si>
    <t>05 07</t>
  </si>
  <si>
    <t>Abfälle aus Erdgasreinigung und -transport</t>
  </si>
  <si>
    <t>05 07 01*</t>
  </si>
  <si>
    <t>quecksilberhaltige Abfälle</t>
  </si>
  <si>
    <t>05 07 02</t>
  </si>
  <si>
    <t>schwefelhaltige Abfälle</t>
  </si>
  <si>
    <t>05 07 99</t>
  </si>
  <si>
    <t>Abfälle aus anorganisch-chemischen Prozessen</t>
  </si>
  <si>
    <t>06 01</t>
  </si>
  <si>
    <t>Abfälle aus Herstellung, Zubereitung, Vertrieb und Anwendung (HZVA) von Säuren</t>
  </si>
  <si>
    <t>06 01 01*</t>
  </si>
  <si>
    <t>Schwefelsäure und schweflige Säure</t>
  </si>
  <si>
    <t>06 01 02*</t>
  </si>
  <si>
    <t>Salzsäure</t>
  </si>
  <si>
    <t>06 01 03*</t>
  </si>
  <si>
    <t>Flusssäure</t>
  </si>
  <si>
    <t>06 01 04*</t>
  </si>
  <si>
    <t>Phosphorsäure und phosphorige Säure</t>
  </si>
  <si>
    <t>06 01 05*</t>
  </si>
  <si>
    <t>Salpetersäure und salpetrige Säure</t>
  </si>
  <si>
    <t>06 01 06*</t>
  </si>
  <si>
    <t>andere Säuren</t>
  </si>
  <si>
    <t>06 01 99</t>
  </si>
  <si>
    <t>06 02</t>
  </si>
  <si>
    <t>Abfälle aus HZVA von Basen</t>
  </si>
  <si>
    <t>06 02 01*</t>
  </si>
  <si>
    <t>Calciumhydroxid</t>
  </si>
  <si>
    <t>06 02 03*</t>
  </si>
  <si>
    <t>Ammoniumhydroxid</t>
  </si>
  <si>
    <t>06 02 04*</t>
  </si>
  <si>
    <t>Natrium- und Kaliumhydroxid</t>
  </si>
  <si>
    <t>06 02 05*</t>
  </si>
  <si>
    <t>andere Basen</t>
  </si>
  <si>
    <t>06 02 99</t>
  </si>
  <si>
    <t>06 03</t>
  </si>
  <si>
    <t>Abfälle aus HZVA von Salzen, Salzlösungen und Metalloxiden</t>
  </si>
  <si>
    <t>06 03 11*</t>
  </si>
  <si>
    <t>feste Salze und Lösungen, die Cyanid enthalten</t>
  </si>
  <si>
    <t>06 03 13*</t>
  </si>
  <si>
    <t>feste Salze und Lösungen, die Schwermetalle enthalten</t>
  </si>
  <si>
    <t>06 03 14</t>
  </si>
  <si>
    <t>feste Salze und Lösungen mit Ausnahme derjenigen, die unter 06 03 11 und 06 03 13 fallen</t>
  </si>
  <si>
    <t>06 03 15*</t>
  </si>
  <si>
    <t>Metalloxide, die Schwermetalle enthalten</t>
  </si>
  <si>
    <t>06 03 16</t>
  </si>
  <si>
    <t>Metalloxide mit Ausnahme derjenigen, die unter 06 03 15 fallen</t>
  </si>
  <si>
    <t>06 03 99</t>
  </si>
  <si>
    <t>06 04</t>
  </si>
  <si>
    <t>Metallhaltige Abfälle mit Ausnahme derjenigen, die unter 06 03 fallen</t>
  </si>
  <si>
    <t>06 04 03*</t>
  </si>
  <si>
    <t>arsenhaltige Abfälle</t>
  </si>
  <si>
    <t>06 04 04*</t>
  </si>
  <si>
    <t>06 04 05*</t>
  </si>
  <si>
    <t>Abfälle, die andere Schwermetalle enthalten</t>
  </si>
  <si>
    <t>06 04 99</t>
  </si>
  <si>
    <t>06 05</t>
  </si>
  <si>
    <t>06 05 02*</t>
  </si>
  <si>
    <t>06 05 03</t>
  </si>
  <si>
    <t>Schlämme aus der betriebseigenen Abwasserbehandlung mit Ausnahme derjenigen, die unter 06 05 02 fallen</t>
  </si>
  <si>
    <t>06 06</t>
  </si>
  <si>
    <t>Abfälle aus HZVA von schwefelhaltigen Chemikalien, aus Schwefelchemie und Entschwefelungsprozessen</t>
  </si>
  <si>
    <t>06 06 02*</t>
  </si>
  <si>
    <t>Abfälle, die gefährliche Sulfide enthalten</t>
  </si>
  <si>
    <t>06 06 03</t>
  </si>
  <si>
    <t>sulfidhaltige Abfälle mit Ausnahme derjenigen, die unter 06 06 02 fallen</t>
  </si>
  <si>
    <t>06 06 99</t>
  </si>
  <si>
    <t>06 07</t>
  </si>
  <si>
    <t>Abfälle aus HZVA von Halogenen und aus der Halogenchemie</t>
  </si>
  <si>
    <t>06 07 01*</t>
  </si>
  <si>
    <t>asbesthaltige Abfälle aus der Elektrolyse</t>
  </si>
  <si>
    <t>06 07 02*</t>
  </si>
  <si>
    <t>Aktivkohle aus der Chlorherstellung</t>
  </si>
  <si>
    <t>06 07 03*</t>
  </si>
  <si>
    <t>quecksilberhaltige Bariumsulfatschlämme</t>
  </si>
  <si>
    <t>06 07 04*</t>
  </si>
  <si>
    <t>Lösungen und Säuren, z.B. Kontaktsäure</t>
  </si>
  <si>
    <t>06 07 99</t>
  </si>
  <si>
    <t>06 08</t>
  </si>
  <si>
    <t>Abfälle aus HZVA von Silicium und Siliciumverbindungen</t>
  </si>
  <si>
    <t>06 08 02*</t>
  </si>
  <si>
    <t>Abfälle, die gefährliche Chlorsilane enthalten</t>
  </si>
  <si>
    <t>06 08 99</t>
  </si>
  <si>
    <t>06 09</t>
  </si>
  <si>
    <t>Abfälle aus HZVA von phosphorhaltigen Chemikalien und aus der Phosphorchemie</t>
  </si>
  <si>
    <t>06 09 02</t>
  </si>
  <si>
    <t>phosphorhaltige Schlacke</t>
  </si>
  <si>
    <t>06 09 03*</t>
  </si>
  <si>
    <t>Reaktionsabfälle auf Calciumbasis, die gefährliche Stoffe enthalten oder durch gefährliche Stoffe verunreinigt sind</t>
  </si>
  <si>
    <t>06 09 04</t>
  </si>
  <si>
    <t>Reaktionsabfälle auf Calciumbasis mit Ausnahme derjenigen, die unter 06 09 03 fallen</t>
  </si>
  <si>
    <t>06 09 99</t>
  </si>
  <si>
    <t>06 10</t>
  </si>
  <si>
    <t>Abfälle aus HZVA von stickstoffhaltigen Chemikalien, aus der Stickstoffchemie und der Herstellung von Düngemitteln</t>
  </si>
  <si>
    <t>06 10 02*</t>
  </si>
  <si>
    <t>Abfälle, die gefährliche Stoffe enthalten</t>
  </si>
  <si>
    <t>06 10 99</t>
  </si>
  <si>
    <t>06 11</t>
  </si>
  <si>
    <t>Abfälle aus der Herstellung von anorganischen Pigmenten und Farbgebern</t>
  </si>
  <si>
    <t>06 11 01</t>
  </si>
  <si>
    <t>Reaktionsabfälle auf Calciumbasis aus der Titandioxidherstellung</t>
  </si>
  <si>
    <t>06 11 99</t>
  </si>
  <si>
    <t>06 13</t>
  </si>
  <si>
    <t>Abfälle aus anorganisch-chemischen Prozessen a. n. g.</t>
  </si>
  <si>
    <t>06 13 01*</t>
  </si>
  <si>
    <t>anorganische Pflanzenschutzmittel, Holzschutzmittel und andere Biozide</t>
  </si>
  <si>
    <t>06 13 02*</t>
  </si>
  <si>
    <t>gebrauchte Aktivkohle (außer 06 07 02)</t>
  </si>
  <si>
    <t>06 13 03</t>
  </si>
  <si>
    <t>Industrieruß</t>
  </si>
  <si>
    <t>06 13 04*</t>
  </si>
  <si>
    <t>Abfälle aus der Asbestverarbeitung</t>
  </si>
  <si>
    <t>06 13 05*</t>
  </si>
  <si>
    <t>Ofen- und Kaminruß</t>
  </si>
  <si>
    <t>06 13 99</t>
  </si>
  <si>
    <t>Abfälle aus organisch-chemischen Prozessen</t>
  </si>
  <si>
    <t>07 01</t>
  </si>
  <si>
    <t>Abfälle aus Herstellung, Zubereitung, Vertrieb und Anwendung (HZVA) organischer Grundchemikalien</t>
  </si>
  <si>
    <t>07 01 01*</t>
  </si>
  <si>
    <t>wässrige Waschflüssigkeiten und Mutterlaugen</t>
  </si>
  <si>
    <t>07 01 03*</t>
  </si>
  <si>
    <t>halogenorganische Lösemittel, Waschflüssigkeiten und Mutterlaugen</t>
  </si>
  <si>
    <t>07 01 04*</t>
  </si>
  <si>
    <t>andere organische Lösemittel, Waschflüssigkeiten und Mutterlaugen</t>
  </si>
  <si>
    <t>07 01 07*</t>
  </si>
  <si>
    <t>halogenierte Reaktions- und Destillationsrückstände</t>
  </si>
  <si>
    <t>07 01 08*</t>
  </si>
  <si>
    <t>andere Reaktions- und Destillationsrückstände</t>
  </si>
  <si>
    <t>07 01 09*</t>
  </si>
  <si>
    <t>halogenierte Filterkuchen, gebrauchte Aufsaugmaterialien</t>
  </si>
  <si>
    <t>07 01 10*</t>
  </si>
  <si>
    <t>andere Filterkuchen, gebrauchte Aufsaugmaterialien</t>
  </si>
  <si>
    <t>07 01 11*</t>
  </si>
  <si>
    <t>07 01 12</t>
  </si>
  <si>
    <t>Schlämme aus der betriebseigenen Abwasserbehandlung mit Ausnahme derjenigen, die unter 07 01 11 fallen</t>
  </si>
  <si>
    <t>07 01 99</t>
  </si>
  <si>
    <t>07 02</t>
  </si>
  <si>
    <t>Abfälle aus HZVA von Kunststoffen, synthetischem Gummi und Kunstfasern</t>
  </si>
  <si>
    <t>07 02 01*</t>
  </si>
  <si>
    <t>07 02 03*</t>
  </si>
  <si>
    <t>07 02 04*</t>
  </si>
  <si>
    <t>07 02 07*</t>
  </si>
  <si>
    <t>07 02 08*</t>
  </si>
  <si>
    <t>07 02 09*</t>
  </si>
  <si>
    <t>07 02 10*</t>
  </si>
  <si>
    <t>07 02 11*</t>
  </si>
  <si>
    <t>07 02 12</t>
  </si>
  <si>
    <t>Schlämme aus der betriebseigenen Abwasserbehandlung mit Ausnahme derjenigen, die unter 07 02 11 fallen</t>
  </si>
  <si>
    <t>07 02 13</t>
  </si>
  <si>
    <t>Kunststoffabfälle</t>
  </si>
  <si>
    <t>07 02 14*</t>
  </si>
  <si>
    <t>Abfälle von Zusatzstoffen, die gefährliche Stoffe enthalten</t>
  </si>
  <si>
    <t>07 02 15</t>
  </si>
  <si>
    <t>Abfälle von Zusatzstoffen mit Ausnahme derjenigen, die unter 07 02 14 fallen</t>
  </si>
  <si>
    <t>07 02 16*</t>
  </si>
  <si>
    <t>Abfälle, die gefährliche Silicone enthalten</t>
  </si>
  <si>
    <t>07 02 17</t>
  </si>
  <si>
    <t>siliconhaltige Abfälle, andere als die in 07 02 16 genannten</t>
  </si>
  <si>
    <t>07 02 99</t>
  </si>
  <si>
    <t>07 03</t>
  </si>
  <si>
    <t>Abfälle aus HZVA von organischen Farbstoffen und Pigmenten (außer 06 11)</t>
  </si>
  <si>
    <t>07 03 01*</t>
  </si>
  <si>
    <t>07 03 03*</t>
  </si>
  <si>
    <t>07 03 04*</t>
  </si>
  <si>
    <t>07 03 07*</t>
  </si>
  <si>
    <t>07 03 08*</t>
  </si>
  <si>
    <t>07 03 09*</t>
  </si>
  <si>
    <t>07 03 10*</t>
  </si>
  <si>
    <t>07 03 11*</t>
  </si>
  <si>
    <t>07 03 12</t>
  </si>
  <si>
    <t>Schlämme aus der betriebseigenen Abwasserbehandlung mit Ausnahme derjenigen, die unter 07 03 11 fallen</t>
  </si>
  <si>
    <t>07 03 99</t>
  </si>
  <si>
    <t>07 04</t>
  </si>
  <si>
    <t>Abfälle aus HZVA von organischen Pflanzenschutzmitteln (außer 02 01 08 und 02 01 09), Holzschutzmitteln (außer 03 02) und anderen Bioziden</t>
  </si>
  <si>
    <t>07 04 01*</t>
  </si>
  <si>
    <t>07 04 03*</t>
  </si>
  <si>
    <t>07 04 04*</t>
  </si>
  <si>
    <t>07 04 07*</t>
  </si>
  <si>
    <t>07 04 08*</t>
  </si>
  <si>
    <t>07 04 09*</t>
  </si>
  <si>
    <t>07 04 10*</t>
  </si>
  <si>
    <t>07 04 11*</t>
  </si>
  <si>
    <t>07 04 12</t>
  </si>
  <si>
    <t>Schlämme aus der betriebseigenen Abwasserbehandlung mit Ausnahme derjenigen, die unter 07 04 11 fallen</t>
  </si>
  <si>
    <t>07 04 13*</t>
  </si>
  <si>
    <t>feste Abfälle, die gefährliche Stoffe enthalten</t>
  </si>
  <si>
    <t>07 04 99</t>
  </si>
  <si>
    <t>07 05</t>
  </si>
  <si>
    <t>Abfälle aus HZVA von Pharmazeutika</t>
  </si>
  <si>
    <t>07 05 01*</t>
  </si>
  <si>
    <t>07 05 03*</t>
  </si>
  <si>
    <t>07 05 04*</t>
  </si>
  <si>
    <t>07 05 07*</t>
  </si>
  <si>
    <t>07 05 08*</t>
  </si>
  <si>
    <t>07 05 09*</t>
  </si>
  <si>
    <t>07 05 10*</t>
  </si>
  <si>
    <t>07 05 11*</t>
  </si>
  <si>
    <t>07 05 12</t>
  </si>
  <si>
    <t>Schlämme aus der betriebseigenen Abwasserbehandlung mit Ausnahme derjenigen, die unter 07 05 11 fallen</t>
  </si>
  <si>
    <t>07 05 13*</t>
  </si>
  <si>
    <t>07 05 14</t>
  </si>
  <si>
    <t>feste Abfälle mit Ausnahme derjenigen, die unter 07 05 13 fallen</t>
  </si>
  <si>
    <t>07 05 99</t>
  </si>
  <si>
    <t>07 06</t>
  </si>
  <si>
    <t>Abfälle aus HZVA von Fetten, Schmierstoffen, Seifen, Waschmitteln, Desinfektionsmitteln und Körperpflegemitteln</t>
  </si>
  <si>
    <t>07 06 01*</t>
  </si>
  <si>
    <t>07 06 03*</t>
  </si>
  <si>
    <t>07 06 04*</t>
  </si>
  <si>
    <t>07 06 07*</t>
  </si>
  <si>
    <t>07 06 08*</t>
  </si>
  <si>
    <t>07 06 09*</t>
  </si>
  <si>
    <t>07 06 10*</t>
  </si>
  <si>
    <t>07 06 11*</t>
  </si>
  <si>
    <t>07 06 12</t>
  </si>
  <si>
    <t>Schlämme aus der betriebseigenen Abwasserbehandlung mit Ausnahme derjenigen, die unter 07 06 11 fallen</t>
  </si>
  <si>
    <t>07 06 99</t>
  </si>
  <si>
    <t>07 07</t>
  </si>
  <si>
    <t>Abfälle aus HZVA von Feinchemikalien und Chemikalien a. n. g.</t>
  </si>
  <si>
    <t>07 07 01*</t>
  </si>
  <si>
    <t>07 07 03*</t>
  </si>
  <si>
    <t>07 07 04*</t>
  </si>
  <si>
    <t>07 07 07*</t>
  </si>
  <si>
    <t>07 07 08*</t>
  </si>
  <si>
    <t>07 07 09*</t>
  </si>
  <si>
    <t>07 07 10*</t>
  </si>
  <si>
    <t>07 07 11*</t>
  </si>
  <si>
    <t>07 07 12</t>
  </si>
  <si>
    <t>Schlämme aus der betriebseigenen Abwasserbehandlung mit Ausnahme derjenigen, die unter 07 07 11 fallen</t>
  </si>
  <si>
    <t>07 07 99</t>
  </si>
  <si>
    <t>Abfälle aus Herstellung, Zubereitung, Vertrieb und Anwendung (HZVA) von Beschichtungen (Farben, Lacke, Email), Klebstoffen, Dichtmassen und Druckfarben</t>
  </si>
  <si>
    <t>08 01</t>
  </si>
  <si>
    <t>Abfälle aus HZVA und Entfernung von Farben und Lacken</t>
  </si>
  <si>
    <t>08 01 11*</t>
  </si>
  <si>
    <t>Farb- und Lackabfälle, die organische Lösemittel oder andere gefährliche Stoffe enthalten</t>
  </si>
  <si>
    <t>08 01 12</t>
  </si>
  <si>
    <t>Farb- und Lackabfälle mit Ausnahme derjenigen, die unter 08 01 11 fallen</t>
  </si>
  <si>
    <t>08 01 13*</t>
  </si>
  <si>
    <t>Farb- und Lackschlämme, die organische Lösemittel oder andere gefährliche Stoffe enthalten</t>
  </si>
  <si>
    <t>08 01 14</t>
  </si>
  <si>
    <t>Farb- und Lackschlämme mit Ausnahme derjenigen, die unter 08 01 13 fallen</t>
  </si>
  <si>
    <t>08 01 15*</t>
  </si>
  <si>
    <t>wässrige Schlämme, die Farben oder Lacke mit organischen Lösemitteln oder anderen gefährlichen Stoffen enthalten</t>
  </si>
  <si>
    <t>08 01 16</t>
  </si>
  <si>
    <t>wässrige Schlämme, die Farben oder Lacke enthalten, mit Ausnahme derjenigen, die unter 08 01 15 fallen</t>
  </si>
  <si>
    <t>08 01 17*</t>
  </si>
  <si>
    <t>Abfälle aus der Farb- oder Lackentfernung, die organische Lösemittel oder andere gefährliche Stoffe enthalten</t>
  </si>
  <si>
    <t>08 01 18</t>
  </si>
  <si>
    <t>Abfälle aus der Farb- oder Lackentfernung mit Ausnahme derjenigen, die unter 08 01 17 fallen</t>
  </si>
  <si>
    <t>08 01 19*</t>
  </si>
  <si>
    <t>wässrige Suspensionen, die Farben oder Lacke mit organischen Lösemitteln oder anderen gefährlichen Stoffen enthalten</t>
  </si>
  <si>
    <t>08 01 20</t>
  </si>
  <si>
    <t>wässrige Suspensionen, die Farben oder Lacke enthalten, mit Ausnahme derjenigen, die unter 08 01 19 fallen</t>
  </si>
  <si>
    <t>08 01 21*</t>
  </si>
  <si>
    <t>Farb- oder Lackentfernerabfälle</t>
  </si>
  <si>
    <t>08 01 99</t>
  </si>
  <si>
    <t>08 02</t>
  </si>
  <si>
    <t>Abfälle aus HZVA anderer Beschichtungen (einschließlich keramischer Werkstoffe)</t>
  </si>
  <si>
    <t>08 02 01</t>
  </si>
  <si>
    <t>Abfälle von Beschichtungspulver</t>
  </si>
  <si>
    <t>08 02 02</t>
  </si>
  <si>
    <t>wässrige Schlämme, die keramische Werkstoffe enthalten</t>
  </si>
  <si>
    <t>08 02 03</t>
  </si>
  <si>
    <t>wässrige Suspensionen, die keramische Werkstoffe enthalten</t>
  </si>
  <si>
    <t>08 02 99</t>
  </si>
  <si>
    <t>08 03</t>
  </si>
  <si>
    <t>Abfälle aus HZVA von Druckfarben</t>
  </si>
  <si>
    <t>08 03 07</t>
  </si>
  <si>
    <t>wässrige Schlämme, die Druckfarben enthalten</t>
  </si>
  <si>
    <t>08 03 08</t>
  </si>
  <si>
    <t>wässrige flüssige Abfälle, die Druckfarben enthalten</t>
  </si>
  <si>
    <t>08 03 12*</t>
  </si>
  <si>
    <t>Druckfarbenabfälle, die gefährliche Stoffe enthalten</t>
  </si>
  <si>
    <t>08 03 13</t>
  </si>
  <si>
    <t>Druckfarbenabfälle mit Ausnahme derjenigen, die unter 08 03 12 fallen</t>
  </si>
  <si>
    <t>08 03 14*</t>
  </si>
  <si>
    <t>Druckfarbenschlämme, die gefährliche Stoffe enthalten</t>
  </si>
  <si>
    <t>08 03 15</t>
  </si>
  <si>
    <t>Druckfarbenschlämme mit Ausnahme derjenigen, die unter 08 03 14 fallen</t>
  </si>
  <si>
    <t>08 03 16*</t>
  </si>
  <si>
    <t>Abfälle von Ätzlösungen</t>
  </si>
  <si>
    <t>08 03 17*</t>
  </si>
  <si>
    <t>Tonerabfälle, die gefährliche Stoffe enthalten</t>
  </si>
  <si>
    <t>08 03 18</t>
  </si>
  <si>
    <t>Tonerabfälle mit Ausnahme derjenigen, die unter 08 03 17 fallen</t>
  </si>
  <si>
    <t>08 03 19*</t>
  </si>
  <si>
    <t>Dispersionsöl</t>
  </si>
  <si>
    <t>08 03 99</t>
  </si>
  <si>
    <t>08 04</t>
  </si>
  <si>
    <t>Abfälle aus HZVA von Klebstoffen und Dichtmassen (einschließlich wasserabweisender Materialien)</t>
  </si>
  <si>
    <t>08 04 09*</t>
  </si>
  <si>
    <t>Klebstoff- und Dichtmassenabfälle, die organische Lösemittel oder andere gefährliche Stoffe enthalten</t>
  </si>
  <si>
    <t>08 04 10</t>
  </si>
  <si>
    <t>Klebstoff- und Dichtmassenabfälle mit Ausnahme derjenigen, die unter 08 04 09 fallen</t>
  </si>
  <si>
    <t>08 04 11*</t>
  </si>
  <si>
    <t>klebstoff- und dichtmassenhaltige Schlämme, die organische Lösemittel oder andere gefährliche Stoffe enthalten</t>
  </si>
  <si>
    <t>08 04 12</t>
  </si>
  <si>
    <t>klebstoff- und dichtmassenhaltige Schlämme mit Ausnahme derjenigen, die unter 08 04 11 fallen</t>
  </si>
  <si>
    <t>08 04 13*</t>
  </si>
  <si>
    <t>wässrige Schlämme, die Klebstoffe oder Dichtmassen mit organischen Lösemitteln oder anderen gefährlichen Stoffen enthalten</t>
  </si>
  <si>
    <t>08 04 14</t>
  </si>
  <si>
    <t>wässrige Schlämme, die Klebstoffe oder Dichtmassen enthalten, mit Ausnahme derjenigen, die unter 08 04 13 fallen</t>
  </si>
  <si>
    <t>08 04 15*</t>
  </si>
  <si>
    <t>wässrige flüssige Abfälle, die Klebstoffe oder Dichtmassen mit organischen Lösemitteln oder anderen gefährlichen Stoffen enthalten</t>
  </si>
  <si>
    <t>08 04 16</t>
  </si>
  <si>
    <t>wässrige flüssige Abfälle, die Klebstoffe oder Dichtmassen enthalten, mit Ausnahme derjenigen, die unter 08 04 15 fallen</t>
  </si>
  <si>
    <t>08 04 17*</t>
  </si>
  <si>
    <t>Harzöle</t>
  </si>
  <si>
    <t>08 04 99</t>
  </si>
  <si>
    <t>08 05</t>
  </si>
  <si>
    <t>Nicht unter 08 aufgeführte Abfälle</t>
  </si>
  <si>
    <t>08 05 01*</t>
  </si>
  <si>
    <t>Isocyanatabfälle</t>
  </si>
  <si>
    <t>Abfälle aus der fotografischen Industrie</t>
  </si>
  <si>
    <t>09 01</t>
  </si>
  <si>
    <t>09 01 01*</t>
  </si>
  <si>
    <t>Entwickler und Aktivatorenlösungen auf Wasserbasis</t>
  </si>
  <si>
    <t>09 01 02*</t>
  </si>
  <si>
    <t>Offsetdruckplatten-Entwicklerlösungen auf Wasserbasis</t>
  </si>
  <si>
    <t>09 01 03*</t>
  </si>
  <si>
    <t>Entwicklerlösungen auf Lösemittelbasis</t>
  </si>
  <si>
    <t>09 01 04*</t>
  </si>
  <si>
    <t>Fixierbäder</t>
  </si>
  <si>
    <t>09 01 05*</t>
  </si>
  <si>
    <t>Bleichlösungen und Bleich-Fixier-Bäder</t>
  </si>
  <si>
    <t>09 01 06*</t>
  </si>
  <si>
    <t>silberhaltige Abfälle aus der betriebseigenen Behandlung fotografischer Abfälle</t>
  </si>
  <si>
    <t>09 01 07</t>
  </si>
  <si>
    <t>Filme und fotografische Papiere, die Silber oder Silberverbindungen enthalten</t>
  </si>
  <si>
    <t>09 01 08</t>
  </si>
  <si>
    <t>Filme und fotografische Papiere, die kein Silber und keine Silberverbindungen enthalten</t>
  </si>
  <si>
    <t>09 01 10</t>
  </si>
  <si>
    <t>Einwegkameras ohne Batterien</t>
  </si>
  <si>
    <t>09 01 11*</t>
  </si>
  <si>
    <t>Einwegkameras mit Batterien, die unter 16 06 01, 16 06 02 oder 16 06 03 fallen</t>
  </si>
  <si>
    <t>09 01 12</t>
  </si>
  <si>
    <t>Einwegkameras mit Batterien mit Ausnahme derjenigen, die unter 09 01 11 fallen</t>
  </si>
  <si>
    <t>09 01 13*</t>
  </si>
  <si>
    <t>wässrige flüssige Abfälle aus der betriebseigenen Silberrückgewinnung mit Ausnahme derjenigen, die unter 09 01 06 fallen</t>
  </si>
  <si>
    <t>09 01 99</t>
  </si>
  <si>
    <t>Abfälle aus thermischen Prozessen</t>
  </si>
  <si>
    <t>10 01</t>
  </si>
  <si>
    <t>Abfälle aus Kraftwerken und anderen Verbrennungsanlagen (außer 19)</t>
  </si>
  <si>
    <t>10 01 01</t>
  </si>
  <si>
    <t>Rost- und Kesselasche, Schlacken und Kesselstaub mit Ausnahme von Kesselstaub, der unter 10 01 04 fällt</t>
  </si>
  <si>
    <t>10 01 02</t>
  </si>
  <si>
    <t>Filterstäube aus Kohlefeuerung</t>
  </si>
  <si>
    <t>10 01 03</t>
  </si>
  <si>
    <t>Filterstäube aus Torffeuerung und Feuerung mit (unbehandeltem) Holz</t>
  </si>
  <si>
    <t>10 01 04*</t>
  </si>
  <si>
    <t>Filterstäube und Kesselstaub aus Ölfeuerung</t>
  </si>
  <si>
    <t>10 01 05</t>
  </si>
  <si>
    <t>Reaktionsabfälle auf Calciumbasis aus der Rauchgasentschwefelung in fester Form</t>
  </si>
  <si>
    <t>10 01 07</t>
  </si>
  <si>
    <t>Reaktionsabfälle auf Calciumbasis aus der Rauchgasentschwefelung in Form von Schlämmen</t>
  </si>
  <si>
    <t>10 01 09*</t>
  </si>
  <si>
    <t>Schwefelsäure</t>
  </si>
  <si>
    <t>10 01 13*</t>
  </si>
  <si>
    <t>Filterstäube aus emulgierten, als Brennstoffe verwendeten Kohlenwasserstoffen</t>
  </si>
  <si>
    <t>10 01 14*</t>
  </si>
  <si>
    <t>Rost- und Kesselasche, Schlacken und Kesselstaub aus der Abfallmitverbrennung, die gefährliche Stoffe enthalten</t>
  </si>
  <si>
    <t>10 01 15</t>
  </si>
  <si>
    <t>Rost- und Kesselasche, Schlacken und Kesselstaub aus der Abfallmitverbrennung mit Ausnahme derjenigen, die unter 10 01 14 fallen</t>
  </si>
  <si>
    <t>10 01 16*</t>
  </si>
  <si>
    <t>Filterstäube aus der Abfallmitverbrennung, die gefährliche Stoffe enthalten</t>
  </si>
  <si>
    <t>10 01 17</t>
  </si>
  <si>
    <t>Filterstäube aus der Abfallmitverbrennung mit Ausnahme derjenigen, die unter 10 01 16 fallen</t>
  </si>
  <si>
    <t>10 01 18*</t>
  </si>
  <si>
    <t>Abfälle aus der Abgasbehandlung, die gefährliche Stoffe enthalten</t>
  </si>
  <si>
    <t>10 01 19</t>
  </si>
  <si>
    <t>Abfälle aus der Abgasbehandlung mit Ausnahme derjenigen, die unter 10 01 05, 10 01 07 und 10 01 18 fallen</t>
  </si>
  <si>
    <t>10 01 20*</t>
  </si>
  <si>
    <t>10 01 21</t>
  </si>
  <si>
    <t>Schlämme aus der betriebseigenen Abwasserbehandlung mit Ausnahme derjenigen, die unter 10 01 20 fallen</t>
  </si>
  <si>
    <t>10 01 22*</t>
  </si>
  <si>
    <t>wässrige Schlämme aus der Kesselreinigung, die gefährliche Stoffe enthalten</t>
  </si>
  <si>
    <t>10 01 23</t>
  </si>
  <si>
    <t>wässrige Schlämme aus der Kesselreinigung mit Ausnahme derjenigen, die unter 10 01 22 fallen</t>
  </si>
  <si>
    <t>10 01 24</t>
  </si>
  <si>
    <t>Sande aus der Wirbelschichtfeuerung</t>
  </si>
  <si>
    <t>10 01 25</t>
  </si>
  <si>
    <t>Abfälle aus der Lagerung und Vorbereitung von Brennstoffen für Kohlekraftwerke</t>
  </si>
  <si>
    <t>10 01 26</t>
  </si>
  <si>
    <t>Abfälle aus der Kühlwasserbehandlung</t>
  </si>
  <si>
    <t>10 01 99</t>
  </si>
  <si>
    <t>10 02</t>
  </si>
  <si>
    <t>Abfälle aus der Eisen- und Stahlindustrie</t>
  </si>
  <si>
    <t>10 02 01</t>
  </si>
  <si>
    <t>Abfälle aus der Verarbeitung von Schlacke</t>
  </si>
  <si>
    <t>10 02 02</t>
  </si>
  <si>
    <t>unbearbeitete Schlacke</t>
  </si>
  <si>
    <t>10 02 07*</t>
  </si>
  <si>
    <t>feste Abfälle aus der Abgasbehandlung, die gefährliche Stoffe enthalten</t>
  </si>
  <si>
    <t>10 02 08</t>
  </si>
  <si>
    <t>feste Abfälle aus der Abgasbehandlung mit Ausnahme derjenigen, die unter 10 02 07 fallen</t>
  </si>
  <si>
    <t>10 02 10</t>
  </si>
  <si>
    <t>Walzzunder</t>
  </si>
  <si>
    <t>10 02 11*</t>
  </si>
  <si>
    <t>ölhaltige Abfälle aus der Kühlwasserbehandlung</t>
  </si>
  <si>
    <t>10 02 12</t>
  </si>
  <si>
    <t>Abfälle aus der Kühlwasserbehandlung mit Ausnahme derjenigen, die unter 10 02 11 fallen</t>
  </si>
  <si>
    <t>10 02 13*</t>
  </si>
  <si>
    <t>Schlämme und Filterkuchen aus der Abgasbehandlung, die gefährliche Stoffe enthalten</t>
  </si>
  <si>
    <t>10 02 14</t>
  </si>
  <si>
    <t>Schlämme und Filterkuchen aus der Abgasbehandlung mit Ausnahme derjenigen, die unter 10 02 13 fallen</t>
  </si>
  <si>
    <t>10 02 15</t>
  </si>
  <si>
    <t>andere Schlämme und Filterkuchen</t>
  </si>
  <si>
    <t>10 02 99</t>
  </si>
  <si>
    <t>10 03</t>
  </si>
  <si>
    <t>Abfälle aus der thermischen Aluminium-Metallurgie</t>
  </si>
  <si>
    <t>10 03 02</t>
  </si>
  <si>
    <t>Anodenschrott</t>
  </si>
  <si>
    <t>10 03 04*</t>
  </si>
  <si>
    <t>Schlacken aus der Erstschmelze</t>
  </si>
  <si>
    <t>10 03 05</t>
  </si>
  <si>
    <t>Aluminiumoxidabfälle</t>
  </si>
  <si>
    <t>10 03 08*</t>
  </si>
  <si>
    <t>Salzschlacken aus der Zweitschmelze</t>
  </si>
  <si>
    <t>10 03 09*</t>
  </si>
  <si>
    <t>schwarze Krätzen aus der Zweitschmelze</t>
  </si>
  <si>
    <t>10 03 15*</t>
  </si>
  <si>
    <t>Abschaum, der entzündlich ist oder in Kontakt mit Wasser entzündliche Gase in gefährlicher Menge abgibt</t>
  </si>
  <si>
    <t>10 03 16</t>
  </si>
  <si>
    <t>Abschaum mit Ausnahme desjenigen, der unter 10 03 15 fällt</t>
  </si>
  <si>
    <t>10 03 17*</t>
  </si>
  <si>
    <t>teerhaltige Abfälle aus der Anodenherstellung</t>
  </si>
  <si>
    <t>10 03 18</t>
  </si>
  <si>
    <t>Abfälle aus der Anodenherstellung, die Kohlenstoff enthalten, mit Ausnahme derjenigen, die unter 10 03 17 fallen</t>
  </si>
  <si>
    <t>10 03 19*</t>
  </si>
  <si>
    <t>Filterstaub, der gefährliche Stoffe enthält</t>
  </si>
  <si>
    <t>10 03 20</t>
  </si>
  <si>
    <t>Filterstaub mit Ausnahme von Filterstaub, der unter 10 03 19 fällt</t>
  </si>
  <si>
    <t>10 03 21*</t>
  </si>
  <si>
    <t>andere Teilchen und Staub (einschließlich Kugelmühlenstaub), die gefährliche Stoffe enthalten</t>
  </si>
  <si>
    <t>10 03 22</t>
  </si>
  <si>
    <t>andere Teilchen und Staub (einschließlich Kugelmühlenstaub) mit Ausnahme derjenigen, die unter 10 03 21 fallen</t>
  </si>
  <si>
    <t>10 03 23*</t>
  </si>
  <si>
    <t>10 03 24</t>
  </si>
  <si>
    <t>feste Abfälle aus der Abgasbehandlung mit Ausnahme derjenigen, die unter 10 03 23 fallen</t>
  </si>
  <si>
    <t>10 03 25*</t>
  </si>
  <si>
    <t>10 03 26</t>
  </si>
  <si>
    <t>Schlämme und Filterkuchen aus der Abgasbehandlung mit Ausnahme derjenigen, die unter 10 03 25 fallen</t>
  </si>
  <si>
    <t>10 03 27*</t>
  </si>
  <si>
    <t>10 03 28</t>
  </si>
  <si>
    <t>Abfälle aus der Kühlwasserbehandlung mit Ausnahme derjenigen, die unter 10 03 27 fallen</t>
  </si>
  <si>
    <t>10 03 29*</t>
  </si>
  <si>
    <t>gefährliche Stoffe enthaltende Abfälle aus der Behandlung von Salzschlacken und schwarzen Krätzen</t>
  </si>
  <si>
    <t>10 03 30</t>
  </si>
  <si>
    <t>Abfälle aus der Behandlung von Salzschlacken und schwarzen Krätzen mit Ausnahme derjenigen, die unter 10 03 29 fallen</t>
  </si>
  <si>
    <t>10 03 99</t>
  </si>
  <si>
    <t>10 04</t>
  </si>
  <si>
    <t>Abfälle aus der thermischen Bleimetallurgie</t>
  </si>
  <si>
    <t>10 04 01*</t>
  </si>
  <si>
    <t>Schlacken (Erst- und Zweitschmelze)</t>
  </si>
  <si>
    <t>10 04 02*</t>
  </si>
  <si>
    <t>Krätzen und Abschaum (Erst- und Zweitschmelze)</t>
  </si>
  <si>
    <t>10 04 03*</t>
  </si>
  <si>
    <t>Calciumarsenat</t>
  </si>
  <si>
    <t>10 04 04*</t>
  </si>
  <si>
    <t>Filterstaub</t>
  </si>
  <si>
    <t>10 04 05*</t>
  </si>
  <si>
    <t>andere Teilchen und Staub</t>
  </si>
  <si>
    <t>10 04 06*</t>
  </si>
  <si>
    <t>feste Abfälle aus der Abgasbehandlung</t>
  </si>
  <si>
    <t>10 04 07*</t>
  </si>
  <si>
    <t>Schlämme und Filterkuchen aus der Abgasbehandlung</t>
  </si>
  <si>
    <t>10 04 09*</t>
  </si>
  <si>
    <t>10 04 10</t>
  </si>
  <si>
    <t>Abfälle aus der Kühlwasserbehandlung mit Ausnahme derjenigen, die unter 10 04 09 fallen</t>
  </si>
  <si>
    <t>10 04 99</t>
  </si>
  <si>
    <t>10 05</t>
  </si>
  <si>
    <t>Abfälle aus der thermischen Zinkmetallurgie</t>
  </si>
  <si>
    <t>10 05 01</t>
  </si>
  <si>
    <t>10 05 03*</t>
  </si>
  <si>
    <t>10 05 04</t>
  </si>
  <si>
    <t>10 05 05*</t>
  </si>
  <si>
    <t>10 05 06*</t>
  </si>
  <si>
    <t>10 05 08*</t>
  </si>
  <si>
    <t>10 05 09</t>
  </si>
  <si>
    <t>Abfälle aus der Kühlwasserbehandlung mit Ausnahme derjenigen, die unter 10 05 08 fallen</t>
  </si>
  <si>
    <t>10 05 10*</t>
  </si>
  <si>
    <t>Krätzen und Abschaum, die entzündlich sind oder in Kontakt mit Wasser entzündliche Gase in gefährlicher Menge abgeben</t>
  </si>
  <si>
    <t>10 05 11</t>
  </si>
  <si>
    <t>Krätzen und Abschaum mit Ausnahme derjenigen, die unter 10 05 10 fallen</t>
  </si>
  <si>
    <t>10 05 99</t>
  </si>
  <si>
    <t>10 06</t>
  </si>
  <si>
    <t>Abfälle aus der thermischen Kupfermetallurgie</t>
  </si>
  <si>
    <t>10 06 01</t>
  </si>
  <si>
    <t>10 06 02</t>
  </si>
  <si>
    <t>10 06 03*</t>
  </si>
  <si>
    <t>10 06 04</t>
  </si>
  <si>
    <t>10 06 06*</t>
  </si>
  <si>
    <t>10 06 07*</t>
  </si>
  <si>
    <t>10 06 09*</t>
  </si>
  <si>
    <t>10 06 10</t>
  </si>
  <si>
    <t>Abfälle aus der Kühlwasserbehandlung mit Ausnahme derjenigen, die unter 10 06 09 fallen</t>
  </si>
  <si>
    <t>10 06 99</t>
  </si>
  <si>
    <t>10 07</t>
  </si>
  <si>
    <t>Abfälle aus der thermischen Silber-, Gold- und Platinmetallurgie</t>
  </si>
  <si>
    <t>10 07 01</t>
  </si>
  <si>
    <t>10 07 02</t>
  </si>
  <si>
    <t>10 07 03</t>
  </si>
  <si>
    <t>10 07 04</t>
  </si>
  <si>
    <t>10 07 05</t>
  </si>
  <si>
    <t>10 07 07*</t>
  </si>
  <si>
    <t>10 07 08</t>
  </si>
  <si>
    <t>Abfälle aus der Kühlwasserbehandlung mit Ausnahme derjenigen, die unter 10 07 07 fallen</t>
  </si>
  <si>
    <t>10 07 99</t>
  </si>
  <si>
    <t>10 08</t>
  </si>
  <si>
    <t>Abfälle aus sonstiger thermischer Nichteisenmetallurgie</t>
  </si>
  <si>
    <t>10 08 04</t>
  </si>
  <si>
    <t>Teilchen und Staub</t>
  </si>
  <si>
    <t>10 08 08*</t>
  </si>
  <si>
    <t>Salzschlacken (Erst- und Zweitschmelze)</t>
  </si>
  <si>
    <t>10 08 09</t>
  </si>
  <si>
    <t>andere Schlacken</t>
  </si>
  <si>
    <t>10 08 10*</t>
  </si>
  <si>
    <t>10 08 11</t>
  </si>
  <si>
    <t>Krätzen und Abschaum mit Ausnahme derjenigen, die unter 10 08 10 fallen</t>
  </si>
  <si>
    <t>10 08 12*</t>
  </si>
  <si>
    <t>10 08 13</t>
  </si>
  <si>
    <t>Abfälle aus der Anodenherstellung, die Kohlenstoff enthalten, mit Ausnahme derjenigen, die unter 10 08 12 fallen</t>
  </si>
  <si>
    <t>10 08 14</t>
  </si>
  <si>
    <t>10 08 15*</t>
  </si>
  <si>
    <t>10 08 16</t>
  </si>
  <si>
    <t>Filterstaub mit Ausnahme desjenigen, der unter 10 08 15 fällt</t>
  </si>
  <si>
    <t>10 08 17*</t>
  </si>
  <si>
    <t>10 08 18</t>
  </si>
  <si>
    <t>Schlämme und Filterkuchen aus der Abgasbehandlung mit Ausnahme derjenigen, die unter 10 08 17 fallen</t>
  </si>
  <si>
    <t>10 08 19*</t>
  </si>
  <si>
    <t>10 08 20</t>
  </si>
  <si>
    <t>Abfälle aus der Kühlwasserbehandlung mit Ausnahme derjenigen, die unter 10 08 19 fallen</t>
  </si>
  <si>
    <t>10 08 99</t>
  </si>
  <si>
    <t>10 09</t>
  </si>
  <si>
    <t>Abfälle vom Gießen von Eisen und Stahl</t>
  </si>
  <si>
    <t>10 09 03</t>
  </si>
  <si>
    <t>Ofenschlacke</t>
  </si>
  <si>
    <t>10 09 05*</t>
  </si>
  <si>
    <t>gefährliche Stoffe enthaltende Gießformen und -sande vor dem Gießen</t>
  </si>
  <si>
    <t>10 09 06</t>
  </si>
  <si>
    <t>Gießformen und -sande vor dem Gießen mit Ausnahme derjenigen, die unter 10 09 05 fallen</t>
  </si>
  <si>
    <t>10 09 07*</t>
  </si>
  <si>
    <t>gefährliche Stoffe enthaltende Gießformen und -sande nach dem Gießen</t>
  </si>
  <si>
    <t>10 09 08</t>
  </si>
  <si>
    <t>Gießformen und -sande nach dem Gießen mit Ausnahme derjenigen, die unter 10 09 07 fallen</t>
  </si>
  <si>
    <t>10 09 09*</t>
  </si>
  <si>
    <t>10 09 10</t>
  </si>
  <si>
    <t>Filterstaub mit Ausnahme desjenigen, der unter 10 09 09 fällt</t>
  </si>
  <si>
    <t>10 09 11*</t>
  </si>
  <si>
    <t>andere Teilchen, die gefährliche Stoffe enthalten</t>
  </si>
  <si>
    <t>10 09 12</t>
  </si>
  <si>
    <t>andere Teilchen mit Ausnahme derjenigen, die unter 10 09 11 fallen</t>
  </si>
  <si>
    <t>10 09 13*</t>
  </si>
  <si>
    <t>Abfälle von Bindemitteln, die gefährliche Stoffe enthalten</t>
  </si>
  <si>
    <t>10 09 14</t>
  </si>
  <si>
    <t>Abfälle von Bindemitteln mit Ausnahme derjenigen, die unter 10 09 13 fallen</t>
  </si>
  <si>
    <t>10 09 15*</t>
  </si>
  <si>
    <t>Abfälle aus rissanzeigenden Substanzen, die gefährliche Stoffe enthalten</t>
  </si>
  <si>
    <t>10 09 16</t>
  </si>
  <si>
    <t>Abfälle aus rissanzeigenden Substanzen mit Ausnahme derjenigen, die unter 10 09 15 fallen</t>
  </si>
  <si>
    <t>10 09 99</t>
  </si>
  <si>
    <t>10 10</t>
  </si>
  <si>
    <t>Abfälle vom Gießen von Nichteisenmetallen</t>
  </si>
  <si>
    <t>10 10 03</t>
  </si>
  <si>
    <t>10 10 05*</t>
  </si>
  <si>
    <t>10 10 06</t>
  </si>
  <si>
    <t>Gießformen und -sande vor dem Gießen mit Ausnahme derjenigen, die unter 10 10 05 fallen</t>
  </si>
  <si>
    <t>10 10 07*</t>
  </si>
  <si>
    <t>10 10 08</t>
  </si>
  <si>
    <t>Gießformen und -sande nach dem Gießen mit Ausnahme derjenigen, die unter 10 10 07 fallen</t>
  </si>
  <si>
    <t>10 10 09*</t>
  </si>
  <si>
    <t>10 10 10</t>
  </si>
  <si>
    <t>Filterstaub mit Ausnahme desjenigen, der unter 10 10 09 fällt</t>
  </si>
  <si>
    <t>10 10 11*</t>
  </si>
  <si>
    <t>10 10 12</t>
  </si>
  <si>
    <t>andere Teilchen mit Ausnahme derjenigen, die unter 10 10 11 fallen</t>
  </si>
  <si>
    <t>10 10 13*</t>
  </si>
  <si>
    <t>10 10 14</t>
  </si>
  <si>
    <t>Abfälle von Bindemitteln mit Ausnahme derjenigen, die unter 10 10 13 fallen</t>
  </si>
  <si>
    <t>10 10 15*</t>
  </si>
  <si>
    <t>10 10 16</t>
  </si>
  <si>
    <t>Abfälle aus rissanzeigenden Substanzen mit Ausnahme derjenigen, die unter 10 10 15 fallen</t>
  </si>
  <si>
    <t>10 10 99</t>
  </si>
  <si>
    <t>10 11</t>
  </si>
  <si>
    <t>Abfälle aus der Herstellung von Glas und Glaserzeugnissen</t>
  </si>
  <si>
    <t>10 11 03</t>
  </si>
  <si>
    <t>Glasfaserabfall</t>
  </si>
  <si>
    <t>10 11 05</t>
  </si>
  <si>
    <t>10 11 09*</t>
  </si>
  <si>
    <t>Gemengeabfall mit gefährlichen Stoffen vor dem Schmelzen</t>
  </si>
  <si>
    <t>10 11 10</t>
  </si>
  <si>
    <t>Gemengeabfall vor dem Schmelzen mit Ausnahme desjenigen, der unter 10 11 09 fällt</t>
  </si>
  <si>
    <t>10 11 11*</t>
  </si>
  <si>
    <t>Glasabfall in kleinen Teilchen und Glasstaub, die Schwermetalle enthalten (z.B. aus Kathodenstrahlröhren)</t>
  </si>
  <si>
    <t>10 11 12</t>
  </si>
  <si>
    <t>Glasabfall mit Ausnahme desjenigen, der unter 10 11 11 fällt</t>
  </si>
  <si>
    <t>10 11 13*</t>
  </si>
  <si>
    <t>Glaspolier- und Glasschleifschlämme, die gefährliche Stoffe enthalten</t>
  </si>
  <si>
    <t>10 11 14</t>
  </si>
  <si>
    <t>Glaspolier- und Glasschleifschlämme mit Ausnahme derjenigen, die unter 10 11 13 fallen</t>
  </si>
  <si>
    <t>10 11 15*</t>
  </si>
  <si>
    <t>10 11 16</t>
  </si>
  <si>
    <t>feste Abfälle aus der Abgasbehandlung mit Ausnahme derjenigen, die unter 10 11 15 fallen</t>
  </si>
  <si>
    <t>10 11 17*</t>
  </si>
  <si>
    <t>10 11 18</t>
  </si>
  <si>
    <t>Schlämme und Filterkuchen aus der Abgasbehandlung mit Ausnahme derjenigen, die unter 10 11 17 fallen</t>
  </si>
  <si>
    <t>10 11 19*</t>
  </si>
  <si>
    <t>feste Abfälle aus der betriebseigenen Abwasserbehandlung, die gefährliche Stoffe enthalten</t>
  </si>
  <si>
    <t>10 11 20</t>
  </si>
  <si>
    <t>feste Abfälle aus der betriebseigenen Abwasserbehandlung mit Ausnahme derjenigen, die unter 10 11 19 fallen</t>
  </si>
  <si>
    <t>10 11 99</t>
  </si>
  <si>
    <t>10 12</t>
  </si>
  <si>
    <t>Abfälle aus der Herstellung von Keramikerzeugnissen und keramischen Baustoffen wie Ziegeln, Fliesen, Steinzeug</t>
  </si>
  <si>
    <t>10 12 01</t>
  </si>
  <si>
    <t>Rohmischungen vor dem Brennen</t>
  </si>
  <si>
    <t>10 12 03</t>
  </si>
  <si>
    <t>10 12 05</t>
  </si>
  <si>
    <t>10 12 06</t>
  </si>
  <si>
    <t>verworfene Formen</t>
  </si>
  <si>
    <t>10 12 08</t>
  </si>
  <si>
    <t>Abfälle aus Keramikerzeugnissen, Ziegeln, Fliesen und Steinzeug (nach dem Brennen)</t>
  </si>
  <si>
    <t>10 12 09*</t>
  </si>
  <si>
    <t>10 12 10</t>
  </si>
  <si>
    <t>feste Abfälle aus der Abgasbehandlung mit Ausnahme derjenigen, die unter 10 12 09 fallen</t>
  </si>
  <si>
    <t>10 12 11*</t>
  </si>
  <si>
    <t>Glasurabfälle, die Schwermetalle enthalten</t>
  </si>
  <si>
    <t>10 12 12</t>
  </si>
  <si>
    <t>Glasurabfälle mit Ausnahme derjenigen, die unter 10 12 11 fallen</t>
  </si>
  <si>
    <t>10 12 13</t>
  </si>
  <si>
    <t>10 12 99</t>
  </si>
  <si>
    <t>10 13</t>
  </si>
  <si>
    <t>Abfälle aus der Herstellung von Zement, Branntkalk, Gips und Erzeugnissen aus diesen</t>
  </si>
  <si>
    <t>10 13 01</t>
  </si>
  <si>
    <t>Abfälle von Rohgemenge vor dem Brennen</t>
  </si>
  <si>
    <t>10 13 04</t>
  </si>
  <si>
    <t>Abfälle aus der Kalzinierung und Hydratisierung von Branntkalk</t>
  </si>
  <si>
    <t>10 13 06</t>
  </si>
  <si>
    <t>Teilchen und Staub (außer 10 13 12 und 10 13 13)</t>
  </si>
  <si>
    <t>10 13 07</t>
  </si>
  <si>
    <t>10 13 09*</t>
  </si>
  <si>
    <t>asbesthaltige Abfälle aus der Herstellung von Asbestzement</t>
  </si>
  <si>
    <t>10 13 10</t>
  </si>
  <si>
    <t>Abfälle aus der Herstellung von Asbestzement mit Ausnahme derjenigen, die unter 10 13 09 fallen</t>
  </si>
  <si>
    <t>10 13 11</t>
  </si>
  <si>
    <t>Abfälle aus der Herstellung anderer Verbundstoffe auf Zementbasis mit Ausnahme derjenigen, die unter 10 13 09 und 10 13 10 fallen</t>
  </si>
  <si>
    <t>10 13 12*</t>
  </si>
  <si>
    <t>10 13 13</t>
  </si>
  <si>
    <t>feste Abfälle aus der Abgasbehandlung mit Ausnahme derjenigen, die unter 10 13 12 fallen</t>
  </si>
  <si>
    <t>10 13 14</t>
  </si>
  <si>
    <t>Betonabfälle und Betonschlämme</t>
  </si>
  <si>
    <t>10 13 99</t>
  </si>
  <si>
    <t>10 14</t>
  </si>
  <si>
    <t>Abfälle aus Krematorien</t>
  </si>
  <si>
    <t>10 14 01*</t>
  </si>
  <si>
    <t>quecksilberhaltige Abfälle aus der Gasreinigung</t>
  </si>
  <si>
    <t>Abfälle aus der chemischen Oberflächenbearbeitung und Beschichtung von Metallen und anderen Werkstoffen; Nichteisenhydrometallurgie</t>
  </si>
  <si>
    <t>11 01</t>
  </si>
  <si>
    <t>Abfälle aus der chemischen Oberflächenbearbeitung und Beschichtung von Metallen und anderen Werkstoffen (z.B. Galvanik, Verzinkung, Beizen, Ätzen, Phosphatieren, alkalisches Entfetten und Anodisierung)</t>
  </si>
  <si>
    <t>11 01 05*</t>
  </si>
  <si>
    <t>saure Beizlösungen</t>
  </si>
  <si>
    <t>11 01 06*</t>
  </si>
  <si>
    <t>Säuren a. n. g.</t>
  </si>
  <si>
    <t>11 01 07*</t>
  </si>
  <si>
    <t>alkalische Beizlösungen</t>
  </si>
  <si>
    <t>11 01 08*</t>
  </si>
  <si>
    <t>Phosphatierschlämme</t>
  </si>
  <si>
    <t>11 01 09*</t>
  </si>
  <si>
    <t>Schlämme und Filterkuchen, die gefährliche Stoffe enthalten</t>
  </si>
  <si>
    <t>11 01 10</t>
  </si>
  <si>
    <t>Schlämme und Filterkuchen mit Ausnahme derjenigen, die unter 11 01 09 fallen</t>
  </si>
  <si>
    <t>11 01 11*</t>
  </si>
  <si>
    <t>wässrige Spülflüssigkeiten, die gefährliche Stoffe enthalten</t>
  </si>
  <si>
    <t>11 01 12</t>
  </si>
  <si>
    <t>wässrige Spülflüssigkeiten mit Ausnahme derjenigen, die unter 11 01 11 fallen</t>
  </si>
  <si>
    <t>11 01 13*</t>
  </si>
  <si>
    <t>Abfälle aus der Entfettung, die gefährliche Stoffe enthalten</t>
  </si>
  <si>
    <t>11 01 14</t>
  </si>
  <si>
    <t>Abfälle aus der Entfettung mit Ausnahme derjenigen, die unter 11 01 13 fallen</t>
  </si>
  <si>
    <t>11 01 15*</t>
  </si>
  <si>
    <t>Eluate und Schlämme aus Membransystemen oder Ionenaustauschsystemen, die gefährliche Stoffe enthalten</t>
  </si>
  <si>
    <t>11 01 16*</t>
  </si>
  <si>
    <t>gesättigte oder verbrauchte Ionenaustauscherharze</t>
  </si>
  <si>
    <t>11 01 98*</t>
  </si>
  <si>
    <t>andere Abfälle, die gefährliche Stoffe enthalten</t>
  </si>
  <si>
    <t>11 01 99</t>
  </si>
  <si>
    <t>11 02</t>
  </si>
  <si>
    <t>Abfälle aus Prozessen der Nichteisen-Hydrometallurgie</t>
  </si>
  <si>
    <t>11 02 02*</t>
  </si>
  <si>
    <t>Schlämme aus der Zink-Hydrometallurgie (einschließlich Jarosit, Goethit)</t>
  </si>
  <si>
    <t>11 02 03</t>
  </si>
  <si>
    <t>Abfälle aus der Herstellung von Anoden für wässrige elektrolytische Prozesse</t>
  </si>
  <si>
    <t>11 02 05*</t>
  </si>
  <si>
    <t>Abfälle aus Prozessen der Kupfer-Hydrometallurgie, die gefährliche Stoffe enthalten</t>
  </si>
  <si>
    <t>11 02 06</t>
  </si>
  <si>
    <t>Abfälle aus Prozessen der Kupfer-Hydrometallurgie mit Ausnahme derjenigen, die unter 11 02 05 fallen</t>
  </si>
  <si>
    <t>11 02 07*</t>
  </si>
  <si>
    <t>11 02 99</t>
  </si>
  <si>
    <t>11 03</t>
  </si>
  <si>
    <t>Schlämme und Feststoffe aus Härteprozessen</t>
  </si>
  <si>
    <t>11 03 01*</t>
  </si>
  <si>
    <t>cyanidhaltige Abfälle</t>
  </si>
  <si>
    <t>11 03 02*</t>
  </si>
  <si>
    <t>andere Abfälle</t>
  </si>
  <si>
    <t>11 05</t>
  </si>
  <si>
    <t>Abfälle aus Prozessen der thermischen Verzinkung</t>
  </si>
  <si>
    <t>11 05 01</t>
  </si>
  <si>
    <t>Hartzink</t>
  </si>
  <si>
    <t>11 05 02</t>
  </si>
  <si>
    <t>Zinkasche</t>
  </si>
  <si>
    <t>11 05 03*</t>
  </si>
  <si>
    <t>11 05 04*</t>
  </si>
  <si>
    <t>gebrauchte Flussmittel</t>
  </si>
  <si>
    <t>11 05 99</t>
  </si>
  <si>
    <t>Abfälle aus Prozessen der mechanischen Formgebung sowie der physikalischen und mechanischen Oberflächenbearbeitung vom Metallen und Kunststoffen</t>
  </si>
  <si>
    <t>12 01</t>
  </si>
  <si>
    <t>Abfälle aus Prozessen der mechanischen Formgebung sowie der physikalischen und mechanischen Oberflächenbearbeitung von Metallen und Kunststoffen</t>
  </si>
  <si>
    <t>12 01 01</t>
  </si>
  <si>
    <t>Eisenfeil- und -drehspäne</t>
  </si>
  <si>
    <t>12 01 02</t>
  </si>
  <si>
    <t>Eisenstaub und -teilchen</t>
  </si>
  <si>
    <t>12 01 03</t>
  </si>
  <si>
    <t>NE-Metallfeil- und -drehspäne</t>
  </si>
  <si>
    <t>12 01 04</t>
  </si>
  <si>
    <t>NE-Metallstaub und -teilchen</t>
  </si>
  <si>
    <t>12 01 05</t>
  </si>
  <si>
    <t>Kunststoffspäne und -drehspäne</t>
  </si>
  <si>
    <t>12 01 06*</t>
  </si>
  <si>
    <t>halogenhaltige Bearbeitungsöle auf Mineralölbasis (außer Emulsionen und Lösungen)</t>
  </si>
  <si>
    <t>12 01 07*</t>
  </si>
  <si>
    <t>halogenfreie Bearbeitungsöle auf Mineralölbasis (außer Emulsionen und Lösungen)</t>
  </si>
  <si>
    <t>12 01 08*</t>
  </si>
  <si>
    <t>halogenhaltige Bearbeitungsemulsionen und -lösungen</t>
  </si>
  <si>
    <t>12 01 09*</t>
  </si>
  <si>
    <t>halogenfreie Bearbeitungsemulsionen und -lösungen</t>
  </si>
  <si>
    <t>12 01 10*</t>
  </si>
  <si>
    <t>synthetische Bearbeitungsöle</t>
  </si>
  <si>
    <t>12 01 12*</t>
  </si>
  <si>
    <t>gebrauchte Wachse und Fette</t>
  </si>
  <si>
    <t>12 01 13</t>
  </si>
  <si>
    <t>Schweißabfälle</t>
  </si>
  <si>
    <t>12 01 14*</t>
  </si>
  <si>
    <t>Bearbeitungsschlämme, die gefährliche Stoffe enthalten</t>
  </si>
  <si>
    <t>12 01 15</t>
  </si>
  <si>
    <t>Bearbeitungsschlämme mit Ausnahme derjenigen, die unter 12 01 14 fallen</t>
  </si>
  <si>
    <t>12 01 16*</t>
  </si>
  <si>
    <t>Strahlmittelabfälle, die gefährliche Stoffe enthalten</t>
  </si>
  <si>
    <t>12 01 17</t>
  </si>
  <si>
    <t>Strahlmittelabfälle mit Ausnahme derjenigen, die unter 12 01 16 fallen</t>
  </si>
  <si>
    <t>12 01 18*</t>
  </si>
  <si>
    <t>ölhaltige Metallschlämme (Schleif-, Hon- und Läppschlämme)</t>
  </si>
  <si>
    <t>12 01 19*</t>
  </si>
  <si>
    <t>biologisch leicht abbaubare Bearbeitungsöle</t>
  </si>
  <si>
    <t>12 01 20*</t>
  </si>
  <si>
    <t>gebrauchte Hon- und Schleifmittel, die gefährliche Stoffe enthalten</t>
  </si>
  <si>
    <t>12 01 21</t>
  </si>
  <si>
    <t>gebrauchte Hon- und Schleifmittel mit Ausnahme derjenigen, die unter 12 01 20 fallen</t>
  </si>
  <si>
    <t>12 01 99</t>
  </si>
  <si>
    <t>12 03</t>
  </si>
  <si>
    <t>Abfälle aus der Wasser- und Dampfentfettung (außer 11)</t>
  </si>
  <si>
    <t>12 03 01*</t>
  </si>
  <si>
    <t>wässrige Waschflüssigkeiten</t>
  </si>
  <si>
    <t>12 03 02*</t>
  </si>
  <si>
    <t>Abfälle aus der Dampfentfettung</t>
  </si>
  <si>
    <t>Ölabfälle und Abfälle aus flüssigen Brennstoffen (außer Speiseöle und Ölabfälle, die unter Kapitel 05, 12 oder 19 fallen)</t>
  </si>
  <si>
    <t>13 01</t>
  </si>
  <si>
    <t>Abfälle von Hydraulikölen</t>
  </si>
  <si>
    <t>13 01 01*</t>
  </si>
  <si>
    <t>Hydrauliköle, die PCB enthalten</t>
  </si>
  <si>
    <t>13 01 04*</t>
  </si>
  <si>
    <t>chlorierte Emulsionen</t>
  </si>
  <si>
    <t>13 01 05*</t>
  </si>
  <si>
    <t>nichtchlorierte Emulsionen</t>
  </si>
  <si>
    <t>13 01 09*</t>
  </si>
  <si>
    <t>chlorierte Hydrauliköle auf Mineralölbasis</t>
  </si>
  <si>
    <t>13 01 10*</t>
  </si>
  <si>
    <t>nichtchlorierte Hydrauliköle auf Mineralölbasis</t>
  </si>
  <si>
    <t>13 01 11*</t>
  </si>
  <si>
    <t>synthetische Hydrauliköle</t>
  </si>
  <si>
    <t>13 01 12*</t>
  </si>
  <si>
    <t>biologisch leicht abbaubare Hydrauliköle</t>
  </si>
  <si>
    <t>13 01 13*</t>
  </si>
  <si>
    <t>andere Hydrauliköle</t>
  </si>
  <si>
    <t>13 02</t>
  </si>
  <si>
    <t>Abfälle von Maschinen-, Getriebe- und Schmierölen</t>
  </si>
  <si>
    <t>13 02 04*</t>
  </si>
  <si>
    <t>chlorierte Maschinen-, Getriebe- und Schmieröle auf Mineralölbasis</t>
  </si>
  <si>
    <t>13 02 05*</t>
  </si>
  <si>
    <t>nichtchlorierte Maschinen-, Getriebe- und Schmieröle auf Mineralölbasis</t>
  </si>
  <si>
    <t>13 02 06*</t>
  </si>
  <si>
    <t>synthetische Maschinen-, Getriebe- und Schmieröle</t>
  </si>
  <si>
    <t>13 02 07*</t>
  </si>
  <si>
    <t>biologisch leicht abbaubare Maschinen-, Getriebe- und Schmieröle</t>
  </si>
  <si>
    <t>13 02 08*</t>
  </si>
  <si>
    <t>andere Maschinen-, Getriebe- und Schmieröle</t>
  </si>
  <si>
    <t>13 03</t>
  </si>
  <si>
    <t>Abfälle von Isolier- und Wärmeübertragungsölen</t>
  </si>
  <si>
    <t>13 03 01*</t>
  </si>
  <si>
    <t>Isolier- und Wärmeübertragungsöle, die PCB enthalten</t>
  </si>
  <si>
    <t>13 03 06*</t>
  </si>
  <si>
    <t>chlorierte Isolier- und Wärmeübertragungsöle auf Mineralölbasis mit Ausnahme derjenigen, die unter 13 03 01 fallen</t>
  </si>
  <si>
    <t>13 03 07*</t>
  </si>
  <si>
    <t>nichtchlorierte Isolier- und Wärmeübertragungsöle auf Mineralölbasis</t>
  </si>
  <si>
    <t>13 03 08*</t>
  </si>
  <si>
    <t>synthetische Isolier- und Wärmeübertragungsöle</t>
  </si>
  <si>
    <t>13 03 09*</t>
  </si>
  <si>
    <t>biologisch leicht abbaubare Isolier- und Wärmeübertragungsöle</t>
  </si>
  <si>
    <t>13 03 10*</t>
  </si>
  <si>
    <t>andere Isolier- und Wärmeübertragungsöle</t>
  </si>
  <si>
    <t>13 04</t>
  </si>
  <si>
    <t>Bilgenöle</t>
  </si>
  <si>
    <t>13 04 01*</t>
  </si>
  <si>
    <t>Bilgenöle aus der Binnenschifffahrt</t>
  </si>
  <si>
    <t>13 04 02*</t>
  </si>
  <si>
    <t>Bilgenöle aus Molenablaufkanälen</t>
  </si>
  <si>
    <t>13 04 03*</t>
  </si>
  <si>
    <t>Bilgenöle aus der übrigen Schifffahrt</t>
  </si>
  <si>
    <t>13 05</t>
  </si>
  <si>
    <t>Inhalte von Öl-/Wasserabscheidern</t>
  </si>
  <si>
    <t>13 05 01*</t>
  </si>
  <si>
    <t>feste Abfälle aus Sandfanganlagen und Öl-/Wasserabscheidern</t>
  </si>
  <si>
    <t>13 05 02*</t>
  </si>
  <si>
    <t>Schlämme aus Öl-/Wasserabscheidern</t>
  </si>
  <si>
    <t>13 05 03*</t>
  </si>
  <si>
    <t>Schlämme aus Einlaufschächten</t>
  </si>
  <si>
    <t>13 05 06*</t>
  </si>
  <si>
    <t>Öle aus Öl-/Wasserabscheidern</t>
  </si>
  <si>
    <t>13 05 07*</t>
  </si>
  <si>
    <t>öliges Wasser aus Öl-/Wasserabscheidern</t>
  </si>
  <si>
    <t>13 05 08*</t>
  </si>
  <si>
    <t>Abfallgemische aus Sandfanganlagen und Öl-/Wasserabscheidern</t>
  </si>
  <si>
    <t>13 07</t>
  </si>
  <si>
    <t>Abfälle aus flüssigen Brennstoffen</t>
  </si>
  <si>
    <t>13 07 01*</t>
  </si>
  <si>
    <t>Heizöl und Diesel</t>
  </si>
  <si>
    <t>13 07 02*</t>
  </si>
  <si>
    <t>Benzin</t>
  </si>
  <si>
    <t>13 07 03*</t>
  </si>
  <si>
    <t>andere Brennstoffe (einschließlich Gemische)</t>
  </si>
  <si>
    <t>13 08</t>
  </si>
  <si>
    <t>Ölabfälle a. n. g.</t>
  </si>
  <si>
    <t>13 08 01*</t>
  </si>
  <si>
    <t>Schlämme oder Emulsionen aus Entsalzern</t>
  </si>
  <si>
    <t>13 08 02*</t>
  </si>
  <si>
    <t>andere Emulsionen</t>
  </si>
  <si>
    <t>13 08 99*</t>
  </si>
  <si>
    <t>Abfälle aus organischen Lösemitteln, Kühlmitteln und Treibgasen (außer Abfälle, die unter Kapitel 07 oder 08 fallen)</t>
  </si>
  <si>
    <t>14 06</t>
  </si>
  <si>
    <t>Abfälle aus organischen Lösemitteln, Kühlmitteln sowie Schaum- und Aerosoltreibgasen</t>
  </si>
  <si>
    <t>14 06 01*</t>
  </si>
  <si>
    <t>Fluorchlorkohlenwasserstoffe, HFCKW, HFKW</t>
  </si>
  <si>
    <t>14 06 02*</t>
  </si>
  <si>
    <t>andere halogenierte Lösemittel und Lösemittelgemische</t>
  </si>
  <si>
    <t>14 06 03*</t>
  </si>
  <si>
    <t>andere Lösemittel und Lösemittelgemische</t>
  </si>
  <si>
    <t>14 06 04*</t>
  </si>
  <si>
    <t>Schlämme oder feste Abfälle, die halogenierte Lösemittel enthalten</t>
  </si>
  <si>
    <t>14 06 05*</t>
  </si>
  <si>
    <t>Schlämme oder feste Abfälle, die andere Lösemittel enthalten</t>
  </si>
  <si>
    <t>Verpackungsabfall, Aufsaugmassen, Wischtücher, Filtermaterialien und Schutzkleidung (a. n. g.)</t>
  </si>
  <si>
    <t>15 01</t>
  </si>
  <si>
    <t>Verpackungen (einschließlich getrennt gesammelter kommunaler Verpackungsabfälle)</t>
  </si>
  <si>
    <t>15 01 01</t>
  </si>
  <si>
    <t>Verpackungen aus Papier und Pappe</t>
  </si>
  <si>
    <t>15 01 02</t>
  </si>
  <si>
    <t>Verpackungen aus Kunststoff</t>
  </si>
  <si>
    <t>15 01 03</t>
  </si>
  <si>
    <t>Verpackungen aus Holz</t>
  </si>
  <si>
    <t>15 01 04</t>
  </si>
  <si>
    <t>Verpackungen aus Metall</t>
  </si>
  <si>
    <t>15 01 05</t>
  </si>
  <si>
    <t>Verbundverpackungen</t>
  </si>
  <si>
    <t>15 01 06</t>
  </si>
  <si>
    <t>gemischte Verpackungen</t>
  </si>
  <si>
    <t>15 01 07</t>
  </si>
  <si>
    <t>Verpackungen aus Glas</t>
  </si>
  <si>
    <t>15 01 09</t>
  </si>
  <si>
    <t>Verpackungen aus Textilien</t>
  </si>
  <si>
    <t>15 01 10*</t>
  </si>
  <si>
    <t>Verpackungen, die Rückstände gefährlicher Stoffe enthalten oder durch gefährliche Stoffe verunreinigt sind</t>
  </si>
  <si>
    <t>15 01 11*</t>
  </si>
  <si>
    <t>Verpackungen aus Metall, die eine gefährliche feste poröse Matrix (z.B. Asbest) enthalten, einschließlich geleerter Druckbehältnisse</t>
  </si>
  <si>
    <t>15 02</t>
  </si>
  <si>
    <t>Aufsaug- und Filtermaterialien, Wischtücher und Schutzkleidung</t>
  </si>
  <si>
    <t>15 02 02*</t>
  </si>
  <si>
    <t>Aufsaug- und Filtermaterialien (einschließlich Ölfilter a. n. g.), Wischtücher und Schutzkleidung, die durch gefährliche Stoffe verunreinigt sind</t>
  </si>
  <si>
    <t>15 02 03</t>
  </si>
  <si>
    <t>Aufsaug- und Filtermaterialien, Wischtücher und Schutzkleidung mit Ausnahme derjenigen, die unter 15 02 02 fallen</t>
  </si>
  <si>
    <t>Abfälle, die nicht anderswo im Verzeichnis aufgeführt sind</t>
  </si>
  <si>
    <t>16 01</t>
  </si>
  <si>
    <t>Altfahrzeuge verschiedener Verkehrsträger (einschließlich mobiler Maschinen) und Abfälle aus der Demontage von Altfahrzeugen sowie der Fahrzeugwartung (außer 13, 14, 16 06 und 16 08)</t>
  </si>
  <si>
    <t>16 01 03</t>
  </si>
  <si>
    <t>Altreifen</t>
  </si>
  <si>
    <t>16 01 04*</t>
  </si>
  <si>
    <t>Altfahrzeuge</t>
  </si>
  <si>
    <t>16 01 06</t>
  </si>
  <si>
    <t>Altfahrzeuge, die weder Flüssigkeiten noch andere gefährliche Bestandteile enthalten</t>
  </si>
  <si>
    <t>16 01 07*</t>
  </si>
  <si>
    <t>Ölfilter</t>
  </si>
  <si>
    <t>16 01 08*</t>
  </si>
  <si>
    <t>quecksilberhaltige Bauteile</t>
  </si>
  <si>
    <t>16 01 09*</t>
  </si>
  <si>
    <t>Bauteile, die PCB enthalten</t>
  </si>
  <si>
    <t>16 01 10*</t>
  </si>
  <si>
    <t>explosive Bauteile (z.B. aus Airbags)</t>
  </si>
  <si>
    <t>16 01 11*</t>
  </si>
  <si>
    <t>asbesthaltige Bremsbeläge</t>
  </si>
  <si>
    <t>16 01 12</t>
  </si>
  <si>
    <t>Bremsbeläge mit Ausnahme derjenigen, die unter 16 01 11 fallen</t>
  </si>
  <si>
    <t>16 01 13*</t>
  </si>
  <si>
    <t>Bremsflüssigkeiten</t>
  </si>
  <si>
    <t>16 01 14*</t>
  </si>
  <si>
    <t>Frostschutzmittel, die gefährliche Stoffe enthalten</t>
  </si>
  <si>
    <t>16 01 15</t>
  </si>
  <si>
    <t>Frostschutzmittel mit Ausnahme derjenigen, die unter 16 01 14 fallen</t>
  </si>
  <si>
    <t>16 01 16</t>
  </si>
  <si>
    <t>Flüssiggasbehälter</t>
  </si>
  <si>
    <t>16 01 17</t>
  </si>
  <si>
    <t>Eisenmetalle</t>
  </si>
  <si>
    <t>16 01 18</t>
  </si>
  <si>
    <t>Nichteisenmetalle</t>
  </si>
  <si>
    <t>16 01 19</t>
  </si>
  <si>
    <t>Kunststoffe</t>
  </si>
  <si>
    <t>16 01 20</t>
  </si>
  <si>
    <t>Glas</t>
  </si>
  <si>
    <t>16 01 21*</t>
  </si>
  <si>
    <t>gefährliche Bauteile mit Ausnahme derjenigen, die unter 16 01 07 bis 16 01 11, 16 01 13 und 16 01 14 fallen</t>
  </si>
  <si>
    <t>16 01 22</t>
  </si>
  <si>
    <t>Bauteile a.n.g.</t>
  </si>
  <si>
    <t>16 01 99</t>
  </si>
  <si>
    <t>16 02</t>
  </si>
  <si>
    <t>Elektrische und elektronische Geräte und deren Bauteile</t>
  </si>
  <si>
    <t>16 02 09*</t>
  </si>
  <si>
    <t>Transformatoren und Kondensatoren, die PCB enthalten</t>
  </si>
  <si>
    <t>16 02 10*</t>
  </si>
  <si>
    <t>gebrauchte Geräte, die PCB enthalten oder damit verunreinigt sind, mit Ausnahme derjenigen, die unter 16 02 09 fallen</t>
  </si>
  <si>
    <t>16 02 11*</t>
  </si>
  <si>
    <t>gebrauchte Geräte, die Fluorchlorkohlenwasserstoffe, HFCKW oder HFKW enthalten</t>
  </si>
  <si>
    <t>16 02 12*</t>
  </si>
  <si>
    <t>gebrauchte Geräte, die freies Asbest enthalten</t>
  </si>
  <si>
    <t>16 02 13*</t>
  </si>
  <si>
    <t>gefährliche Bauteile 22) enthaltende gebrauchte Geräte mit Ausnahme derjenigen, die unter 16 02 09 bis 16 02 12 fallen</t>
  </si>
  <si>
    <t>16 02 14</t>
  </si>
  <si>
    <t>gebrauchte Geräte mit Ausnahme derjenigen, die unter 16 02 09 bis 16 02 13 fallen</t>
  </si>
  <si>
    <t>16 02 15*</t>
  </si>
  <si>
    <t>aus gebrauchten Geräten entfernte gefährliche Bauteile</t>
  </si>
  <si>
    <t>16 02 16</t>
  </si>
  <si>
    <t>aus gebrauchten Geräten entfernte Bauteile mit Ausnahme derjenigen, die unter 16 02 15 fallen</t>
  </si>
  <si>
    <t>16 03</t>
  </si>
  <si>
    <t>Fehlchargen und ungebrauchte Erzeugnisse</t>
  </si>
  <si>
    <t>16 03 03*</t>
  </si>
  <si>
    <t>anorganische Abfälle, die gefährliche Stoffe enthalten</t>
  </si>
  <si>
    <t>16 03 04</t>
  </si>
  <si>
    <t>anorganische Abfälle mit Ausnahme derjenigen, die unter 16 03 03 fallen</t>
  </si>
  <si>
    <t>16 03 05*</t>
  </si>
  <si>
    <t>organische Abfälle, die gefährliche Stoffe enthalten</t>
  </si>
  <si>
    <t>16 03 06</t>
  </si>
  <si>
    <t>organische Abfälle mit Ausnahme derjenigen, die unter 16 03 05 fallen</t>
  </si>
  <si>
    <t>16 03 07*</t>
  </si>
  <si>
    <t>metallisches Quecksilber</t>
  </si>
  <si>
    <t>16 04</t>
  </si>
  <si>
    <t>Explosivabfälle</t>
  </si>
  <si>
    <t>16 04 01*</t>
  </si>
  <si>
    <t>Munitionsabfälle</t>
  </si>
  <si>
    <t>16 04 02*</t>
  </si>
  <si>
    <t>Feuerwerkskörperabfälle</t>
  </si>
  <si>
    <t>16 04 03*</t>
  </si>
  <si>
    <t>andere Explosivabfälle</t>
  </si>
  <si>
    <t>16 05</t>
  </si>
  <si>
    <t>Gase in Druckbehältern und gebrauchte Chemikalien</t>
  </si>
  <si>
    <t>16 05 04*</t>
  </si>
  <si>
    <t>gefährliche Stoffe enthaltende Gase in Druckbehältern (einschließlich Halonen)</t>
  </si>
  <si>
    <t>16 05 05</t>
  </si>
  <si>
    <t>Gase in Druckbehältern mit Ausnahme derjenigen, die unter 16 05 04 fallen</t>
  </si>
  <si>
    <t>16 05 06*</t>
  </si>
  <si>
    <t>Laborchemikalien, die aus gefährlichen Stoffen bestehen oder solche enthalten, einschließlich Gemische von Laborchemikalien</t>
  </si>
  <si>
    <t>16 05 07*</t>
  </si>
  <si>
    <t>gebrauchte anorganische Chemikalien, die aus gefährlichen Stoffen bestehen oder solche enthalten</t>
  </si>
  <si>
    <t>16 05 08*</t>
  </si>
  <si>
    <t>gebrauchte organische Chemikalien, die aus gefährlichen Stoffen bestehen oder solche enthalten</t>
  </si>
  <si>
    <t>16 05 09</t>
  </si>
  <si>
    <t>gebrauchte Chemikalien mit Ausnahme derjenigen, die unter 16 05 06, 16 05 07 oder 16 05 08 fallen</t>
  </si>
  <si>
    <t>16 06</t>
  </si>
  <si>
    <t>Batterien und Akkumulatoren</t>
  </si>
  <si>
    <t>16 06 01*</t>
  </si>
  <si>
    <t>Bleibatterien</t>
  </si>
  <si>
    <t>16 06 02*</t>
  </si>
  <si>
    <t>Ni-Cd-Batterien</t>
  </si>
  <si>
    <t>16 06 03*</t>
  </si>
  <si>
    <t>Quecksilber enthaltende Batterien</t>
  </si>
  <si>
    <t>16 06 04</t>
  </si>
  <si>
    <t>Alkalibatterien (außer 16 06 03)</t>
  </si>
  <si>
    <t>16 06 05</t>
  </si>
  <si>
    <t>andere Batterien und Akkumulatoren</t>
  </si>
  <si>
    <t>16 06 06*</t>
  </si>
  <si>
    <t>getrennt gesammelte Elektrolyte aus Batterien und Akkumulatoren</t>
  </si>
  <si>
    <t>16 07</t>
  </si>
  <si>
    <t>Abfälle aus der Reinigung von Transport- und Lagertanks und Fässern (außer 05 und 13)</t>
  </si>
  <si>
    <t>16 07 08*</t>
  </si>
  <si>
    <t>ölhaltige Abfälle</t>
  </si>
  <si>
    <t>16 07 09*</t>
  </si>
  <si>
    <t>Abfälle, die sonstige gefährliche Stoffe enthalten</t>
  </si>
  <si>
    <t>16 07 99</t>
  </si>
  <si>
    <t>16 08</t>
  </si>
  <si>
    <t>Gebrauchte Katalysatoren</t>
  </si>
  <si>
    <t>16 08 01</t>
  </si>
  <si>
    <t>gebrauchte Katalysatoren, die Gold, Silber, Rhenium, Rhodium, Palladium, Iridium oder Platin enthalten (außer 16 08 07)</t>
  </si>
  <si>
    <t>16 08 02*</t>
  </si>
  <si>
    <t>gebrauchte Katalysatoren, die gefährliche Übergangsmetalle oder deren Verbindungen enthalten</t>
  </si>
  <si>
    <t>16 08 03</t>
  </si>
  <si>
    <t>gebrauchte Katalysatoren, die Übergangsmetalle oder deren Verbindungen enthalten, a. n. g.</t>
  </si>
  <si>
    <t>16 08 04</t>
  </si>
  <si>
    <t>gebrauchte Katalysatoren von Crackprozessen (außer 16 08 07)</t>
  </si>
  <si>
    <t>16 08 05*</t>
  </si>
  <si>
    <t>gebrauchte Katalysatoren, die Phosphorsäure enthalten</t>
  </si>
  <si>
    <t>16 08 06*</t>
  </si>
  <si>
    <t>gebrauchte Flüssigkeiten, die als Katalysatoren verwendet wurden</t>
  </si>
  <si>
    <t>16 08 07*</t>
  </si>
  <si>
    <t>gebrauchte Katalysatoren, die durch gefährliche Stoffe verunreinigt sind</t>
  </si>
  <si>
    <t>16 09</t>
  </si>
  <si>
    <t>Oxidierende Stoffe</t>
  </si>
  <si>
    <t>16 09 01*</t>
  </si>
  <si>
    <t>Permanganate, z.B. Kaliumpermanganat</t>
  </si>
  <si>
    <t>16 09 02*</t>
  </si>
  <si>
    <t>Chromate, z.B. Kaliumchromat, Kalium- oder Natriumdichromat</t>
  </si>
  <si>
    <t>16 09 03*</t>
  </si>
  <si>
    <t>Peroxide, z.B. Wasserstoffperoxid</t>
  </si>
  <si>
    <t>16 09 04*</t>
  </si>
  <si>
    <t>oxidierende Stoffe a. n. g.</t>
  </si>
  <si>
    <t>16 10</t>
  </si>
  <si>
    <t>Wässrige flüssige Abfälle zur externen Behandlung</t>
  </si>
  <si>
    <t>16 10 01*</t>
  </si>
  <si>
    <t>wässrige flüssige Abfälle, die gefährliche Stoffe enthalten</t>
  </si>
  <si>
    <t>16 10 02</t>
  </si>
  <si>
    <t>wässrige flüssige Abfälle mit Ausnahme derjenigen, die unter 16 10 01 fallen</t>
  </si>
  <si>
    <t>16 10 03*</t>
  </si>
  <si>
    <t>wässrige Konzentrate, die gefährliche Stoffe enthalten</t>
  </si>
  <si>
    <t>16 10 04</t>
  </si>
  <si>
    <t>wässrige Konzentrate mit Ausnahme derjenigen, die unter 16 10 03 fallen</t>
  </si>
  <si>
    <t>16 11</t>
  </si>
  <si>
    <t>Gebrauchte Auskleidungen und feuerfeste Materialien</t>
  </si>
  <si>
    <t>16 11 01*</t>
  </si>
  <si>
    <t>Auskleidungen und feuerfeste Materialien auf Kohlenstoffbasis aus metallurgischen Prozessen, die gefährliche Stoffe enthalten</t>
  </si>
  <si>
    <t>16 11 02</t>
  </si>
  <si>
    <t>Auskleidungen und feuerfeste Materialien auf Kohlenstoffbasis aus metallurgischen Prozessen mit Ausnahme derjenigen, die unter 16 11 01 fallen</t>
  </si>
  <si>
    <t>16 11 03*</t>
  </si>
  <si>
    <t>andere Auskleidungen und feuerfeste Materialien aus metallurgischen Prozessen, die gefährliche Stoffe enthalten</t>
  </si>
  <si>
    <t>16 11 04</t>
  </si>
  <si>
    <t>andere Auskleidungen und feuerfeste Materialien aus metallurgischen Prozessen mit Ausnahme derjenigen, die unter 16 11 03 fallen</t>
  </si>
  <si>
    <t>16 11 05*</t>
  </si>
  <si>
    <t>Auskleidungen und feuerfeste Materialien aus nichtmetallurgischen Prozessen, die gefährliche Stoffe enthalten</t>
  </si>
  <si>
    <t>16 11 06</t>
  </si>
  <si>
    <t>Auskleidungen und feuerfeste Materialien aus nichtmetallurgischen Prozessen mit Ausnahme derjenigen, die unter 16 11 05 fallen</t>
  </si>
  <si>
    <t>Bau- und Abbruchabfälle (einschließlich Aushub von verunreinigten Standorten)</t>
  </si>
  <si>
    <t>17 01</t>
  </si>
  <si>
    <t>Beton, Ziegel, Fliesen und Keramik</t>
  </si>
  <si>
    <t>17 01 01</t>
  </si>
  <si>
    <t>Beton</t>
  </si>
  <si>
    <t>17 01 02</t>
  </si>
  <si>
    <t>Ziegel</t>
  </si>
  <si>
    <t>17 01 03</t>
  </si>
  <si>
    <t>Fliesen und Keramik</t>
  </si>
  <si>
    <t>17 01 06*</t>
  </si>
  <si>
    <t>Gemische aus oder getrennte Fraktionen von Beton, Ziegeln, Fliesen und Keramik, die gefährliche Stoffe enthalten</t>
  </si>
  <si>
    <t>17 01 07</t>
  </si>
  <si>
    <t>Gemische aus Beton, Ziegeln, Fliesen und Keramik mit Ausnahme derjenigen, die unter 17 01 06 fallen</t>
  </si>
  <si>
    <t>17 02</t>
  </si>
  <si>
    <t>Holz, Glas und Kunststoff</t>
  </si>
  <si>
    <t>17 02 01</t>
  </si>
  <si>
    <t>Holz</t>
  </si>
  <si>
    <t>17 02 02</t>
  </si>
  <si>
    <t>17 02 03</t>
  </si>
  <si>
    <t>Kunststoff</t>
  </si>
  <si>
    <t>17 02 04*</t>
  </si>
  <si>
    <t>Glas, Kunststoff und Holz, die gefährliche Stoffe enthalten oder durch gefährliche Stoffe verunreinigt sind</t>
  </si>
  <si>
    <t>17 03</t>
  </si>
  <si>
    <t>Bitumengemische, Kohlenteer und teerhaltige Produkte</t>
  </si>
  <si>
    <t>17 03 01*</t>
  </si>
  <si>
    <t>kohlenteerhaltige Bitumengemische</t>
  </si>
  <si>
    <t>17 03 02</t>
  </si>
  <si>
    <t>Bitumengemische mit Ausnahme derjenigen, die unter 17 03 01 fallen</t>
  </si>
  <si>
    <t>17 03 03*</t>
  </si>
  <si>
    <t>Kohlenteer und teerhaltige Produkte</t>
  </si>
  <si>
    <t>17 04</t>
  </si>
  <si>
    <t>Metalle (einschließlich Legierungen)</t>
  </si>
  <si>
    <t>17 04 01</t>
  </si>
  <si>
    <t>Kupfer, Bronze, Messing</t>
  </si>
  <si>
    <t>17 04 02</t>
  </si>
  <si>
    <t>Aluminium</t>
  </si>
  <si>
    <t>17 04 03</t>
  </si>
  <si>
    <t>Blei</t>
  </si>
  <si>
    <t>17 04 04</t>
  </si>
  <si>
    <t>Zink</t>
  </si>
  <si>
    <t>17 04 05</t>
  </si>
  <si>
    <t>Eisen und Stahl</t>
  </si>
  <si>
    <t>17 04 06</t>
  </si>
  <si>
    <t>Zinn</t>
  </si>
  <si>
    <t>17 04 07</t>
  </si>
  <si>
    <t>gemischte Metalle</t>
  </si>
  <si>
    <t>17 04 09*</t>
  </si>
  <si>
    <t>Metallabfälle, die durch gefährliche Stoffe verunreinigt sind</t>
  </si>
  <si>
    <t>17 04 10*</t>
  </si>
  <si>
    <t>Kabel, die Öl, Kohlenteer oder andere gefährliche Stoffe enthalten</t>
  </si>
  <si>
    <t>17 04 11</t>
  </si>
  <si>
    <t>Kabel mit Ausnahme derjenigen, die unter 17 04 10 fallen</t>
  </si>
  <si>
    <t>17 05</t>
  </si>
  <si>
    <t>Boden (einschließlich Aushub von verunreinigten Standorten), Steine und Baggergut</t>
  </si>
  <si>
    <t>17 05 03*</t>
  </si>
  <si>
    <t>Boden und Steine, die gefährliche Stoffe enthalten</t>
  </si>
  <si>
    <t>17 05 04</t>
  </si>
  <si>
    <t>Boden und Steine mit Ausnahme derjenigen, die unter 17 05 03 fallen</t>
  </si>
  <si>
    <t>17 05 05*</t>
  </si>
  <si>
    <t>Baggergut, das gefährliche Stoffe enthält</t>
  </si>
  <si>
    <t>17 05 06</t>
  </si>
  <si>
    <t>Baggergut mit Ausnahme desjenigen, das unter 17 05 05 fällt</t>
  </si>
  <si>
    <t>17 05 07*</t>
  </si>
  <si>
    <t>Gleisschotter, der gefährliche Stoffe enthält</t>
  </si>
  <si>
    <t>17 05 08</t>
  </si>
  <si>
    <t>Gleisschotter mit Ausnahme desjenigen, der unter 17 05 07 fällt</t>
  </si>
  <si>
    <t>17 06</t>
  </si>
  <si>
    <t>Dämmmaterial und asbesthaltige Baustoffe</t>
  </si>
  <si>
    <t>17 06 01*</t>
  </si>
  <si>
    <t>Dämmmaterial, das Asbest enthält</t>
  </si>
  <si>
    <t>17 06 03*</t>
  </si>
  <si>
    <t>anderes Dämmmaterial, das aus gefährlichen Stoffen besteht oder solche Stoffe enthält</t>
  </si>
  <si>
    <t>17 06 04</t>
  </si>
  <si>
    <t>Dämmmaterial mit Ausnahme desjenigen, das unter 17 06 01 und 17 06 03 fällt</t>
  </si>
  <si>
    <t>17 06 05*</t>
  </si>
  <si>
    <t>asbesthaltige Baustoffe</t>
  </si>
  <si>
    <t>17 08</t>
  </si>
  <si>
    <t>Baustoffe auf Gipsbasis</t>
  </si>
  <si>
    <t>17 08 01*</t>
  </si>
  <si>
    <t>Baustoffe auf Gipsbasis, die durch gefährliche Stoffe verunreinigt sind</t>
  </si>
  <si>
    <t>17 08 02</t>
  </si>
  <si>
    <t>Baustoffe auf Gipsbasis mit Ausnahme derjenigen, die unter 17 08 01 fallen</t>
  </si>
  <si>
    <t>17 09</t>
  </si>
  <si>
    <t>Sonstige Bau- und Abbruchabfälle</t>
  </si>
  <si>
    <t>17 09 01*</t>
  </si>
  <si>
    <t>Bau- und Abbruchabfälle, die Quecksilber enthalten</t>
  </si>
  <si>
    <t>17 09 02*</t>
  </si>
  <si>
    <t>Bau- und Abbruchabfälle, die PCB enthalten (z.B. PCB-haltige Dichtungsmassen, PCB-haltige Bodenbeläge auf Harzbasis, PCB-haltige Isolierverglasungen, PCB-haltige Kondensatoren)</t>
  </si>
  <si>
    <t>17 09 03*</t>
  </si>
  <si>
    <t>sonstige Bau- und Abbruchabfälle (einschließlich gemischte Abfälle), die gefährliche Stoffe enthalten</t>
  </si>
  <si>
    <t>17 09 04</t>
  </si>
  <si>
    <t>gemischte Bau- und Abbruchabfälle mit Ausnahme derjenigen, die unter 17 09 01, 17 09 02 und 17 09 03 fallen</t>
  </si>
  <si>
    <t>Abfälle aus der humanmedizinischen oder tierärztlichen Versorgung und Forschung (ohne Küchen- und Restaurantabfälle, die nicht aus der unmittelbaren Krankenpflege stammen)</t>
  </si>
  <si>
    <t>18 01</t>
  </si>
  <si>
    <t>Abfälle aus der Geburtshilfe, Diagnose, Behandlung oder Vorbeugung von Krankheiten beim Menschen</t>
  </si>
  <si>
    <t>18 01 01</t>
  </si>
  <si>
    <t>spitze oder scharfe Gegenstände (außer 18 01 03)</t>
  </si>
  <si>
    <t>18 01 02</t>
  </si>
  <si>
    <t>Körperteile und Organe, einschließlich Blutbeutel und Blutkonserven (außer 18 01 03)</t>
  </si>
  <si>
    <t>18 01 03*</t>
  </si>
  <si>
    <t>Abfälle, an deren Sammlung und Entsorgung aus infektionspräventiver Sicht besondere Anforderungen gestellt werden</t>
  </si>
  <si>
    <t>18 01 04</t>
  </si>
  <si>
    <t>Abfälle, an deren Sammlung und Entsorgung aus infektionspräventiver Sicht keine besonderen Anforderungen gestellt werden (z. B. Wund- und Gipsverbände, Wäsche, Einwegkleidung, Windeln)</t>
  </si>
  <si>
    <t>18 01 06*</t>
  </si>
  <si>
    <t>Chemikalien, die aus gefährlichen Stoffen bestehen oder solche enthalten</t>
  </si>
  <si>
    <t>18 01 07</t>
  </si>
  <si>
    <t>Chemikalien mit Ausnahme derjenigen, die unter 18 01 06 fallen</t>
  </si>
  <si>
    <t>18 01 08*</t>
  </si>
  <si>
    <t>zytotoxische und zytostatische Arzneimittel</t>
  </si>
  <si>
    <t>18 01 09</t>
  </si>
  <si>
    <t>Arzneimittel mit Ausnahme derjenigen, die unter 18 01 08 fallen</t>
  </si>
  <si>
    <t>18 01 10*</t>
  </si>
  <si>
    <t>Amalgamabfälle aus der Zahnmedizin</t>
  </si>
  <si>
    <t>18 02</t>
  </si>
  <si>
    <t>Abfälle aus Forschung, Diagnose, Krankenbehandlung und Vorsorge bei Tieren</t>
  </si>
  <si>
    <t>18 02 01</t>
  </si>
  <si>
    <t>spitze oder scharfe Gegenstände mit Ausnahme derjenigen, die unter 18 02 02 fallen</t>
  </si>
  <si>
    <t>18 02 02*</t>
  </si>
  <si>
    <t>18 02 03</t>
  </si>
  <si>
    <t>Abfälle, an deren Sammlung und Entsorgung aus infektionspräventiver Sicht keine besonderen Anforderungen gestellt werden</t>
  </si>
  <si>
    <t>18 02 05*</t>
  </si>
  <si>
    <t>18 02 06</t>
  </si>
  <si>
    <t>Chemikalien mit Ausnahme derjenigen, die unter 18 02 05 fallen</t>
  </si>
  <si>
    <t>18 02 07*</t>
  </si>
  <si>
    <t>18 02 08</t>
  </si>
  <si>
    <t>Arzneimittel mit Ausnahme derjenigen, die unter 18 02 07 fallen</t>
  </si>
  <si>
    <t>Abfälle aus Abfallbehandlungsanlagen, öffentlichen Abwasserbehandlungsanlagen sowie der Aufbereitung von Wasser für den menschlichen Gebrauch und Wasser für industrielle Zwecke</t>
  </si>
  <si>
    <t>19 01</t>
  </si>
  <si>
    <t>Abfälle aus der Verbrennung oder Pyrolyse von Abfällen</t>
  </si>
  <si>
    <t>19 01 02</t>
  </si>
  <si>
    <t>Eisenteile, aus der Rost- und Kesselasche entfernt</t>
  </si>
  <si>
    <t>19 01 05*</t>
  </si>
  <si>
    <t>Filterkuchen aus der Abgasbehandlung</t>
  </si>
  <si>
    <t>19 01 06*</t>
  </si>
  <si>
    <t>wässrige flüssige Abfälle aus der Abgasbehandlung und andere wässrige flüssige Abfälle</t>
  </si>
  <si>
    <t>19 01 07*</t>
  </si>
  <si>
    <t>19 01 10*</t>
  </si>
  <si>
    <t>gebrauchte Aktivkohle aus der Abgasbehandlung</t>
  </si>
  <si>
    <t>19 01 11*</t>
  </si>
  <si>
    <t>Rost- und Kesselaschen sowie Schlacken, die gefährliche Stoffe enthalten</t>
  </si>
  <si>
    <t>19 01 12</t>
  </si>
  <si>
    <t>Rost- und Kesselaschen sowie Schlacken mit Ausnahme derjenigen, die unter 19 01 11 fallen</t>
  </si>
  <si>
    <t>19 01 13*</t>
  </si>
  <si>
    <t>19 01 14</t>
  </si>
  <si>
    <t>Filterstaub mit Ausnahme desjenigen, der unter 19 01 13 fällt</t>
  </si>
  <si>
    <t>19 01 15*</t>
  </si>
  <si>
    <t>Kesselstaub, der gefährliche Stoffe enthält</t>
  </si>
  <si>
    <t>19 01 16</t>
  </si>
  <si>
    <t>Kesselstaub mit Ausnahme desjenigen, der unter 19 01 15 fällt</t>
  </si>
  <si>
    <t>19 01 17*</t>
  </si>
  <si>
    <t>Pyrolyseabfälle, die gefährliche Stoffe enthalten</t>
  </si>
  <si>
    <t>19 01 18</t>
  </si>
  <si>
    <t>Pyrolyseabfälle mit Ausnahme derjenigen, die unter 19 01 17 fallen</t>
  </si>
  <si>
    <t>19 01 19</t>
  </si>
  <si>
    <t>19 01 99</t>
  </si>
  <si>
    <t>19 02</t>
  </si>
  <si>
    <t>Abfälle aus der physikalisch-chemischen Behandlung von Abfällen (einschließlich Dechromatisierung, Cyanidentfernung, Neutralisation)</t>
  </si>
  <si>
    <t>19 02 03</t>
  </si>
  <si>
    <t>vorgemischte Abfälle, die ausschließlich aus nicht gefährlichen Abfällen bestehen</t>
  </si>
  <si>
    <t>19 02 04*</t>
  </si>
  <si>
    <t>vorgemischte Abfälle, die wenigstens einen gefährlichen Abfall enthalten</t>
  </si>
  <si>
    <t>19 02 05*</t>
  </si>
  <si>
    <t>Schlämme aus der physikalisch-chemischen Behandlung, die gefährliche Stoffe enthalten</t>
  </si>
  <si>
    <t>19 02 06</t>
  </si>
  <si>
    <t>Schlämme aus der physikalisch-chemischen Behandlung mit Ausnahme derjenigen, die unter 19 02 05 fallen</t>
  </si>
  <si>
    <t>19 02 07*</t>
  </si>
  <si>
    <t>Öl und Konzentrate aus Abtrennprozessen</t>
  </si>
  <si>
    <t>19 02 08*</t>
  </si>
  <si>
    <t>flüssige brennbare Abfälle, die gefährliche Stoffe enthalten</t>
  </si>
  <si>
    <t>19 02 09*</t>
  </si>
  <si>
    <t>feste brennbare Abfälle, die gefährliche Stoffe enthalten</t>
  </si>
  <si>
    <t>19 02 10</t>
  </si>
  <si>
    <t>brennbare Abfälle mit Ausnahme derjenigen, die unter 19 02 08 und 19 02 09 fallen</t>
  </si>
  <si>
    <t>19 02 11*</t>
  </si>
  <si>
    <t>sonstige Abfälle, die gefährliche Stoffe enthalten</t>
  </si>
  <si>
    <t>19 02 99</t>
  </si>
  <si>
    <t>19 03</t>
  </si>
  <si>
    <t>Stabilisierte und verfestigte Abfälle</t>
  </si>
  <si>
    <t>19 03 04*</t>
  </si>
  <si>
    <t>als gefährlich eingestufte teilweise stabilisierte Abfälle, mit Ausnahme derjenigen, die unter 19 03 08 fallen</t>
  </si>
  <si>
    <t>19 03 05</t>
  </si>
  <si>
    <t>stabilisierte Abfälle mit Ausnahme derjenigen, die unter 19 03 04 fallen</t>
  </si>
  <si>
    <t>19 03 06*</t>
  </si>
  <si>
    <t>als gefährlich eingestufte verfestigte Abfälle</t>
  </si>
  <si>
    <t>19 03 07</t>
  </si>
  <si>
    <t>verfestigte Abfälle mit Ausnahme derjenigen, die unter 19 03 06 fallen</t>
  </si>
  <si>
    <t>19 03 08*</t>
  </si>
  <si>
    <t>teilweise stabilisiertes Quecksilber</t>
  </si>
  <si>
    <t>19 04</t>
  </si>
  <si>
    <t>Verglaste Abfälle und Abfälle aus der Verglasung</t>
  </si>
  <si>
    <t>19 04 01</t>
  </si>
  <si>
    <t>verglaste Abfälle</t>
  </si>
  <si>
    <t>19 04 02*</t>
  </si>
  <si>
    <t>Filterstaub und andere Abfälle aus der Abgasbehandlung</t>
  </si>
  <si>
    <t>19 04 03*</t>
  </si>
  <si>
    <t>nicht verglaste Festphase</t>
  </si>
  <si>
    <t>19 04 04</t>
  </si>
  <si>
    <t>wässrige flüssige Abfälle aus dem Tempern</t>
  </si>
  <si>
    <t>19 05</t>
  </si>
  <si>
    <t>Abfälle aus der aeroben Behandlung von festen Abfällen</t>
  </si>
  <si>
    <t>19 05 01</t>
  </si>
  <si>
    <t>nicht kompostierte Fraktion von Siedlungs- und ähnlichen Abfällen</t>
  </si>
  <si>
    <t>19 05 02</t>
  </si>
  <si>
    <t>nicht kompostierte Fraktion von tierischen und pflanzlichen Abfällen</t>
  </si>
  <si>
    <t>19 05 03</t>
  </si>
  <si>
    <t>nicht spezifikationsgerechter Kompost</t>
  </si>
  <si>
    <t>19 05 99</t>
  </si>
  <si>
    <t>19 06</t>
  </si>
  <si>
    <t>Abfälle aus der anaeroben Behandlung von Abfällen</t>
  </si>
  <si>
    <t>19 06 03</t>
  </si>
  <si>
    <t>Flüssigkeiten aus der anaeroben Behandlung von Siedlungsabfällen</t>
  </si>
  <si>
    <t>19 06 04</t>
  </si>
  <si>
    <t>Gärrückstand/-schlamm aus der anaeroben Behandlung von Siedlungsabfällen</t>
  </si>
  <si>
    <t>19 06 05</t>
  </si>
  <si>
    <t>Flüssigkeiten aus der anaeroben Behandlung von tierischen und pflanzlichen Abfällen</t>
  </si>
  <si>
    <t>19 06 06</t>
  </si>
  <si>
    <t>Gärrückstand/-schlamm aus der anaeroben Behandlung von tierischen und pflanzlichen Abfällen</t>
  </si>
  <si>
    <t>19 06 99</t>
  </si>
  <si>
    <t>19 07</t>
  </si>
  <si>
    <t>Deponiesickerwasser</t>
  </si>
  <si>
    <t>19 07 02*</t>
  </si>
  <si>
    <t>Deponiesickerwasser, das gefährliche Stoffe enthält</t>
  </si>
  <si>
    <t>19 07 03</t>
  </si>
  <si>
    <t>Deponiesickerwasser mit Ausnahme desjenigen, das unter 19 07 02 fällt</t>
  </si>
  <si>
    <t>19 08</t>
  </si>
  <si>
    <t>Abfälle aus Abwasserbehandlungsanlagen a. n. g.</t>
  </si>
  <si>
    <t>19 08 01</t>
  </si>
  <si>
    <t>Sieb- und Rechenrückstände</t>
  </si>
  <si>
    <t>19 08 02</t>
  </si>
  <si>
    <t>Sandfangrückstände</t>
  </si>
  <si>
    <t>19 08 05</t>
  </si>
  <si>
    <t>Schlämme aus der Behandlung von kommunalem Abwasser</t>
  </si>
  <si>
    <t>19 08 06*</t>
  </si>
  <si>
    <t>19 08 07*</t>
  </si>
  <si>
    <t>Lösungen und Schlämme aus der Regeneration von Ionenaustauschern</t>
  </si>
  <si>
    <t>19 08 08*</t>
  </si>
  <si>
    <t>schwermetallhaltige Abfälle aus Membransystemen</t>
  </si>
  <si>
    <t>19 08 09</t>
  </si>
  <si>
    <t>Fett- und Ölmischungen aus Ölabscheidern, die ausschließlich Speiseöle und -fette enthalten</t>
  </si>
  <si>
    <t>19 08 10*</t>
  </si>
  <si>
    <t>Fett- und Ölmischungen aus Ölabscheidern mit Ausnahme derjenigen, die unter 19 08 09 fallen</t>
  </si>
  <si>
    <t>19 08 11*</t>
  </si>
  <si>
    <t>Schlämme aus der biologischen Behandlung von industriellem Abwasser, die gefährliche Stoffe enthalten</t>
  </si>
  <si>
    <t>19 08 12</t>
  </si>
  <si>
    <t>Schlämme aus der biologischen Behandlung von industriellem Abwasser mit Ausnahme derjenigen, die unter 19 08 11 fallen</t>
  </si>
  <si>
    <t>19 08 13*</t>
  </si>
  <si>
    <t>Schlämme aus einer anderen Behandlung von industriellem Abwasser, die gefährliche Stoffe enthalten</t>
  </si>
  <si>
    <t>19 08 14</t>
  </si>
  <si>
    <t>Schlämme aus einer anderen Behandlung von industriellem Abwasser mit Ausnahme derjenigen, die unter 19 08 13 fallen</t>
  </si>
  <si>
    <t>19 08 99</t>
  </si>
  <si>
    <t>19 09</t>
  </si>
  <si>
    <t>Abfälle aus der Zubereitung von Wasser für den menschlichen Gebrauch oder industriellem Brauchwasser</t>
  </si>
  <si>
    <t>19 09 01</t>
  </si>
  <si>
    <t>feste Abfälle aus der Erstfiltration und Siebrückstände</t>
  </si>
  <si>
    <t>19 09 02</t>
  </si>
  <si>
    <t>Schlämme aus der Wasserklärung</t>
  </si>
  <si>
    <t>19 09 03</t>
  </si>
  <si>
    <t>Schlämme aus der Dekarbonatisierung</t>
  </si>
  <si>
    <t>19 09 04</t>
  </si>
  <si>
    <t>gebrauchte Aktivkohle</t>
  </si>
  <si>
    <t>19 09 05</t>
  </si>
  <si>
    <t>gesättigte oder gebrauchte Ionenaustauscherharze</t>
  </si>
  <si>
    <t>19 09 06</t>
  </si>
  <si>
    <t>19 09 99</t>
  </si>
  <si>
    <t>19 10</t>
  </si>
  <si>
    <t>Abfälle aus dem Schreddern von metallhaltigen Abfällen</t>
  </si>
  <si>
    <t>19 10 01</t>
  </si>
  <si>
    <t>Eisen- und Stahlabfälle</t>
  </si>
  <si>
    <t>19 10 02</t>
  </si>
  <si>
    <t>NE-Metall-Abfälle</t>
  </si>
  <si>
    <t>19 10 03*</t>
  </si>
  <si>
    <t>Schredderleichtfraktionen und Staub, die gefährliche Stoffe enthalten</t>
  </si>
  <si>
    <t>19 10 04</t>
  </si>
  <si>
    <t>Schredderleichtfraktionen und Staub mit Ausnahme derjenigen, die unter 19 10 03 fallen</t>
  </si>
  <si>
    <t>19 10 05*</t>
  </si>
  <si>
    <t>andere Fraktionen, die gefährliche Stoffe enthalten</t>
  </si>
  <si>
    <t>19 10 06</t>
  </si>
  <si>
    <t>andere Fraktionen mit Ausnahme derjenigen, die unter 19 10 05 fallen</t>
  </si>
  <si>
    <t>19 11</t>
  </si>
  <si>
    <t>Abfälle aus der Altölaufbereitung</t>
  </si>
  <si>
    <t>19 11 01*</t>
  </si>
  <si>
    <t>19 11 02*</t>
  </si>
  <si>
    <t>19 11 03*</t>
  </si>
  <si>
    <t>wässrige flüssige Abfälle</t>
  </si>
  <si>
    <t>19 11 04*</t>
  </si>
  <si>
    <t>19 11 05*</t>
  </si>
  <si>
    <t>19 11 06</t>
  </si>
  <si>
    <t>Schlämme aus der betriebseigenen Abwasserbehandlung mit Ausnahme derjenigen, die unter 19 11 05 fallen</t>
  </si>
  <si>
    <t>19 11 07*</t>
  </si>
  <si>
    <t>Abfälle aus der Abgasreinigung</t>
  </si>
  <si>
    <t>19 11 99</t>
  </si>
  <si>
    <t>19 12</t>
  </si>
  <si>
    <t>Abfälle aus der mechanischen Behandlung von Abfällen (z. B. Sortieren, Zerkleinern, Verdichten, Pelletieren) a. n. g.</t>
  </si>
  <si>
    <t>19 12 01</t>
  </si>
  <si>
    <t>Papier und Pappe</t>
  </si>
  <si>
    <t>19 12 02</t>
  </si>
  <si>
    <t>19 12 03</t>
  </si>
  <si>
    <t>19 12 04</t>
  </si>
  <si>
    <t>Kunststoff und Gummi</t>
  </si>
  <si>
    <t>19 12 05</t>
  </si>
  <si>
    <t>19 12 06*</t>
  </si>
  <si>
    <t>Holz, das gefährliche Stoffe enthält</t>
  </si>
  <si>
    <t>19 12 07</t>
  </si>
  <si>
    <t>Holz mit Ausnahme desjenigen, das unter 19 12 06 fällt</t>
  </si>
  <si>
    <t>19 12 08</t>
  </si>
  <si>
    <t>Textilien</t>
  </si>
  <si>
    <t>19 12 09</t>
  </si>
  <si>
    <t>Mineralien (z.B. Sand, Steine)</t>
  </si>
  <si>
    <t>19 12 10</t>
  </si>
  <si>
    <t>brennbare Abfälle (Brennstoffe aus Abfällen)</t>
  </si>
  <si>
    <t>19 12 11*</t>
  </si>
  <si>
    <t>sonstige Abfälle (einschließlich Materialmischungen) aus der mechanischen Behandlung von Abfällen, die gefährliche Stoffe enthalten</t>
  </si>
  <si>
    <t>19 12 12</t>
  </si>
  <si>
    <t>sonstige Abfälle (einschließlich Materialmischungen) aus der mechanischen Behandlung von Abfällen mit Ausnahme derjenigen, die unter 19 12 11 fallen</t>
  </si>
  <si>
    <t>19 13</t>
  </si>
  <si>
    <t>Abfälle aus der Sanierung von Böden und Grundwasser</t>
  </si>
  <si>
    <t>19 13 01*</t>
  </si>
  <si>
    <t>feste Abfälle aus der Sanierung von Böden, die gefährliche Stoffe enthalten</t>
  </si>
  <si>
    <t>19 13 02</t>
  </si>
  <si>
    <t>feste Abfälle aus der Sanierung von Böden mit Ausnahme derjenigen, die unter 19 13 01 fallen</t>
  </si>
  <si>
    <t>19 13 03*</t>
  </si>
  <si>
    <t>Schlämme aus der Sanierung von Böden, die gefährliche Stoffe enthalten</t>
  </si>
  <si>
    <t>19 13 04</t>
  </si>
  <si>
    <t>Schlämme aus der Sanierung von Böden mit Ausnahme derjenigen, die unter 19 13 03 fallen</t>
  </si>
  <si>
    <t>19 13 05*</t>
  </si>
  <si>
    <t>Schlämme aus der Sanierung von Grundwasser, die gefährliche Stoffe enthalten</t>
  </si>
  <si>
    <t>19 13 06</t>
  </si>
  <si>
    <t>Schlämme aus der Sanierung von Grundwasser mit Ausnahme derjenigen, die unter 19 13 05 fallen</t>
  </si>
  <si>
    <t>19 13 07*</t>
  </si>
  <si>
    <t>wässrige flüssige Abfälle und wässrige Konzentrate aus der Sanierung von Grundwasser, die gefährliche Stoffe enthalten</t>
  </si>
  <si>
    <t>19 13 08</t>
  </si>
  <si>
    <t>wässrige flüssige Abfälle und wässrige Konzentrate aus der Sanierung von Grundwasser mit Ausnahme derjenigen, die unter 19 13 07 fallen</t>
  </si>
  <si>
    <t>Siedlungsabfälle (Haushaltsabfälle und ähnliche gewerbliche und industrielle Abfälle sowie Abfälle aus Einrichtungen), einschließlich getrennt gesammelter Fraktionen</t>
  </si>
  <si>
    <t>20 01</t>
  </si>
  <si>
    <t>Getrennt gesammelte Fraktionen (außer 15 01)</t>
  </si>
  <si>
    <t>20 01 01</t>
  </si>
  <si>
    <t>20 01 02</t>
  </si>
  <si>
    <t>20 01 08</t>
  </si>
  <si>
    <t>biologisch abbaubare Küchen- und Kantinenabfälle</t>
  </si>
  <si>
    <t>20 01 10</t>
  </si>
  <si>
    <t>Bekleidung</t>
  </si>
  <si>
    <t>20 01 11</t>
  </si>
  <si>
    <t>20 01 13*</t>
  </si>
  <si>
    <t>Lösemittel</t>
  </si>
  <si>
    <t>20 01 14*</t>
  </si>
  <si>
    <t>Säuren</t>
  </si>
  <si>
    <t>20 01 15*</t>
  </si>
  <si>
    <t>Laugen</t>
  </si>
  <si>
    <t>20 01 17*</t>
  </si>
  <si>
    <t>Fotochemikalien</t>
  </si>
  <si>
    <t>20 01 19*</t>
  </si>
  <si>
    <t>Pestizide</t>
  </si>
  <si>
    <t>20 01 21*</t>
  </si>
  <si>
    <t>Leuchtstoffröhren und andere quecksilberhaltige Abfälle</t>
  </si>
  <si>
    <t>20 01 23*</t>
  </si>
  <si>
    <t>gebrauchte Geräte, die Fluorchlorkohlenwasserstoffe enthalten</t>
  </si>
  <si>
    <t>20 01 25</t>
  </si>
  <si>
    <t>Speiseöle und -fette</t>
  </si>
  <si>
    <t>20 01 26*</t>
  </si>
  <si>
    <t>Öle und Fette mit Ausnahme derjenigen, die unter 20 01 25 fallen</t>
  </si>
  <si>
    <t>20 01 27*</t>
  </si>
  <si>
    <t>Farben, Druckfarben, Klebstoffe und Kunstharze, die gefährliche Stoffe enthalten</t>
  </si>
  <si>
    <t>20 01 28</t>
  </si>
  <si>
    <t>Farben, Druckfarben, Klebstoffe und Kunstharze mit Ausnahme derjenigen, die unter 20 01 27 fallen</t>
  </si>
  <si>
    <t>20 01 29*</t>
  </si>
  <si>
    <t>Reinigungsmittel, die gefährliche Stoffe enthalten</t>
  </si>
  <si>
    <t>20 01 30</t>
  </si>
  <si>
    <t>Reinigungsmittel mit Ausnahme derjenigen, die unter 20 01 29 fallen</t>
  </si>
  <si>
    <t>20 01 31*</t>
  </si>
  <si>
    <t>20 01 32</t>
  </si>
  <si>
    <t>Arzneimittel mit Ausnahme derjenigen, die unter 20 01 31 fallen</t>
  </si>
  <si>
    <t>20 01 33*</t>
  </si>
  <si>
    <t>Batterien und Akkumulatoren, die unter 16 06 01, 16 06 02 oder 16 06 03 fallen, sowie gemischte Batterien und Akkumulatoren, die solche Batterien enthalten</t>
  </si>
  <si>
    <t>20 01 34</t>
  </si>
  <si>
    <t>Batterien und Akkumulatoren mit Ausnahme derjenigen, die unter 20 01 33 fallen</t>
  </si>
  <si>
    <t>20 01 35*</t>
  </si>
  <si>
    <t>gebrauchte elektrische und elektronische Geräte, die gefährliche Bauteile 66) enthalten, mit Ausnahme derjenigen, die unter 20 01 21 und 20 01 23 fallen</t>
  </si>
  <si>
    <t>20 01 36</t>
  </si>
  <si>
    <t>gebrauchte elektrische und elektronische Geräte mit Ausnahme derjenigen, die unter 20 01 21, 20 01 23 und 20 01 35 fallen</t>
  </si>
  <si>
    <t>20 01 37*</t>
  </si>
  <si>
    <t>20 01 38</t>
  </si>
  <si>
    <t>Holz mit Ausnahme desjenigen, das unter 20 01 37 fällt</t>
  </si>
  <si>
    <t>20 01 39</t>
  </si>
  <si>
    <t>20 01 40</t>
  </si>
  <si>
    <t>Metalle</t>
  </si>
  <si>
    <t>20 01 41</t>
  </si>
  <si>
    <t>Abfälle aus der Reinigung von Schornsteinen</t>
  </si>
  <si>
    <t>20 01 99</t>
  </si>
  <si>
    <t>sonstige Fraktionen a. n. g.</t>
  </si>
  <si>
    <t>20 02</t>
  </si>
  <si>
    <t>Garten- und Parkabfälle (einschließlich Friedhofsabfälle)</t>
  </si>
  <si>
    <t>20 02 01</t>
  </si>
  <si>
    <t>biologisch abbaubare Abfälle</t>
  </si>
  <si>
    <t>20 02 02</t>
  </si>
  <si>
    <t>Boden und Steine</t>
  </si>
  <si>
    <t>20 02 03</t>
  </si>
  <si>
    <t>andere nicht biologisch abbaubare Abfälle</t>
  </si>
  <si>
    <t>20 03</t>
  </si>
  <si>
    <t>Andere Siedlungsabfälle</t>
  </si>
  <si>
    <t>20 03 01</t>
  </si>
  <si>
    <t>gemischte Siedlungsabfälle</t>
  </si>
  <si>
    <t>20 03 02</t>
  </si>
  <si>
    <t>Marktabfälle</t>
  </si>
  <si>
    <t>20 03 03</t>
  </si>
  <si>
    <t>Straßenkehricht</t>
  </si>
  <si>
    <t>20 03 04</t>
  </si>
  <si>
    <t>Fäkalschlamm</t>
  </si>
  <si>
    <t>20 03 06</t>
  </si>
  <si>
    <t>Abfälle aus der Kanalreinigung</t>
  </si>
  <si>
    <t>20 03 07</t>
  </si>
  <si>
    <t>Sperrmüll</t>
  </si>
  <si>
    <t>20 03 99</t>
  </si>
  <si>
    <t>Siedlungsabfälle a. n. g.</t>
  </si>
  <si>
    <t>keine Angabe</t>
  </si>
  <si>
    <t>Summe Gefahrstoffe:</t>
  </si>
  <si>
    <t>Summe Gebrauchsstoffe:</t>
  </si>
  <si>
    <t>Anzahl gesamt:</t>
  </si>
  <si>
    <t>25</t>
  </si>
  <si>
    <t>2,3</t>
  </si>
  <si>
    <t>63</t>
  </si>
  <si>
    <t>65</t>
  </si>
  <si>
    <t>39</t>
  </si>
  <si>
    <t>017</t>
  </si>
  <si>
    <t>018</t>
  </si>
  <si>
    <t>Karton</t>
  </si>
  <si>
    <t>IBC</t>
  </si>
  <si>
    <t>bis kg</t>
  </si>
  <si>
    <t>bis Liter</t>
  </si>
  <si>
    <t>Gefahrstofflager im Betrieb</t>
  </si>
  <si>
    <t>Lagermengen insgesamt</t>
  </si>
  <si>
    <t>Akut toxische Gefahrstoffe</t>
  </si>
  <si>
    <t>Karzinogene und
Keimzell-mutagene
Gefahrstoffe</t>
  </si>
  <si>
    <t>Gefahrstoffe mit speziellen
toxischen Eigenschaften</t>
  </si>
  <si>
    <t>Extrem und leicht
entzündbare Flüssigkeiten</t>
  </si>
  <si>
    <t>Entzündbare Feststoffe</t>
  </si>
  <si>
    <t>Pyrophore Stoffe und
Gemische</t>
  </si>
  <si>
    <t>Selbsterhitzungs-fähige
Stoffe und Gemische</t>
  </si>
  <si>
    <t>Selbstzersetzliche
Stoffe und Gemische</t>
  </si>
  <si>
    <t>Oxidierende Flüssigkeiten
und Feststoffe (1)</t>
  </si>
  <si>
    <t>Oxidierende Flüssigkeiten
und Feststoffe (2)</t>
  </si>
  <si>
    <t>Gase in Druckgasbehältern [Liter]</t>
  </si>
  <si>
    <t>Aerosolpackungen, 
Druckgas-kartuschen</t>
  </si>
  <si>
    <t>Gefahrstoffe, die erfahrungsgemäß
brennbar sind</t>
  </si>
  <si>
    <t>*H300*</t>
  </si>
  <si>
    <t>*H301*</t>
  </si>
  <si>
    <t>*H310*</t>
  </si>
  <si>
    <t>*H311*</t>
  </si>
  <si>
    <t>*H330*</t>
  </si>
  <si>
    <t>*H331*</t>
  </si>
  <si>
    <t>*H340*</t>
  </si>
  <si>
    <t>*H350*</t>
  </si>
  <si>
    <t>*H370*</t>
  </si>
  <si>
    <t>*H372*</t>
  </si>
  <si>
    <t>*H224*</t>
  </si>
  <si>
    <t>*H225*</t>
  </si>
  <si>
    <t>*H226*</t>
  </si>
  <si>
    <t>*H228*</t>
  </si>
  <si>
    <t>*H250*</t>
  </si>
  <si>
    <t>*H251*</t>
  </si>
  <si>
    <t>*H252*</t>
  </si>
  <si>
    <t>*H242*</t>
  </si>
  <si>
    <t>*H271*</t>
  </si>
  <si>
    <t>*H272*</t>
  </si>
  <si>
    <t>*H220*</t>
  </si>
  <si>
    <t>*H221*</t>
  </si>
  <si>
    <t>*H270*</t>
  </si>
  <si>
    <t>*H280*</t>
  </si>
  <si>
    <t>*H281*</t>
  </si>
  <si>
    <t>*H222*</t>
  </si>
  <si>
    <t>*H223*</t>
  </si>
  <si>
    <t>*H260*</t>
  </si>
  <si>
    <t>*H261*</t>
  </si>
  <si>
    <t>Einheit_TRGS510</t>
  </si>
  <si>
    <t>Verbrauch</t>
  </si>
  <si>
    <t>bis 1 kg</t>
  </si>
  <si>
    <t>bis 10 kg</t>
  </si>
  <si>
    <t>bis 20 kg</t>
  </si>
  <si>
    <t>bis 50 kg</t>
  </si>
  <si>
    <t>bis 200 kg</t>
  </si>
  <si>
    <t>über 200 kg</t>
  </si>
  <si>
    <t>über 1.000 kg</t>
  </si>
  <si>
    <t>max. Lagermenge (Gebinde)</t>
  </si>
  <si>
    <t>Mengeneinheit Gebinde</t>
  </si>
  <si>
    <t>Standort</t>
  </si>
  <si>
    <r>
      <t>Substitutionsprüfung</t>
    </r>
    <r>
      <rPr>
        <sz val="16"/>
        <color theme="1"/>
        <rFont val="Arial"/>
        <family val="2"/>
      </rPr>
      <t xml:space="preserve"> gemäß TRGS 600 und GefStoffV</t>
    </r>
  </si>
  <si>
    <t>Bisheriger Stoff:</t>
  </si>
  <si>
    <t>zurück</t>
  </si>
  <si>
    <t>Ersatzlösung 1:</t>
  </si>
  <si>
    <t>Bisheriger Stoff</t>
  </si>
  <si>
    <t>Ersatzlösung 1</t>
  </si>
  <si>
    <t>?</t>
  </si>
  <si>
    <t xml:space="preserve">Gefährlichkeitsmerkmale </t>
  </si>
  <si>
    <t>Gefahreneinstufung (Piktogramm):</t>
  </si>
  <si>
    <t>H 200er - Physikalische Gefahren:</t>
  </si>
  <si>
    <t>H 300er - Gesundheitsgefahren:</t>
  </si>
  <si>
    <t>H 400er - Umweltgefahren:</t>
  </si>
  <si>
    <t>Flammpunkt:</t>
  </si>
  <si>
    <t>Arbeitsplatzgrenzwerte (AGW):</t>
  </si>
  <si>
    <t>CMR-Bestandteile:</t>
  </si>
  <si>
    <t>Wassergefährdungsklasse (WGK):</t>
  </si>
  <si>
    <t xml:space="preserve">Freisetzungspotenzial  </t>
  </si>
  <si>
    <t xml:space="preserve">Gefährlichkeitsgruppe "Einatmen": </t>
  </si>
  <si>
    <t xml:space="preserve">EMKG "Einatmen" - Einstufung: </t>
  </si>
  <si>
    <t>EMKG "Einatmen" - Freisetzungsgruppe:</t>
  </si>
  <si>
    <t>Schutzleitfaden "Einatmen":</t>
  </si>
  <si>
    <t>Gefährlichkeitsgruppe "Haut":</t>
  </si>
  <si>
    <t xml:space="preserve">EMKG "Haut" - Einstufung Wirkfläche: </t>
  </si>
  <si>
    <t xml:space="preserve">EMKG "Haut" - Einstufung Wirkdauer: </t>
  </si>
  <si>
    <t>Schutzleitfaden "Haut":</t>
  </si>
  <si>
    <t xml:space="preserve">Interne Verfahrens- und Verwendungsbedingungen  </t>
  </si>
  <si>
    <t>Technische Anforderungen erfüllt:</t>
  </si>
  <si>
    <t>Konsequenzen Produktionsverfahren:</t>
  </si>
  <si>
    <t>Konsequenzen Produktqualität:</t>
  </si>
  <si>
    <t>Preis / Wirtschaftlichkeit:</t>
  </si>
  <si>
    <t>genehmigt</t>
  </si>
  <si>
    <t>Ergebnis der Substitutionsprüfung:</t>
  </si>
  <si>
    <t>Ausgewählter Stoff:</t>
  </si>
  <si>
    <t>Bemerkungen / Hinweise:</t>
  </si>
  <si>
    <t>Substitutionsprüfung durchgeführt von:</t>
  </si>
  <si>
    <t>Datum, Unterschrift</t>
  </si>
  <si>
    <t>Name, Funktion</t>
  </si>
  <si>
    <t>sub_Anforderungen</t>
  </si>
  <si>
    <t>sub_Konsequenzen</t>
  </si>
  <si>
    <t>sub_Preis</t>
  </si>
  <si>
    <t>sub_Ergebnis</t>
  </si>
  <si>
    <t>sub_auswahl</t>
  </si>
  <si>
    <t>Das eingesetzte Produkt ist bereits eine Ersatzlösung.</t>
  </si>
  <si>
    <t>UN-Nummer</t>
  </si>
  <si>
    <t>Gefahrenzahl</t>
  </si>
  <si>
    <t>Klasse</t>
  </si>
  <si>
    <t>Bezeichnung</t>
  </si>
  <si>
    <t>0004</t>
  </si>
  <si>
    <t>–</t>
  </si>
  <si>
    <t>Ammoniumpikrat, trocken oder angefeuchtet mit weniger als 10 Masse-% Wasser</t>
  </si>
  <si>
    <t>0005–0007</t>
  </si>
  <si>
    <t>Patronen für Waffen, mit Sprengladung</t>
  </si>
  <si>
    <t>0009–0010</t>
  </si>
  <si>
    <t>Munition, Brand, mit oder ohne Zerleger, Ausstoß- oder Treibladung</t>
  </si>
  <si>
    <t>0012</t>
  </si>
  <si>
    <t>Patronen für Waffen mit inertem Geschoss oder Patronen für Handfeuerwaffen</t>
  </si>
  <si>
    <t>0014</t>
  </si>
  <si>
    <t>Patronen für Waffen, Manöver oder Patronen für Handfeuerwaffen, Manöver oder Patronen für Werkzeuge, ohne Geschoss</t>
  </si>
  <si>
    <t>0015 + 0016</t>
  </si>
  <si>
    <t>Munition, Nebel, mit oder ohne Zerleger, Ausstoß- oder Treibladung</t>
  </si>
  <si>
    <t>0018 + 0019</t>
  </si>
  <si>
    <t>Munition, Augenreizstoff, mit Zerleger, Ausstoß- oder Treibladung</t>
  </si>
  <si>
    <t>0020 + 0021</t>
  </si>
  <si>
    <t>Munition, giftig, mit Zerleger, Ausstoß- oder Treibladung</t>
  </si>
  <si>
    <t>0027</t>
  </si>
  <si>
    <t>Schwarzpulver, gekörnt oder in Mehlform</t>
  </si>
  <si>
    <t>0028</t>
  </si>
  <si>
    <t>Schwarzpulver, gepresst oder als Pellets</t>
  </si>
  <si>
    <t>0029 + 0030</t>
  </si>
  <si>
    <t>Sprengkapseln, nicht elektrisch oder elektrisch</t>
  </si>
  <si>
    <t>0033–0035</t>
  </si>
  <si>
    <t>Bomben, mit Sprengladung</t>
  </si>
  <si>
    <t>0037–0039</t>
  </si>
  <si>
    <t>Bomben, Blitzlicht</t>
  </si>
  <si>
    <t>0042</t>
  </si>
  <si>
    <t>Zündverstärker, ohne Detonator</t>
  </si>
  <si>
    <t>0043</t>
  </si>
  <si>
    <t>Zerleger, mit Explosivstoff</t>
  </si>
  <si>
    <t>0044</t>
  </si>
  <si>
    <t>Anzündhütchen</t>
  </si>
  <si>
    <t>0048</t>
  </si>
  <si>
    <t>Sprengkörper</t>
  </si>
  <si>
    <t>0049 + 0050</t>
  </si>
  <si>
    <t>Patronen, Blitzlicht</t>
  </si>
  <si>
    <t>0054</t>
  </si>
  <si>
    <t>Patronen, Signal</t>
  </si>
  <si>
    <t>0055</t>
  </si>
  <si>
    <t>Treibladungshülsen, leer, mit Treibladungsanzünder336</t>
  </si>
  <si>
    <t>0056</t>
  </si>
  <si>
    <t>Wasserbomben</t>
  </si>
  <si>
    <t>0059</t>
  </si>
  <si>
    <t>Hohlladungen, ohne Zündmittel</t>
  </si>
  <si>
    <t>0060</t>
  </si>
  <si>
    <t>Füllsprengkörper</t>
  </si>
  <si>
    <t>0065</t>
  </si>
  <si>
    <t>Sprengschnur, biegsam</t>
  </si>
  <si>
    <t>0066</t>
  </si>
  <si>
    <t>Anzündlitze</t>
  </si>
  <si>
    <t>0070</t>
  </si>
  <si>
    <t>Schneidvorrichtungen, Kabel, mit Explosivstoff</t>
  </si>
  <si>
    <t>0072</t>
  </si>
  <si>
    <t>Cyclotrimethylentrinitramin, Cyclonit, Hexogen, RDX, angefeuchtet mit mindestens 15 Masse-% Wasser</t>
  </si>
  <si>
    <t>0073</t>
  </si>
  <si>
    <t>Detonatoren für Munition</t>
  </si>
  <si>
    <t>0074</t>
  </si>
  <si>
    <t>Diazodinitrophenol, angefeuchtet mit mindestens 40 Masse-% Wasser oder einer Alkohol-/Wasser-Mischung</t>
  </si>
  <si>
    <t>0075</t>
  </si>
  <si>
    <t>Diethylenglycoldinitrat, desensibilisiert, mit mindestens 25 Masse-% nicht flüchtigem, wasserunlöslichem Phlegmatisierungsmittel</t>
  </si>
  <si>
    <t>0076</t>
  </si>
  <si>
    <t>Dinitrophenol, trocken oder angefeuchtet mit weniger als 15 Masse-% Wasser</t>
  </si>
  <si>
    <t>0077</t>
  </si>
  <si>
    <t>Dinitrophenolate der Alkalimetalle, trocken oder angefeuchtet mit weniger als 15 Masse-% Wasser</t>
  </si>
  <si>
    <t>0078</t>
  </si>
  <si>
    <t>Dinitroresorcinol, trocken oder angefeuchtet mit weniger als 15 Masse-% Wasser</t>
  </si>
  <si>
    <t>0079</t>
  </si>
  <si>
    <t>Hexanitrodiphenylamin (Dipikrylamin), (Hexyl)</t>
  </si>
  <si>
    <t>0081</t>
  </si>
  <si>
    <t>Sprengstoff, Typ A</t>
  </si>
  <si>
    <t>0082</t>
  </si>
  <si>
    <t>Sprengstoff, Typ B</t>
  </si>
  <si>
    <t>0083</t>
  </si>
  <si>
    <t>Sprengstoff, Typ C</t>
  </si>
  <si>
    <t>0084</t>
  </si>
  <si>
    <t>Sprengstoff, Typ D</t>
  </si>
  <si>
    <t>0092</t>
  </si>
  <si>
    <t>Leuchtkörper, Boden</t>
  </si>
  <si>
    <t>0093</t>
  </si>
  <si>
    <t>Leuchtkörper, Luftfahrzeug</t>
  </si>
  <si>
    <t>0094</t>
  </si>
  <si>
    <t>Blitzlichtpulver</t>
  </si>
  <si>
    <t>0099</t>
  </si>
  <si>
    <t>Lockerungssprenggeräte mit Explosivstoff, für Erdölbohrungen, ohne Zündmittel</t>
  </si>
  <si>
    <t>0101</t>
  </si>
  <si>
    <t>Stoppinen, nicht sprengkräftig</t>
  </si>
  <si>
    <t>0102</t>
  </si>
  <si>
    <t>Sprengschnur, mit Metallmantel</t>
  </si>
  <si>
    <t>0103</t>
  </si>
  <si>
    <t>Anzündschnur, rohrförmig, mit Metallmantel</t>
  </si>
  <si>
    <t>0104</t>
  </si>
  <si>
    <t>Sprengschnur mit geringer Wirkung, mit Metallmantel</t>
  </si>
  <si>
    <t>0105</t>
  </si>
  <si>
    <t>Anzündschnur (Sicherheitszündschnur)</t>
  </si>
  <si>
    <t>0106 + 0107</t>
  </si>
  <si>
    <t>Zünder, sprengkräftig</t>
  </si>
  <si>
    <t>0110</t>
  </si>
  <si>
    <t>Granaten, Übung, Hand oder Gewehr</t>
  </si>
  <si>
    <t>0113</t>
  </si>
  <si>
    <t>Guanylnitrosaminoguanylidenhydrazin, angefeuchtet mit mindestens 30 Masse-% Wasser</t>
  </si>
  <si>
    <t>0114</t>
  </si>
  <si>
    <t>Guanylnitrosaminoguanyltetrazen (Tetracen), angefeuchtet mit mindestens 30 Masse-% Wasser oder einer Alkohol/Wasser-Mischung</t>
  </si>
  <si>
    <t>0118</t>
  </si>
  <si>
    <t>Hexolit (Hexotol) trocken oder angefeuchtet mit weniger als 15 Masse-% Wasser</t>
  </si>
  <si>
    <t>0121</t>
  </si>
  <si>
    <t>Anzünder</t>
  </si>
  <si>
    <t>0124</t>
  </si>
  <si>
    <t>Perforationshohlladungsträger, geladen, für Erdölbohrlöcher, ohne Zündmittel</t>
  </si>
  <si>
    <t>0129</t>
  </si>
  <si>
    <t>Bleiazid, angefeuchtet, mit mindestens 20 Masse-% Wasser oder einer Alkohol/Wasser-Mischung</t>
  </si>
  <si>
    <t>0130</t>
  </si>
  <si>
    <t>Bleistyphnat (Bleitrinitroresorcinat) angefeuchtet mit mindestens 20 Masse-% Wasser oder einer Alkohol/Wasser-Mischung</t>
  </si>
  <si>
    <t>0131</t>
  </si>
  <si>
    <t>Anzünder, Anzündschnur</t>
  </si>
  <si>
    <t>0132</t>
  </si>
  <si>
    <t>Deflagrierende Metallsalze aromatischer Nitroverbindungen</t>
  </si>
  <si>
    <t>0133</t>
  </si>
  <si>
    <t>Mannitolhexanitrat (Nitromannitol), angefeuchtet mit mindestens 40 Masse-% Wasser oder einer Alkohol/Wasser-Mischung</t>
  </si>
  <si>
    <t>0135</t>
  </si>
  <si>
    <t>Quecksilberfulminat, angefeuchtet mit mindestens 20 Masse-% Wasser oder einer Alkohol/Wasser-Mischung</t>
  </si>
  <si>
    <t>0136–0138</t>
  </si>
  <si>
    <t>Minen, mit Sprengladung</t>
  </si>
  <si>
    <t>0143</t>
  </si>
  <si>
    <t>Nitroglycerol (Nitroglycerin), desensibilisiert mit mindestens 40 Masse-% nicht flüchtigem, wasserunlöslichem 336Phlegmatisierungsmittel</t>
  </si>
  <si>
    <t>0144</t>
  </si>
  <si>
    <t>Nitroglycerol (Nitroglycerin) in alkoholischer Lösung, mit mehr als 1 %, aber nicht mehr als 10 % Nitroglycerol</t>
  </si>
  <si>
    <t>0146</t>
  </si>
  <si>
    <t>Nitrostärke, trocken oder angefeuchtet mit weniger als 20 Masse-% Wasser</t>
  </si>
  <si>
    <t>0147</t>
  </si>
  <si>
    <t>Nitroharnstoff</t>
  </si>
  <si>
    <t>0150</t>
  </si>
  <si>
    <t>Nitropenta (PETN), angefeuchtet mit mindestens 25 Masse-% Wasser oder desensibilisiert mit mindestens 15 Masse-% Phlegmatisierungsmittel336</t>
  </si>
  <si>
    <t>0151</t>
  </si>
  <si>
    <t>Pentolit, trocken oder angefeuchtet mit weniger als 15 Masse-% Wasser</t>
  </si>
  <si>
    <t>0153</t>
  </si>
  <si>
    <t>Trinitroanilin (Pikramid)</t>
  </si>
  <si>
    <t>0154</t>
  </si>
  <si>
    <t>Trinitrophenol (Pikrinsäure), angefeuchtet mit weniger als 30 Masse-% Wasser</t>
  </si>
  <si>
    <t>4,1</t>
  </si>
  <si>
    <t>Pikrinsäure, angefeuchtet mit mindestens 10 Masse-% Wasser</t>
  </si>
  <si>
    <t>0155</t>
  </si>
  <si>
    <t>Trinitrochlorbenzen (Pikrylchlorid)</t>
  </si>
  <si>
    <t>Trinitrochlorbenzen (Pikrylchlorid), angefeuchtet mit mindestens 10 Masse-% Wasser</t>
  </si>
  <si>
    <t>0159</t>
  </si>
  <si>
    <t>Pulverrohmasse, angefeuchtet, mit mindestens 25 Masse-% Wasser</t>
  </si>
  <si>
    <t>0160 + 0161</t>
  </si>
  <si>
    <t>Treibladungspulver</t>
  </si>
  <si>
    <t>0167–0169</t>
  </si>
  <si>
    <t>Geschosse, mit Sprengladung</t>
  </si>
  <si>
    <t>0171</t>
  </si>
  <si>
    <t>Munition, Leucht, mit oder ohne Zerleger, Ausstoß- oder Treibladung</t>
  </si>
  <si>
    <t>0173</t>
  </si>
  <si>
    <t>Auslösevorrichtungen mit Explosivstoff</t>
  </si>
  <si>
    <t>0174</t>
  </si>
  <si>
    <t>Sprengnieten</t>
  </si>
  <si>
    <t>0180–0182</t>
  </si>
  <si>
    <t>Raketen, mit Sprengladung</t>
  </si>
  <si>
    <t>0183</t>
  </si>
  <si>
    <t>Raketen, mit inertem Kopf</t>
  </si>
  <si>
    <t>0186</t>
  </si>
  <si>
    <t>Raketenmotoren</t>
  </si>
  <si>
    <t>0190</t>
  </si>
  <si>
    <t>Explosivstoff, Muster, außer Initialsprengstoff</t>
  </si>
  <si>
    <t>0191</t>
  </si>
  <si>
    <t>Signalkörper, Hand</t>
  </si>
  <si>
    <t>0192 + 0193</t>
  </si>
  <si>
    <t>Knallkapseln, Eisenbahn</t>
  </si>
  <si>
    <t>0194 + 0195</t>
  </si>
  <si>
    <t>Signalkörper, Seenot</t>
  </si>
  <si>
    <t>0196 + 0197</t>
  </si>
  <si>
    <t>Signalkörper, Rauch</t>
  </si>
  <si>
    <t>0204</t>
  </si>
  <si>
    <t>Falllote mit Explosivstoff</t>
  </si>
  <si>
    <t>0207</t>
  </si>
  <si>
    <t>Tetranitroanilin</t>
  </si>
  <si>
    <t>0208</t>
  </si>
  <si>
    <t>Trinitrophenylmethylnitramin (Tetryl)</t>
  </si>
  <si>
    <t>0209</t>
  </si>
  <si>
    <t>Trinitrotoluol (TNT), trocken oder angefeuchtet mit weniger als 30 Masse-% Wasser</t>
  </si>
  <si>
    <t>Trinitrotoluol (TNT), angefeuchtet mit mindestens 10 Masse-% Wasser</t>
  </si>
  <si>
    <t>0212</t>
  </si>
  <si>
    <t>Leuchtspurkörper für Munition</t>
  </si>
  <si>
    <t>0213</t>
  </si>
  <si>
    <t>Trinitroanisol</t>
  </si>
  <si>
    <t>0214</t>
  </si>
  <si>
    <t>Trinitrobenzen, trocken oder angefeuchtet mit weniger als 30 Masse-% Wasser</t>
  </si>
  <si>
    <t>Trinitrobenzen, angefeuchtet mit mindestens 10 Masse-% Wasser</t>
  </si>
  <si>
    <t>0215</t>
  </si>
  <si>
    <t>Trinitrobenzoesäure, trocken oder angefeuchtet mit weniger als 30 Masse-% Wasser</t>
  </si>
  <si>
    <t>Trinitrobenzoesäure, angefeuchtet mit mindestens 10 Masse-% Wasser</t>
  </si>
  <si>
    <t>0216</t>
  </si>
  <si>
    <t>Trinitrometakresol</t>
  </si>
  <si>
    <t>0217</t>
  </si>
  <si>
    <t>Trinitronaphthalin</t>
  </si>
  <si>
    <t>0218</t>
  </si>
  <si>
    <t>Trinitrophenethol</t>
  </si>
  <si>
    <t>0219</t>
  </si>
  <si>
    <t>Trinitroresorcinol (Styphninsäure), trocken oder angefeuchtet mit mindestens 20 Masse-% Wasser oder einer Alkohol-/Wasser-Mischung</t>
  </si>
  <si>
    <t>0220</t>
  </si>
  <si>
    <t>Harnstoffnitrat, trocken oder angefeuchtet mit weniger als 20 Masse-% Wasser</t>
  </si>
  <si>
    <t>Harnstoffnitrat, angefeuchtet mit mindestens 10 Masse-% Wasser</t>
  </si>
  <si>
    <t>0221</t>
  </si>
  <si>
    <t>Gefechtsköpfe, Torpedo, mit Sprengladung</t>
  </si>
  <si>
    <t>0222</t>
  </si>
  <si>
    <t>Ammoniumnitrat, mit mehr als 0,2 % brennbaren Stoffen, einschließlich jedes als Kohlenstoff berechneten organischen Stoffes, unter Ausschluss jedes anderen zugesetzten Stoffes</t>
  </si>
  <si>
    <t>0223</t>
  </si>
  <si>
    <t>Ammoniumnitrat-Düngemittel mit einer größeren Sensibilität als Ammoniumnitrat mit 0,2 % brennbaren Stoffen, einschließlich jedes als Kohlenstoff berechneten organischen Stoffes, unter Ausschluss jedes anderen zugesetzten Stoffes</t>
  </si>
  <si>
    <t>0224</t>
  </si>
  <si>
    <t>Bariumazid, trocken oder angefeuchtet mit weniger als 50 Masse-% Wasse</t>
  </si>
  <si>
    <t>0225</t>
  </si>
  <si>
    <t>Zündverstärker, mit Detonator</t>
  </si>
  <si>
    <t>0226</t>
  </si>
  <si>
    <t>Oktogen (HMX), angefeuchtet mit mindestens 15 Masse-% Wasser</t>
  </si>
  <si>
    <t>0234</t>
  </si>
  <si>
    <t>Natriumdinitroorthokresolat, trocken oder angefeuchtet mit weniger als 15 Masse-% Wasser</t>
  </si>
  <si>
    <t>Natriumdinitroorthokresolat, angefeuchtet mit mindestens 10 Masse-% Wasser</t>
  </si>
  <si>
    <t>0235</t>
  </si>
  <si>
    <t>Natriumpikramat, trocken oder angefeuchtet mit weniger als 20 Masse-% Wasser</t>
  </si>
  <si>
    <t>0236</t>
  </si>
  <si>
    <t>Zirconiumpikramat, trocken oder angefeuchtet mit weniger als 20 Masse-% Wasser</t>
  </si>
  <si>
    <t>0237</t>
  </si>
  <si>
    <t>Schneidladung, biegsam, gestreckt</t>
  </si>
  <si>
    <t>0238 + 0240</t>
  </si>
  <si>
    <t>Raketen, Leinenwurf</t>
  </si>
  <si>
    <t>0241</t>
  </si>
  <si>
    <t>Sprengstoff, Typ E</t>
  </si>
  <si>
    <t>0242</t>
  </si>
  <si>
    <t>Treibladungen für Geschütze</t>
  </si>
  <si>
    <t>0243 + 0244</t>
  </si>
  <si>
    <t>Munition, Brand, weißer Phosphor, mit Zerleger, Ausstoß- oder Treibladung</t>
  </si>
  <si>
    <t>0245 + 0246</t>
  </si>
  <si>
    <t>Munition, Nebel, weißer Phosphor, mit Zerleger, Ausstoß- oder Treibladung</t>
  </si>
  <si>
    <t>0247</t>
  </si>
  <si>
    <t>Munition, Brand, mit flüssigem oder geliertem Brandstoff, mit Zerleger, Ausstoß- oder Treibladung</t>
  </si>
  <si>
    <t>0248 + 0249</t>
  </si>
  <si>
    <t>Vorrichtungen, durch Wasser aktivierbar, mit Zerleger, Ausstoß- oder Treibladung</t>
  </si>
  <si>
    <t>0250</t>
  </si>
  <si>
    <t>Raketentriebwerke mit Hypergolen, mit oder ohne Ausstoßladung</t>
  </si>
  <si>
    <t>0254</t>
  </si>
  <si>
    <t>0255</t>
  </si>
  <si>
    <t>Sprengkapseln, elektrisch</t>
  </si>
  <si>
    <t>0257</t>
  </si>
  <si>
    <t>0266</t>
  </si>
  <si>
    <t>Oktolit (Octol), trocken oder angefeuchtet mit weniger als 15 Masse-% Wasser</t>
  </si>
  <si>
    <t>0267</t>
  </si>
  <si>
    <t>Sprengkapseln, nicht elektrisch</t>
  </si>
  <si>
    <t>0268</t>
  </si>
  <si>
    <t>0271 + 0272</t>
  </si>
  <si>
    <t>0275 + 0276</t>
  </si>
  <si>
    <t>Kartusche für technische Zwecke</t>
  </si>
  <si>
    <t>0277 + 0278</t>
  </si>
  <si>
    <t>Kartuschen, Erdölbohrloch</t>
  </si>
  <si>
    <t>0279</t>
  </si>
  <si>
    <t>0280 + 0281</t>
  </si>
  <si>
    <t>0282</t>
  </si>
  <si>
    <t>Nitroguanidin (Picrit), trocken oder angefeuchtet mit weniger als 20 Masse-% Wasser</t>
  </si>
  <si>
    <t>0283</t>
  </si>
  <si>
    <t>0284 + 0285</t>
  </si>
  <si>
    <t>Granaten, Hand oder Gewehr, mit Sprengladung</t>
  </si>
  <si>
    <t>0286 + 0287</t>
  </si>
  <si>
    <t>Gefechtsköpfe, Rakete, mit Sprengladung</t>
  </si>
  <si>
    <t>0288</t>
  </si>
  <si>
    <t>0289</t>
  </si>
  <si>
    <t>0290</t>
  </si>
  <si>
    <t>0291</t>
  </si>
  <si>
    <t>0292 + 0293</t>
  </si>
  <si>
    <t>0294</t>
  </si>
  <si>
    <t>0295</t>
  </si>
  <si>
    <t>0296</t>
  </si>
  <si>
    <t>Falllote, mit Explosivstoff</t>
  </si>
  <si>
    <t>0297</t>
  </si>
  <si>
    <t>0299</t>
  </si>
  <si>
    <t>0300</t>
  </si>
  <si>
    <t>Munition, Brand, mit oder ohne Zerleger, Ausstoß- oder Treibladung</t>
  </si>
  <si>
    <t>0301</t>
  </si>
  <si>
    <t>0303</t>
  </si>
  <si>
    <t>Munition, Nebel, mit oder ohne Zerleger, Ausstoß- oder Treibladung oder Munition, Nebel, mit oder ohne Zerleger, Ausstoß- oder Treibladung, mit ätzenden Stoffen</t>
  </si>
  <si>
    <t>0305</t>
  </si>
  <si>
    <t>0306</t>
  </si>
  <si>
    <t>0312</t>
  </si>
  <si>
    <t>0313</t>
  </si>
  <si>
    <t>Signalkörper, Rauch</t>
  </si>
  <si>
    <t>0314 + 0315</t>
  </si>
  <si>
    <t>0316 + 0317</t>
  </si>
  <si>
    <t>Zünder, nicht sprengkräftig</t>
  </si>
  <si>
    <t>0318</t>
  </si>
  <si>
    <t>0319 + 0320</t>
  </si>
  <si>
    <t>Treibladungsanzünder</t>
  </si>
  <si>
    <t>0321</t>
  </si>
  <si>
    <t>Patronen für Waffen, mit Sprengladung</t>
  </si>
  <si>
    <t>0322</t>
  </si>
  <si>
    <t>Raketentriebwerke, mit Hypergolen, mit oder ohne Ausstoßladung</t>
  </si>
  <si>
    <t>0323</t>
  </si>
  <si>
    <t>Kartuschen für technische Zwecke</t>
  </si>
  <si>
    <t>0324</t>
  </si>
  <si>
    <t>0325</t>
  </si>
  <si>
    <t>0326 + 0327</t>
  </si>
  <si>
    <t>0328</t>
  </si>
  <si>
    <t>Patronen für Waffen, mit inertem Geschoss oder Patronen für Handfeuerwaffen</t>
  </si>
  <si>
    <t>0329 + 0330</t>
  </si>
  <si>
    <t>Torpedos, mit Sprengladung</t>
  </si>
  <si>
    <t>0331</t>
  </si>
  <si>
    <t>1.5D</t>
  </si>
  <si>
    <t>Sprengstoff Typ B</t>
  </si>
  <si>
    <t>0332</t>
  </si>
  <si>
    <t>Sprengstoff Typ E</t>
  </si>
  <si>
    <t>0333–0337</t>
  </si>
  <si>
    <t>Feuerwerkskörper</t>
  </si>
  <si>
    <t>0338</t>
  </si>
  <si>
    <t>0339</t>
  </si>
  <si>
    <t>0340</t>
  </si>
  <si>
    <t>Nitrocellulose, trocken oder angefeuchtet mit weniger als 25 Masse-% Wasser (oder Alkohol)</t>
  </si>
  <si>
    <t>0341</t>
  </si>
  <si>
    <t>Nitrocellulose, nicht behandelt oder plastifiziert mit weniger als 18 Masse-% Plastifizierungsmittel</t>
  </si>
  <si>
    <t>0342</t>
  </si>
  <si>
    <t>Nitrocellulose, angefeuchtet mit mindestens 25 Masse-% Alkohol</t>
  </si>
  <si>
    <t>0343</t>
  </si>
  <si>
    <t>Nitrocellulose, plastifiziert, mit mindestens 18 Masse-% Plastifizierungsmittel</t>
  </si>
  <si>
    <t>0344</t>
  </si>
  <si>
    <t>0345</t>
  </si>
  <si>
    <t>Geschosse, inert, mit Leuchtspurmitteln</t>
  </si>
  <si>
    <t>0346 + 0347</t>
  </si>
  <si>
    <t>Geschosse, mit Zerleger oder Ausstoßladung</t>
  </si>
  <si>
    <t>0348</t>
  </si>
  <si>
    <t>0349–0356</t>
  </si>
  <si>
    <t>Gegenstände mit Explosivstoff, N.A.G.</t>
  </si>
  <si>
    <t>0357–0359</t>
  </si>
  <si>
    <t>Explosive Stoffe, N.A.G.</t>
  </si>
  <si>
    <t>0360–0361</t>
  </si>
  <si>
    <t>Zündeinrichtungen für Sprengungen, nicht elektrisch</t>
  </si>
  <si>
    <t>0362</t>
  </si>
  <si>
    <t>Munition, Übung</t>
  </si>
  <si>
    <t>0363</t>
  </si>
  <si>
    <t>Munition, Prüfung</t>
  </si>
  <si>
    <t>0364–0366</t>
  </si>
  <si>
    <t>Detonatoren für Munition</t>
  </si>
  <si>
    <t>0367</t>
  </si>
  <si>
    <t>Zünder, sprengfähig</t>
  </si>
  <si>
    <t>0368</t>
  </si>
  <si>
    <t>Zünder, nicht sprengfähig</t>
  </si>
  <si>
    <t>0369</t>
  </si>
  <si>
    <t>0370 + 0371</t>
  </si>
  <si>
    <t>Gefechtsköpfe, Rakete, mit Zerleger oder Ausstoßladung</t>
  </si>
  <si>
    <t>0372</t>
  </si>
  <si>
    <t>0373</t>
  </si>
  <si>
    <t>0374 + 0375</t>
  </si>
  <si>
    <t>0376</t>
  </si>
  <si>
    <t>0377 + 0378</t>
  </si>
  <si>
    <t>0379</t>
  </si>
  <si>
    <t>Treibladungshülsen, leer, mit Treibladungsanzünder</t>
  </si>
  <si>
    <t>0380</t>
  </si>
  <si>
    <t>Gegenstände, pyrophor</t>
  </si>
  <si>
    <t>0381</t>
  </si>
  <si>
    <t>Kartuschen für technische Zwecke</t>
  </si>
  <si>
    <t>0382 - 0384</t>
  </si>
  <si>
    <t>Bestandteile, Zündkette, N.A.G.</t>
  </si>
  <si>
    <t>0385</t>
  </si>
  <si>
    <t>5-Nitrobenzotriazol</t>
  </si>
  <si>
    <t>0386</t>
  </si>
  <si>
    <t>Trinitrobenzensulfonsäure</t>
  </si>
  <si>
    <t>0387</t>
  </si>
  <si>
    <t>Trinitrofluorenon</t>
  </si>
  <si>
    <t>0388</t>
  </si>
  <si>
    <t>Trinitrotoluol (TNT) in Mischung mit Trinitrobenzen oder Trinitrotoluol (TNT) in Mischung mit Hexanitrostilben</t>
  </si>
  <si>
    <t>0389</t>
  </si>
  <si>
    <t>Trinitrotoluol (TNT) in Mischung mit Trinitrobenzen und Hexanitrostilben</t>
  </si>
  <si>
    <t>0390</t>
  </si>
  <si>
    <t>Tritonal</t>
  </si>
  <si>
    <t>0391</t>
  </si>
  <si>
    <t>Hexogen (RDX), in Mischung mit Oktogen (HMX), angefeuchtet mit mindestens 15 Masse-% Wasser oder desensibilisiert mit mindestens 10 Masse-% Phlegmatisierungsmittel</t>
  </si>
  <si>
    <t>0392</t>
  </si>
  <si>
    <t>Trinitrotoluen (TNT) in Mischung mit Trinitrobenzen oder Trinitrotoluen (TNT) in Mischung mit Hexanitrostilben</t>
  </si>
  <si>
    <t>0393</t>
  </si>
  <si>
    <t>Hexotonal</t>
  </si>
  <si>
    <t>0394</t>
  </si>
  <si>
    <t>Trinitroresorcinol (Styphninsäure), angefeuchtet mit mindestens 20 Masse-% Wasser oder einer Alkohol/Wasser-Mischung</t>
  </si>
  <si>
    <t>0395 + 0396</t>
  </si>
  <si>
    <t>Raketenmotoren, Flüssigtreibstoff</t>
  </si>
  <si>
    <t>0397 + 0398</t>
  </si>
  <si>
    <t>Raketenmotoren, Flüssigtreibstoff, mit Sprengladung</t>
  </si>
  <si>
    <t>0399</t>
  </si>
  <si>
    <t>Bomben, die entzündbare Flüssigkeiten enthalten, mit Sprengladung</t>
  </si>
  <si>
    <t>0400</t>
  </si>
  <si>
    <t>0401</t>
  </si>
  <si>
    <t>Diprikylsulfid, trocken oder angefeuchtet mit weniger als 10 Masse-% Wasser</t>
  </si>
  <si>
    <t>0402</t>
  </si>
  <si>
    <t>Ammoniumperchlorat</t>
  </si>
  <si>
    <t>0403 + 0404</t>
  </si>
  <si>
    <t>0405</t>
  </si>
  <si>
    <t>0406</t>
  </si>
  <si>
    <t>Dinitrosobenzen</t>
  </si>
  <si>
    <t>0407</t>
  </si>
  <si>
    <t>Tetrazol-1-essigsäure</t>
  </si>
  <si>
    <t>0408–0410</t>
  </si>
  <si>
    <t>Zünder, sprengkräftig, mit Sicherungsvorrichtungen</t>
  </si>
  <si>
    <t>0411</t>
  </si>
  <si>
    <t>Nitropenta (PETN), mit nicht weniger als 7 Masse-% Wachs</t>
  </si>
  <si>
    <t>0412</t>
  </si>
  <si>
    <t>0413</t>
  </si>
  <si>
    <t>0414 + 0415</t>
  </si>
  <si>
    <t>0417</t>
  </si>
  <si>
    <t>0418 + 0419</t>
  </si>
  <si>
    <t>0420 + 0421</t>
  </si>
  <si>
    <t>0424 + 0425</t>
  </si>
  <si>
    <t>0426 + 0427</t>
  </si>
  <si>
    <t>0428–0432</t>
  </si>
  <si>
    <t>Pyrotechnische Gegenstände für technische Zwecke</t>
  </si>
  <si>
    <t>0433</t>
  </si>
  <si>
    <t>Pulverrohmasse, angefeuchtet mit nicht weniger als 17 Masse-% Alkohol</t>
  </si>
  <si>
    <t>0434 + 0435</t>
  </si>
  <si>
    <t>0436–0438</t>
  </si>
  <si>
    <t>Raketen, mit Ausstoßladung</t>
  </si>
  <si>
    <t>0439–0441</t>
  </si>
  <si>
    <t>0442–0445</t>
  </si>
  <si>
    <t>Sprengladungen, gewerbliche, ohne Zündmittel</t>
  </si>
  <si>
    <t>0446 + 0447</t>
  </si>
  <si>
    <t>Treibladungshülsen, verbrennlich, leer, ohne Treibladungszünder</t>
  </si>
  <si>
    <t>0448</t>
  </si>
  <si>
    <t>5-Mercaptotetrazol-1-essigsäure</t>
  </si>
  <si>
    <t>0449</t>
  </si>
  <si>
    <t>Torpedos, mit Flüssigtreibstoff, mit oder ohne Sprengladung</t>
  </si>
  <si>
    <t>0450</t>
  </si>
  <si>
    <t>Torpedos, mit Flüssigtreibstoff, mit inertem Kopf</t>
  </si>
  <si>
    <t>0451</t>
  </si>
  <si>
    <t>0452</t>
  </si>
  <si>
    <t>0453</t>
  </si>
  <si>
    <t>0454</t>
  </si>
  <si>
    <t>0455</t>
  </si>
  <si>
    <t>0456</t>
  </si>
  <si>
    <t>0457–0459</t>
  </si>
  <si>
    <t>Sprengladungen, kunststoffgebunden</t>
  </si>
  <si>
    <t>0461</t>
  </si>
  <si>
    <t>Bestandteile, Zündkette</t>
  </si>
  <si>
    <t>0462–0472</t>
  </si>
  <si>
    <t>0473–0481</t>
  </si>
  <si>
    <t>0482</t>
  </si>
  <si>
    <t>Explosive Stoffe, sehr unempfindlich N.A.G. (Stoffe, EVI, N.A.G.)</t>
  </si>
  <si>
    <t>0483</t>
  </si>
  <si>
    <t>Hexogen (RDX), desensibilisiert</t>
  </si>
  <si>
    <t>0484</t>
  </si>
  <si>
    <t>Oktogen (HMX), desensibilisiert</t>
  </si>
  <si>
    <t>0485</t>
  </si>
  <si>
    <t>0486</t>
  </si>
  <si>
    <t>Gegenstände mit Explosivstoff, extrem unempfindlich (Gegenstände, EEI)</t>
  </si>
  <si>
    <t>0487</t>
  </si>
  <si>
    <t>0488</t>
  </si>
  <si>
    <t>0489</t>
  </si>
  <si>
    <t>Dinitroglycoluril (DINGU)</t>
  </si>
  <si>
    <t>0490</t>
  </si>
  <si>
    <t>Oxynitrotriazol (ONTA)</t>
  </si>
  <si>
    <t>0491</t>
  </si>
  <si>
    <t>0492 + 0493</t>
  </si>
  <si>
    <t>0494</t>
  </si>
  <si>
    <t>0495</t>
  </si>
  <si>
    <t>Treibstoff, flüssig</t>
  </si>
  <si>
    <t>0496</t>
  </si>
  <si>
    <t>Octonal</t>
  </si>
  <si>
    <t>0497</t>
  </si>
  <si>
    <t>0498 + 0499</t>
  </si>
  <si>
    <t>Treibstoff, fest</t>
  </si>
  <si>
    <t>0500</t>
  </si>
  <si>
    <t>0501</t>
  </si>
  <si>
    <t>0502</t>
  </si>
  <si>
    <t>0503</t>
  </si>
  <si>
    <t>Airbag-Gasgeneratoren, pyrotechnisch oder Airbag-Module, pyrotechnisch oder Gurtstraffer, pyrotechnisch oder Sicherheitseinrichtungen, pyrotechnisch</t>
  </si>
  <si>
    <t>0504</t>
  </si>
  <si>
    <t>1H-Tetrazol</t>
  </si>
  <si>
    <t>0505 + 0506</t>
  </si>
  <si>
    <t>Signalkörper, Seenot, für Schiffe</t>
  </si>
  <si>
    <t>0507</t>
  </si>
  <si>
    <t>0508</t>
  </si>
  <si>
    <t>1-Hydroxybenzotriazol, wasserfrei, trocken oder angefeuchtet, mit weniger als 20 Masse-% Wasser</t>
  </si>
  <si>
    <t>0509</t>
  </si>
  <si>
    <t>1001</t>
  </si>
  <si>
    <t>239</t>
  </si>
  <si>
    <t>2</t>
  </si>
  <si>
    <t>Ethin (Acetylen), gelöst</t>
  </si>
  <si>
    <t>1002</t>
  </si>
  <si>
    <t>20</t>
  </si>
  <si>
    <t>Luft, verdichtet (Druckluft)</t>
  </si>
  <si>
    <t>1003</t>
  </si>
  <si>
    <t>225</t>
  </si>
  <si>
    <t>Luft, tiefgekühlt, flüssig</t>
  </si>
  <si>
    <t>1005</t>
  </si>
  <si>
    <t>268</t>
  </si>
  <si>
    <t>Ammoniak, wasserfrei</t>
  </si>
  <si>
    <t>1006</t>
  </si>
  <si>
    <t>Argon, verdichtet</t>
  </si>
  <si>
    <t>1008</t>
  </si>
  <si>
    <t>Bortrifluorid, verdichtet</t>
  </si>
  <si>
    <t>1009</t>
  </si>
  <si>
    <t>2,2</t>
  </si>
  <si>
    <t>Bromtrifluormethan (Gas als Kältemittel R 13B1)</t>
  </si>
  <si>
    <t>1010</t>
  </si>
  <si>
    <t>1,2-Butadien, stabilisiert, oder 1,3-Butadien, stabilisiert, oder chemische Gemische von 1,3-Butadien und Kohlenwasserstoffen, stabilisiert, die bei 70 °C einen Dampfdruck von nicht mehr als 1,1 MPa (11 bar) haben und deren Dichte bei 50 °C den Wert von 0,525 kg/l nicht unterschreitet</t>
  </si>
  <si>
    <t>1011</t>
  </si>
  <si>
    <t>23</t>
  </si>
  <si>
    <t>Butan</t>
  </si>
  <si>
    <t>1012</t>
  </si>
  <si>
    <t>1-Buten oder cis-2-Buten oder trans-2-Buten oder Butene, Gemisch</t>
  </si>
  <si>
    <t>1013</t>
  </si>
  <si>
    <t>Kohlenstoffdioxid</t>
  </si>
  <si>
    <t>1014</t>
  </si>
  <si>
    <t>Kohlenstoffdioxid und Sauerstoff, Gemisch, verdichtet</t>
  </si>
  <si>
    <t>1015</t>
  </si>
  <si>
    <t>Kohlenstoffdioxid und Distickstoffmonoxid, Gemisch</t>
  </si>
  <si>
    <t>1016</t>
  </si>
  <si>
    <t>263</t>
  </si>
  <si>
    <t>Kohlenstoffmonoxid, verdichtet</t>
  </si>
  <si>
    <t>1017</t>
  </si>
  <si>
    <t>265</t>
  </si>
  <si>
    <t>Chlor</t>
  </si>
  <si>
    <t>1018</t>
  </si>
  <si>
    <t>Chlordifluormethan (Gas als Kältemittel R 22)</t>
  </si>
  <si>
    <t>1020</t>
  </si>
  <si>
    <t>Chlorpentafluorethan (Gas als Kältemittel R 115)</t>
  </si>
  <si>
    <t>1021</t>
  </si>
  <si>
    <t>1-Chlor-1,2,2,2-tetrafluorethan (Gas als Kältemittel R 124)</t>
  </si>
  <si>
    <t>1022</t>
  </si>
  <si>
    <t>Chlortrifluormethan (Gas als Kältemittel R 13)</t>
  </si>
  <si>
    <t>1023</t>
  </si>
  <si>
    <t>Stadtgas, verdichtet</t>
  </si>
  <si>
    <t>1026</t>
  </si>
  <si>
    <t>Dicyan</t>
  </si>
  <si>
    <t>1027</t>
  </si>
  <si>
    <t>Cyclopropan</t>
  </si>
  <si>
    <t>1028</t>
  </si>
  <si>
    <t>Dichlordifluormethan (Gas als Kältemittel R 12)</t>
  </si>
  <si>
    <t>1029</t>
  </si>
  <si>
    <t>Dichlormonofluormethan (Gas als Kältemittel R 21)</t>
  </si>
  <si>
    <t>1030</t>
  </si>
  <si>
    <t>1,1-Difluorethan (Gas als Kältemittel R 152a)</t>
  </si>
  <si>
    <t>1032</t>
  </si>
  <si>
    <t>Dimethylamin, wasserfrei</t>
  </si>
  <si>
    <t>1033</t>
  </si>
  <si>
    <t>Dimethylether</t>
  </si>
  <si>
    <t>1035</t>
  </si>
  <si>
    <t>2,1</t>
  </si>
  <si>
    <t>Bromtrifluormethan (Gas als Kältemittel R 13B1)</t>
  </si>
  <si>
    <t>1036</t>
  </si>
  <si>
    <t>Ethylamin, wasserfrei</t>
  </si>
  <si>
    <t>1037</t>
  </si>
  <si>
    <t>Ethylchlorid</t>
  </si>
  <si>
    <t>1038</t>
  </si>
  <si>
    <t>223</t>
  </si>
  <si>
    <t>Ethen, tiefgekühlt, flüssig</t>
  </si>
  <si>
    <t>1039</t>
  </si>
  <si>
    <t>Ethylmethylether</t>
  </si>
  <si>
    <t>1040</t>
  </si>
  <si>
    <t>Ethylenoxid</t>
  </si>
  <si>
    <t>Ethylenoxid mit Stickstoff bis zu einem höchstzulässigen Gesamtdruck von 1 MPa (10 bar) bei 50 °C</t>
  </si>
  <si>
    <t>1041</t>
  </si>
  <si>
    <t>Ethylenoxid und Kohlendioxid, Gemisch mit mehr als 9 %, aber höchstens 87 % Ethylenoxid</t>
  </si>
  <si>
    <t>1043</t>
  </si>
  <si>
    <t>Düngemittel, Lösung, mit freiem Ammoniak</t>
  </si>
  <si>
    <t>1044</t>
  </si>
  <si>
    <t>Feuerlöscher mit verdichtetem oder verflüssigtem Gas</t>
  </si>
  <si>
    <t>1045</t>
  </si>
  <si>
    <t>Fluor, verdichtet</t>
  </si>
  <si>
    <t>1046</t>
  </si>
  <si>
    <t>Helium, verdichtet</t>
  </si>
  <si>
    <t>1048</t>
  </si>
  <si>
    <t>Bromwasserstoff, wasserfrei</t>
  </si>
  <si>
    <t>1049</t>
  </si>
  <si>
    <t>Wasserstoff, verdichtet</t>
  </si>
  <si>
    <t>1050</t>
  </si>
  <si>
    <t>Chlorwasserstoff, wasserfrei</t>
  </si>
  <si>
    <t>1051</t>
  </si>
  <si>
    <t>663</t>
  </si>
  <si>
    <t>6,1</t>
  </si>
  <si>
    <t>Cyanwasserstoff, stabilisiert, mit weniger als 3 % Wasser</t>
  </si>
  <si>
    <t>1052</t>
  </si>
  <si>
    <t>886</t>
  </si>
  <si>
    <t>8</t>
  </si>
  <si>
    <t>Fluorwasserstoff, wasserfrei</t>
  </si>
  <si>
    <t>1053</t>
  </si>
  <si>
    <t>Schwefelwasserstoff</t>
  </si>
  <si>
    <t>1055</t>
  </si>
  <si>
    <t>Isobuten</t>
  </si>
  <si>
    <t>1056</t>
  </si>
  <si>
    <t>Krypton, verdichtet</t>
  </si>
  <si>
    <t>1057</t>
  </si>
  <si>
    <t>Feuerzeuge mit entzündbarem Gas oder Nachfüllpatronen für Feuerzeuge mit entzündbarem Gas</t>
  </si>
  <si>
    <t>1058</t>
  </si>
  <si>
    <t>Verflüssigte Gase, nicht entzündbar, überlagert mit Stickstoff, Kohlenstoffdioxid oder Luft</t>
  </si>
  <si>
    <t>1060</t>
  </si>
  <si>
    <t>Methylacetylen und Propadien, Gemisch, stabilisiert (Gemisch P 1) (Gemisch P 2)</t>
  </si>
  <si>
    <t>1061</t>
  </si>
  <si>
    <t>Methylamin, wasserfrei</t>
  </si>
  <si>
    <t>1062</t>
  </si>
  <si>
    <t>26</t>
  </si>
  <si>
    <t>Methylbromid, mit höchstens 2 % Chlorpikrin</t>
  </si>
  <si>
    <t>1063</t>
  </si>
  <si>
    <t>Methylchlorid (Gas als Kältemittel R 40)</t>
  </si>
  <si>
    <t>1064</t>
  </si>
  <si>
    <t>Methylmercaptan</t>
  </si>
  <si>
    <t>1065</t>
  </si>
  <si>
    <t>Neon, verdichtet</t>
  </si>
  <si>
    <t>1066</t>
  </si>
  <si>
    <t>Stickstoff, verdichtet</t>
  </si>
  <si>
    <t>1067</t>
  </si>
  <si>
    <t>Distickstofftetroxid (Stickstoffdioxid)</t>
  </si>
  <si>
    <t>1069</t>
  </si>
  <si>
    <t>Nitrosylchlorid</t>
  </si>
  <si>
    <t>1070</t>
  </si>
  <si>
    <t>Distickstoffmonoxid</t>
  </si>
  <si>
    <t>1071</t>
  </si>
  <si>
    <t>Ölgas, verdichtet</t>
  </si>
  <si>
    <t>1072</t>
  </si>
  <si>
    <t>Sauerstoff, verdichtet</t>
  </si>
  <si>
    <t>1073</t>
  </si>
  <si>
    <t>Sauerstoff, tiefgekühlt, flüssig</t>
  </si>
  <si>
    <t>1075</t>
  </si>
  <si>
    <t>Petroleumgase, verflüssigt</t>
  </si>
  <si>
    <t>1076</t>
  </si>
  <si>
    <t>Phosgen</t>
  </si>
  <si>
    <t>1077</t>
  </si>
  <si>
    <t>Propen</t>
  </si>
  <si>
    <t>1078</t>
  </si>
  <si>
    <t>Gas als Kältemittel, N.A.G. (Gemisch F 1) (Gemisch F 2) (Gemisch F 3)</t>
  </si>
  <si>
    <t>1079</t>
  </si>
  <si>
    <t>Schwefeldioxid</t>
  </si>
  <si>
    <t>1080</t>
  </si>
  <si>
    <t>Schwefelhexafluorid</t>
  </si>
  <si>
    <t>1081</t>
  </si>
  <si>
    <t>Tetrafluorethylen, stabilisiert</t>
  </si>
  <si>
    <t>1082</t>
  </si>
  <si>
    <t>Chlortrifluorethylen, stabilisiert (Gas als Kältemittel R 1113)</t>
  </si>
  <si>
    <t>1083</t>
  </si>
  <si>
    <t>Trimethylamin, wasserfrei</t>
  </si>
  <si>
    <t>1085</t>
  </si>
  <si>
    <t>Vinylbromid, stabilisiert</t>
  </si>
  <si>
    <t>1086</t>
  </si>
  <si>
    <t>Vinylchlorid, stabilisiert</t>
  </si>
  <si>
    <t>1087</t>
  </si>
  <si>
    <t>Vinylmethylether, stabilisiert</t>
  </si>
  <si>
    <t>1088</t>
  </si>
  <si>
    <t>33</t>
  </si>
  <si>
    <t>3</t>
  </si>
  <si>
    <t>Acetal</t>
  </si>
  <si>
    <t>1089</t>
  </si>
  <si>
    <t>Ethanal (Acetaldehyd)</t>
  </si>
  <si>
    <t>1090</t>
  </si>
  <si>
    <t>Aceton</t>
  </si>
  <si>
    <t>1091</t>
  </si>
  <si>
    <t>Acetonöle</t>
  </si>
  <si>
    <t>1092</t>
  </si>
  <si>
    <t>Propenal (Acrolein), stabilisiert</t>
  </si>
  <si>
    <t>1093</t>
  </si>
  <si>
    <t>336</t>
  </si>
  <si>
    <t>Acrylnitril, stabilisiert</t>
  </si>
  <si>
    <t>1098</t>
  </si>
  <si>
    <t>Allylalkohol</t>
  </si>
  <si>
    <t>1099</t>
  </si>
  <si>
    <t>Allylbromid</t>
  </si>
  <si>
    <t>1100</t>
  </si>
  <si>
    <t>Allylchlorid</t>
  </si>
  <si>
    <t>1104</t>
  </si>
  <si>
    <t>30</t>
  </si>
  <si>
    <t>Amylacetate</t>
  </si>
  <si>
    <t>1105</t>
  </si>
  <si>
    <t>30 + 33</t>
  </si>
  <si>
    <t>Pentanole</t>
  </si>
  <si>
    <t>1106</t>
  </si>
  <si>
    <t>38 + 338</t>
  </si>
  <si>
    <t>Amylamine</t>
  </si>
  <si>
    <t>1107</t>
  </si>
  <si>
    <t>Amylchloride</t>
  </si>
  <si>
    <t>1108</t>
  </si>
  <si>
    <t>Penten (n-Amylen)</t>
  </si>
  <si>
    <t>1109</t>
  </si>
  <si>
    <t>Amylformiate</t>
  </si>
  <si>
    <t>1110</t>
  </si>
  <si>
    <t>n-Amylmethylketon</t>
  </si>
  <si>
    <t>1111</t>
  </si>
  <si>
    <t>Amylmercaptane</t>
  </si>
  <si>
    <t>1112</t>
  </si>
  <si>
    <t>Amylnitrate</t>
  </si>
  <si>
    <t>1113</t>
  </si>
  <si>
    <t>Amylnitrite</t>
  </si>
  <si>
    <t>1114</t>
  </si>
  <si>
    <t>Benzol</t>
  </si>
  <si>
    <t>1120</t>
  </si>
  <si>
    <t>Butanole</t>
  </si>
  <si>
    <t>1123</t>
  </si>
  <si>
    <t>Butylacetate</t>
  </si>
  <si>
    <t>1125</t>
  </si>
  <si>
    <t>338</t>
  </si>
  <si>
    <t>n-Butylamin</t>
  </si>
  <si>
    <t>1126</t>
  </si>
  <si>
    <t>1-Brombutan</t>
  </si>
  <si>
    <t>1127</t>
  </si>
  <si>
    <t>Chlorbutane</t>
  </si>
  <si>
    <t>1128</t>
  </si>
  <si>
    <t>n-Butylformiat</t>
  </si>
  <si>
    <t>1129</t>
  </si>
  <si>
    <t>Butyraldehyd</t>
  </si>
  <si>
    <t>1130</t>
  </si>
  <si>
    <t>Campheröl (Kampferöl)</t>
  </si>
  <si>
    <t>1131</t>
  </si>
  <si>
    <t>Kohlenstoffdisulfid</t>
  </si>
  <si>
    <t>1133</t>
  </si>
  <si>
    <t>Klebstoffe, die eine entzündbare Flüssigkeit enthalten</t>
  </si>
  <si>
    <t>1134</t>
  </si>
  <si>
    <t>Chlorbenzol</t>
  </si>
  <si>
    <t>1135</t>
  </si>
  <si>
    <t>Chlorethanol (Ethylenchlorhydrin)</t>
  </si>
  <si>
    <t>1136</t>
  </si>
  <si>
    <t>Steinkohlenteerdestillate, entzündbar</t>
  </si>
  <si>
    <t>1139</t>
  </si>
  <si>
    <t>Schutzanstrichlösung (einschließlich zu Industrie- oder anderen Zwecken verwendete Oberflächenbehandlungen oder Beschichtungen, wie Zwischenbeschichtung für Fahrzeugkarosserien, Auskleidung für Fässer)</t>
  </si>
  <si>
    <t>1143</t>
  </si>
  <si>
    <t>Crotonaldehyd oder Crotonaldehyd, stabilisiert</t>
  </si>
  <si>
    <t>1144</t>
  </si>
  <si>
    <t>339</t>
  </si>
  <si>
    <t>Crotonylen</t>
  </si>
  <si>
    <t>1145</t>
  </si>
  <si>
    <t>Cyclohexan</t>
  </si>
  <si>
    <t>1146</t>
  </si>
  <si>
    <t>Cyclopentan</t>
  </si>
  <si>
    <t>1147</t>
  </si>
  <si>
    <t>Decalin (Decahydronaphthalen)</t>
  </si>
  <si>
    <t>1148</t>
  </si>
  <si>
    <t>Diacetonalkohol, technisch</t>
  </si>
  <si>
    <t>1149</t>
  </si>
  <si>
    <t>Dibutylether</t>
  </si>
  <si>
    <t>1150</t>
  </si>
  <si>
    <t>1,2-Dichlorethylen</t>
  </si>
  <si>
    <t>1152</t>
  </si>
  <si>
    <t>Dichlorpentane</t>
  </si>
  <si>
    <t>1153</t>
  </si>
  <si>
    <t>Ethylenglycoldiethylether</t>
  </si>
  <si>
    <t>1154</t>
  </si>
  <si>
    <t>Diethylamin</t>
  </si>
  <si>
    <t>1155</t>
  </si>
  <si>
    <t>Diethylether (Ethylether)</t>
  </si>
  <si>
    <t>1156</t>
  </si>
  <si>
    <t>Diethylketon</t>
  </si>
  <si>
    <t>1157</t>
  </si>
  <si>
    <t>Diisobutylketon</t>
  </si>
  <si>
    <t>1158</t>
  </si>
  <si>
    <t>Diisopropylamin</t>
  </si>
  <si>
    <t>1159</t>
  </si>
  <si>
    <t>Diisopropylether</t>
  </si>
  <si>
    <t>1160</t>
  </si>
  <si>
    <t>Dimethylamin, wässrige Lösung</t>
  </si>
  <si>
    <t>1161</t>
  </si>
  <si>
    <t>Dimethylcarbonat</t>
  </si>
  <si>
    <t>1162</t>
  </si>
  <si>
    <t>X338</t>
  </si>
  <si>
    <t>Dimethyldichlorsilan</t>
  </si>
  <si>
    <t>1163</t>
  </si>
  <si>
    <t>Dimethylhydrazin, asymmetrisch</t>
  </si>
  <si>
    <t>1164</t>
  </si>
  <si>
    <t>Dimethylsulfid</t>
  </si>
  <si>
    <t>1165</t>
  </si>
  <si>
    <t>Dioxan</t>
  </si>
  <si>
    <t>1166</t>
  </si>
  <si>
    <t>Dioxolan</t>
  </si>
  <si>
    <t>1167</t>
  </si>
  <si>
    <t>Divinylether, stabilisiert</t>
  </si>
  <si>
    <t>1169</t>
  </si>
  <si>
    <t>Extrakte, aromatisch, flüssig</t>
  </si>
  <si>
    <t>1170</t>
  </si>
  <si>
    <t>Ethanol (Ethylalkohol) oder Ethanol-Lösung</t>
  </si>
  <si>
    <t>1171</t>
  </si>
  <si>
    <t>Ethylenglycolmonoethylether</t>
  </si>
  <si>
    <t>1172</t>
  </si>
  <si>
    <t>Ethylenglycolmonoethyletheracetat</t>
  </si>
  <si>
    <t>1173</t>
  </si>
  <si>
    <t>Ethylacetat</t>
  </si>
  <si>
    <t>1175</t>
  </si>
  <si>
    <t>Ethylbenzol (Ethylbenzen)</t>
  </si>
  <si>
    <t>1176</t>
  </si>
  <si>
    <t>Ethylborat (Triethylborat)</t>
  </si>
  <si>
    <t>1177</t>
  </si>
  <si>
    <t>2-Ethylbutylacetat</t>
  </si>
  <si>
    <t>1178</t>
  </si>
  <si>
    <t>2-Ethylbutyraldehyd</t>
  </si>
  <si>
    <t>1179</t>
  </si>
  <si>
    <t>Ethylbutylether</t>
  </si>
  <si>
    <t>1180</t>
  </si>
  <si>
    <t>Ethylbutyrat</t>
  </si>
  <si>
    <t>1181</t>
  </si>
  <si>
    <t>Ethylchloracetat</t>
  </si>
  <si>
    <t>1182</t>
  </si>
  <si>
    <t>Ethylchlorformiat</t>
  </si>
  <si>
    <t>1183</t>
  </si>
  <si>
    <t>4,3</t>
  </si>
  <si>
    <t>1184</t>
  </si>
  <si>
    <t>Ethylendichlorid</t>
  </si>
  <si>
    <t>1185</t>
  </si>
  <si>
    <t>Ethylenimin, stabilisiert</t>
  </si>
  <si>
    <t>1188</t>
  </si>
  <si>
    <t>Ethylenglycolmonomethylether</t>
  </si>
  <si>
    <t>1189</t>
  </si>
  <si>
    <t>Ethylenglycolmonomethyletheracetat</t>
  </si>
  <si>
    <t>1190</t>
  </si>
  <si>
    <t>Ethylformiat</t>
  </si>
  <si>
    <t>1191</t>
  </si>
  <si>
    <t>Octylaldehyde</t>
  </si>
  <si>
    <t>1192</t>
  </si>
  <si>
    <t>Ethyllactat</t>
  </si>
  <si>
    <t>1193</t>
  </si>
  <si>
    <t>Methylethylketon (Ethylmethylketon)</t>
  </si>
  <si>
    <t>1194</t>
  </si>
  <si>
    <t>Ethylnitril, Lösung</t>
  </si>
  <si>
    <t>1195</t>
  </si>
  <si>
    <t>Ethylpropionat</t>
  </si>
  <si>
    <t>1196</t>
  </si>
  <si>
    <t>Ethyltrichlorsilan</t>
  </si>
  <si>
    <t>1197</t>
  </si>
  <si>
    <t>Extrakte, Geschmackstoffe, flüssig</t>
  </si>
  <si>
    <t>1198</t>
  </si>
  <si>
    <t>38</t>
  </si>
  <si>
    <t>Formaldehyd, Lösung, entzündbar</t>
  </si>
  <si>
    <t>1199</t>
  </si>
  <si>
    <t>Furfurale (Furaldehyde)</t>
  </si>
  <si>
    <t>1201</t>
  </si>
  <si>
    <t>Fuselöl</t>
  </si>
  <si>
    <t>1202</t>
  </si>
  <si>
    <t>Dieselkraftstoff oder Gasöl oder Heizöl (leicht)</t>
  </si>
  <si>
    <t>1203</t>
  </si>
  <si>
    <t>Benzin oder Ottokraftstoffe</t>
  </si>
  <si>
    <t>1204</t>
  </si>
  <si>
    <t>Nitroglycerol (Nitroglycerin), Lösung in Alkohol mit höchstens 1 % Nitroglycerol</t>
  </si>
  <si>
    <t>1206</t>
  </si>
  <si>
    <t>Heptane</t>
  </si>
  <si>
    <t>1207</t>
  </si>
  <si>
    <t>Hexaldehyd</t>
  </si>
  <si>
    <t>1208</t>
  </si>
  <si>
    <t>Hexane</t>
  </si>
  <si>
    <t>1210</t>
  </si>
  <si>
    <t>Druckfarbe, entzündbar oder Druckfarbzubehörstoffe (einschließlich Druckfarbverdünnung und -lösemittel), entzündbar</t>
  </si>
  <si>
    <t>1212</t>
  </si>
  <si>
    <t>Isobutanol (Isobutylalkohol)</t>
  </si>
  <si>
    <t>1213</t>
  </si>
  <si>
    <t>Isobutylacetat</t>
  </si>
  <si>
    <t>1214</t>
  </si>
  <si>
    <t>Isobutylamin</t>
  </si>
  <si>
    <t>1216</t>
  </si>
  <si>
    <t>Isooctene</t>
  </si>
  <si>
    <t>1218</t>
  </si>
  <si>
    <t>Isopren, stabilisiert</t>
  </si>
  <si>
    <t>1219</t>
  </si>
  <si>
    <t>2-Propanol (Isopropylalkohol)</t>
  </si>
  <si>
    <t>1220</t>
  </si>
  <si>
    <t>Isopropylacetat</t>
  </si>
  <si>
    <t>1221</t>
  </si>
  <si>
    <t>Isopropylamin</t>
  </si>
  <si>
    <t>1222</t>
  </si>
  <si>
    <t>Isopropylnitrat</t>
  </si>
  <si>
    <t>1223</t>
  </si>
  <si>
    <t>Kerosin</t>
  </si>
  <si>
    <t>1224</t>
  </si>
  <si>
    <t>Ketone, flüssig, N.A.G.</t>
  </si>
  <si>
    <t>1228</t>
  </si>
  <si>
    <t>36 + 336</t>
  </si>
  <si>
    <t>Alkanthiole (Mercaptane), flüssig, entzündbar, giftig oder Alkanthiole (Mercaptane), Mischung, flüssig, entzündbar, giftig</t>
  </si>
  <si>
    <t>1229</t>
  </si>
  <si>
    <t>Mesityloxid</t>
  </si>
  <si>
    <t>1230</t>
  </si>
  <si>
    <t>Methanol</t>
  </si>
  <si>
    <t>1231</t>
  </si>
  <si>
    <t>Methylacetat</t>
  </si>
  <si>
    <t>1233</t>
  </si>
  <si>
    <t>Methylamylacetat</t>
  </si>
  <si>
    <t>1234</t>
  </si>
  <si>
    <t>Methylal</t>
  </si>
  <si>
    <t>1235</t>
  </si>
  <si>
    <t>1237</t>
  </si>
  <si>
    <t>Methylbutyrat</t>
  </si>
  <si>
    <t>1238</t>
  </si>
  <si>
    <t>Methylchlorformiat</t>
  </si>
  <si>
    <t>1239</t>
  </si>
  <si>
    <t>Methylchlormethylether</t>
  </si>
  <si>
    <t>1242</t>
  </si>
  <si>
    <t>Methyldichlorsilan</t>
  </si>
  <si>
    <t>1243</t>
  </si>
  <si>
    <t>Ameisensäuremethylester (Methylformiat)</t>
  </si>
  <si>
    <t>1244</t>
  </si>
  <si>
    <t>Methylhydrazin</t>
  </si>
  <si>
    <t>1245</t>
  </si>
  <si>
    <t>Methylisobutylketon</t>
  </si>
  <si>
    <t>1246</t>
  </si>
  <si>
    <t>Methylisopropenylketon, stabilisiert</t>
  </si>
  <si>
    <t>1247</t>
  </si>
  <si>
    <t>Methylmethacrylat, Monomer, stabilisiert</t>
  </si>
  <si>
    <t>1248</t>
  </si>
  <si>
    <t>Methylpropionat</t>
  </si>
  <si>
    <t>1249</t>
  </si>
  <si>
    <t>Methylpropylketon</t>
  </si>
  <si>
    <t>1250</t>
  </si>
  <si>
    <t>Methyltrichlorsilan</t>
  </si>
  <si>
    <t>1251</t>
  </si>
  <si>
    <t>639</t>
  </si>
  <si>
    <t>Methylvinylketon, stabilisiert</t>
  </si>
  <si>
    <t>1259</t>
  </si>
  <si>
    <t>Nickeltetracarbonyl</t>
  </si>
  <si>
    <t>1261</t>
  </si>
  <si>
    <t>Nitromethan</t>
  </si>
  <si>
    <t>1262</t>
  </si>
  <si>
    <t>Octane</t>
  </si>
  <si>
    <t>1263</t>
  </si>
  <si>
    <t>Farbe (einschließlich Farbe, Lack, Emaille, Beize, Schellack, Firnis, Politur, flüssiger Füllstoff und flüssige Lackgrundlage) oder Farbzubehörstoffe (inklusive Farbverdünnung und -lösemittel)</t>
  </si>
  <si>
    <t>1264</t>
  </si>
  <si>
    <t>Paraldehyd</t>
  </si>
  <si>
    <t>1265</t>
  </si>
  <si>
    <t>Pentane, flüssig</t>
  </si>
  <si>
    <t>1266</t>
  </si>
  <si>
    <t>Parfümerzeugnisse mit entzündbaren Lösungsmitteln</t>
  </si>
  <si>
    <t>1267</t>
  </si>
  <si>
    <t>Roherdöl</t>
  </si>
  <si>
    <t>1268</t>
  </si>
  <si>
    <t>Erdöldestillate, N.A.G. oder Erdölprodukte, N.A.G.</t>
  </si>
  <si>
    <t>1272</t>
  </si>
  <si>
    <t>Kiefernöl</t>
  </si>
  <si>
    <t>1274</t>
  </si>
  <si>
    <t>1-Propanol (n-Propylalkohol)</t>
  </si>
  <si>
    <t>1275</t>
  </si>
  <si>
    <t>Propionaldehyd</t>
  </si>
  <si>
    <t>1276</t>
  </si>
  <si>
    <t>n-Propylacetat</t>
  </si>
  <si>
    <t>1277</t>
  </si>
  <si>
    <t>Propylamin</t>
  </si>
  <si>
    <t>1278</t>
  </si>
  <si>
    <t>1-Chlorpropan</t>
  </si>
  <si>
    <t>1279</t>
  </si>
  <si>
    <t>1,2-Dichlorpropan</t>
  </si>
  <si>
    <t>1280</t>
  </si>
  <si>
    <t>Propylenoxid</t>
  </si>
  <si>
    <t>1281</t>
  </si>
  <si>
    <t>Propylformiate</t>
  </si>
  <si>
    <t>1282</t>
  </si>
  <si>
    <t>Pyridin</t>
  </si>
  <si>
    <t>1286</t>
  </si>
  <si>
    <t>Harzöl</t>
  </si>
  <si>
    <t>1287</t>
  </si>
  <si>
    <t>Gummilösung</t>
  </si>
  <si>
    <t>1288</t>
  </si>
  <si>
    <t>Schieferöl</t>
  </si>
  <si>
    <t>1289</t>
  </si>
  <si>
    <t>Natriummethylat, Lösung in Alkohol</t>
  </si>
  <si>
    <t>1292</t>
  </si>
  <si>
    <t>Tetraethylsilicat (Tetraethylorthosilikat)</t>
  </si>
  <si>
    <t>1293</t>
  </si>
  <si>
    <t>Tinkturen, medizinische</t>
  </si>
  <si>
    <t>1294</t>
  </si>
  <si>
    <t>Toluol</t>
  </si>
  <si>
    <t>1295</t>
  </si>
  <si>
    <t>Trichlorsilan</t>
  </si>
  <si>
    <t>1296</t>
  </si>
  <si>
    <t>Triethylamin</t>
  </si>
  <si>
    <t>1297</t>
  </si>
  <si>
    <t>Trimethylamin, wässrige Lösung mit mindestens 50 Masse-% Trimethylamin</t>
  </si>
  <si>
    <t>1298</t>
  </si>
  <si>
    <t>Trimethylchlorsilan</t>
  </si>
  <si>
    <t>1299</t>
  </si>
  <si>
    <t>Terpentin</t>
  </si>
  <si>
    <t>1300</t>
  </si>
  <si>
    <t>Terpentinölersatz</t>
  </si>
  <si>
    <t>1301</t>
  </si>
  <si>
    <t>Vinylacetat, stabilisiert</t>
  </si>
  <si>
    <t>1302</t>
  </si>
  <si>
    <t>Vinylethylether, stabilisiert</t>
  </si>
  <si>
    <t>1303</t>
  </si>
  <si>
    <t>Vinylidenchlorid, stabilisiert</t>
  </si>
  <si>
    <t>1304</t>
  </si>
  <si>
    <t>Vinylisobutylether, stabilisiert</t>
  </si>
  <si>
    <t>1305</t>
  </si>
  <si>
    <t>X339</t>
  </si>
  <si>
    <t>Vinyltrichlorsilan, stabilisiert</t>
  </si>
  <si>
    <t>1306</t>
  </si>
  <si>
    <t>Holzschutzmittel, flüssig</t>
  </si>
  <si>
    <t>1307</t>
  </si>
  <si>
    <t>Xylole (Xylene)</t>
  </si>
  <si>
    <t>1308</t>
  </si>
  <si>
    <t>Zirconium, suspendiert in einem entzündbaren flüssigen Stoff</t>
  </si>
  <si>
    <t>1309</t>
  </si>
  <si>
    <t>40</t>
  </si>
  <si>
    <t>Aluminiumpulver, überzogen</t>
  </si>
  <si>
    <t>1310</t>
  </si>
  <si>
    <t>Ammoniumpikrat, angefeuchtet mit mindestens 10 Masse-% Wasser</t>
  </si>
  <si>
    <t>1312</t>
  </si>
  <si>
    <t>Borneol</t>
  </si>
  <si>
    <t>1313</t>
  </si>
  <si>
    <t>Calciumresinat</t>
  </si>
  <si>
    <t>1314</t>
  </si>
  <si>
    <t>Calciumresinat, geschmolzen und erstarrt</t>
  </si>
  <si>
    <t>1318</t>
  </si>
  <si>
    <t>Cobaltresinat, gefällt</t>
  </si>
  <si>
    <t>1320</t>
  </si>
  <si>
    <t>46</t>
  </si>
  <si>
    <t>Dinitrophenol, angefeuchtet mit mindestens 15 Masse-% Wasser</t>
  </si>
  <si>
    <t>1321</t>
  </si>
  <si>
    <t>Dinitrophenolate, angefeuchtet mit mindestens 15 Masse-% Wasser</t>
  </si>
  <si>
    <t>1322</t>
  </si>
  <si>
    <t>Dinitroresorcinol, angefeuchtet mit mindestens 15 Masse-% Wasser</t>
  </si>
  <si>
    <t>1323</t>
  </si>
  <si>
    <t>Eisencer</t>
  </si>
  <si>
    <t>1324</t>
  </si>
  <si>
    <t>Filme auf Nitrocellulosebasis, gelatiniert, ausgenommen Abfälle</t>
  </si>
  <si>
    <t>1325</t>
  </si>
  <si>
    <t>Entzündbarer organischer fester Stoff</t>
  </si>
  <si>
    <t>1326</t>
  </si>
  <si>
    <t>Hafniumpulver, angefeuchtet mit mindestens 25 % Wasser</t>
  </si>
  <si>
    <t>1327</t>
  </si>
  <si>
    <t> ?</t>
  </si>
  <si>
    <t>Heu oder Stroh oder Bhusa [unterliegt nicht den Vorschriften des ADR]</t>
  </si>
  <si>
    <t>1328</t>
  </si>
  <si>
    <t>Urotropin (Hexamethylentetramin)</t>
  </si>
  <si>
    <t>1330</t>
  </si>
  <si>
    <t>Manganresinat</t>
  </si>
  <si>
    <t>1331</t>
  </si>
  <si>
    <t>Zündhölzer, überall zündbar</t>
  </si>
  <si>
    <t>1332</t>
  </si>
  <si>
    <t>Metaldehyd</t>
  </si>
  <si>
    <t>1333</t>
  </si>
  <si>
    <t>Cer, Platten, Barren, Stangen</t>
  </si>
  <si>
    <t>1334</t>
  </si>
  <si>
    <t>Naphthalin, roh oder raffiniert</t>
  </si>
  <si>
    <t>1336</t>
  </si>
  <si>
    <t>Nitroguanidin (Picrit), angefeuchtet mit mindestens 20 Masse-% Wasser</t>
  </si>
  <si>
    <t>1337</t>
  </si>
  <si>
    <t>Nitrostärke, angefeuchtet mit mindestens 20 Masse-% Wasser</t>
  </si>
  <si>
    <t>1338</t>
  </si>
  <si>
    <t>Phosphor, amorph</t>
  </si>
  <si>
    <t>1339</t>
  </si>
  <si>
    <t>Phosphorheptasulfid (P4S7), ohne gelben oder weißen Phosphor</t>
  </si>
  <si>
    <t>1340</t>
  </si>
  <si>
    <t>423</t>
  </si>
  <si>
    <t>Phosphorpentasulfid (P2S5), ohne gelben oder weißen Phosphor</t>
  </si>
  <si>
    <t>1341</t>
  </si>
  <si>
    <t>Phosphorsesquisulfid (P4S3), ohne gelben oder weißen Phosphor</t>
  </si>
  <si>
    <t>1343</t>
  </si>
  <si>
    <t>Phosphortrisulfid (P4S6), ohne gelben oder weißen Phosphor</t>
  </si>
  <si>
    <t>1344</t>
  </si>
  <si>
    <t>Trinitrophenol (Pikrinsäure), angefeuchtet mit mindestens 30 Masse-% Wasser</t>
  </si>
  <si>
    <t>1345</t>
  </si>
  <si>
    <t>Kautschuk- (Gummi-) abfälle, gemahlen oder Kautschuk- (Gummi) reste, pulverförmig oder granuliert</t>
  </si>
  <si>
    <t>1346</t>
  </si>
  <si>
    <t>Siliciumpulver, amorph</t>
  </si>
  <si>
    <t>1347</t>
  </si>
  <si>
    <t>Silberpikrat, angefeuchtet mit mindestens 30 Masse-% Wasser</t>
  </si>
  <si>
    <t>1348</t>
  </si>
  <si>
    <t>Natriumdinitroorthokresolat, angefeuchtet mit mindestens 15 Masse-% Wasser</t>
  </si>
  <si>
    <t>1349</t>
  </si>
  <si>
    <t>Natriumpikramat, angefeuchtet mit mindestens 20 Masse-% Wasser</t>
  </si>
  <si>
    <t>1350</t>
  </si>
  <si>
    <t>Schwefel</t>
  </si>
  <si>
    <t>1352</t>
  </si>
  <si>
    <t>Titanpulver, angefeuchtet mit mindestens 25 % Wasser</t>
  </si>
  <si>
    <t>1353</t>
  </si>
  <si>
    <t>Fasern, imprägniert mit schwach nitrierter Cellulose oder Gewebe imprägniert mit schwach nitrierter Cellulose</t>
  </si>
  <si>
    <t>1354</t>
  </si>
  <si>
    <t>Trinitrobenzen, angefeuchtet mit mindestens 30 Masse-% Wasser</t>
  </si>
  <si>
    <t>1355</t>
  </si>
  <si>
    <t>Trinitrobenzoesäure, angefeuchtet mit mindestens 30 Masse-% Wasser</t>
  </si>
  <si>
    <t>1356</t>
  </si>
  <si>
    <t>Trinitrotoluol (TNT), angefeuchtet mit mindestens 30 Masse-% Wasser</t>
  </si>
  <si>
    <t>1357</t>
  </si>
  <si>
    <t>Harnstoffnitrat, angefeuchtet mit mindestens 20 Masse-% Wasser</t>
  </si>
  <si>
    <t>1358</t>
  </si>
  <si>
    <t>Zirconiumpulver, angefeuchtet mit mindestens 25 % Wasser</t>
  </si>
  <si>
    <t>1360</t>
  </si>
  <si>
    <t>X462</t>
  </si>
  <si>
    <t>Calciumphosphid</t>
  </si>
  <si>
    <t>1361</t>
  </si>
  <si>
    <t>4,2</t>
  </si>
  <si>
    <t>Kohle oder Ruß, tierischen oder pflanzlichen Ursprungs</t>
  </si>
  <si>
    <t>1362</t>
  </si>
  <si>
    <t>Kohle, aktiviert</t>
  </si>
  <si>
    <t>1363</t>
  </si>
  <si>
    <t>Kopra</t>
  </si>
  <si>
    <t>1364</t>
  </si>
  <si>
    <t>Baumwollabfälle, ölhaltig</t>
  </si>
  <si>
    <t>1365</t>
  </si>
  <si>
    <t>Baumwolle, nass</t>
  </si>
  <si>
    <t>1366</t>
  </si>
  <si>
    <t>X333</t>
  </si>
  <si>
    <t>Diethylzink</t>
  </si>
  <si>
    <t>1369</t>
  </si>
  <si>
    <t>p-Nitrosodimethylanilin</t>
  </si>
  <si>
    <t>1370</t>
  </si>
  <si>
    <t>Dimethylzink</t>
  </si>
  <si>
    <t>1372</t>
  </si>
  <si>
    <t>Fasern, tierischen Ursprungs oder Fasern, pflanzlichen Ursprungs, gebrannt, nass oder feucht (Unterliegt nicht den Vorschriften des ADR/RID)</t>
  </si>
  <si>
    <t>1373</t>
  </si>
  <si>
    <t>Fasern oder Gewebe, tierischen oder pflanzlichen oder synthetischen Ursprungs, N.A.G., imprägniert mit Öl</t>
  </si>
  <si>
    <t>1374</t>
  </si>
  <si>
    <t>Fischmehl (Fischabfall), nicht stabilisiert, sehr gefährlich, unbeschränkter Feuchtegehalt, unbeschränkter Fettgehalt über 12 Masse-%, unbeschränkter Fettgehalt über 15 Masse-% bei mit Antioxidantien behandeltem Fischmehl oder Fischabfall</t>
  </si>
  <si>
    <t>1376</t>
  </si>
  <si>
    <t>Eisenoxid, gebraucht oder Eisenschwamm, gebraucht, aus der Kokereigasreinigung</t>
  </si>
  <si>
    <t>1378</t>
  </si>
  <si>
    <t>Metallkatalysator, angefeuchtet mit einem sichtbaren Überschuss an Flüssigkeit</t>
  </si>
  <si>
    <t>1379</t>
  </si>
  <si>
    <t>Papier, mit ungesättigten Ölen behandelt, unvollständig getrocknet (auch Kohlepapier)</t>
  </si>
  <si>
    <t>1380</t>
  </si>
  <si>
    <t>333</t>
  </si>
  <si>
    <t>Pentaboran</t>
  </si>
  <si>
    <t>1381</t>
  </si>
  <si>
    <t>Phosphor, weiß oder gelb, trocken, unter Wasser oder in Lösung</t>
  </si>
  <si>
    <t>1382</t>
  </si>
  <si>
    <t>Kaliumsulfid, wasserfrei oder Kaliumsulfid mit weniger als 30 % Kristallwasser</t>
  </si>
  <si>
    <t>1383</t>
  </si>
  <si>
    <t>43</t>
  </si>
  <si>
    <t>Pyrophores Metall oder Legierung</t>
  </si>
  <si>
    <t>1384</t>
  </si>
  <si>
    <t>Natriumdithionit (Natriumhydrosulfit)</t>
  </si>
  <si>
    <t>1385</t>
  </si>
  <si>
    <t>Natriumsulfid, wasserfrei oder Natriumsulfid mit weniger als 30 % Kristallwasser</t>
  </si>
  <si>
    <t>1386</t>
  </si>
  <si>
    <t>Ölsaatkuchen mit mehr als 1,5 Masse-% Öl und höchstens 11 Masse-% Feuchtigkeit</t>
  </si>
  <si>
    <t>1387</t>
  </si>
  <si>
    <t>Wollabfälle, nass</t>
  </si>
  <si>
    <t>1389</t>
  </si>
  <si>
    <t>X423</t>
  </si>
  <si>
    <t>Alkalimetallamalgam</t>
  </si>
  <si>
    <t>1390</t>
  </si>
  <si>
    <t>Alkalimetallamide</t>
  </si>
  <si>
    <t>1391</t>
  </si>
  <si>
    <t>Alkalimetalldispersion oder Erdalkalimetalldispersion</t>
  </si>
  <si>
    <t>1392</t>
  </si>
  <si>
    <t>Erdalkalimetallamalgam, flüssig</t>
  </si>
  <si>
    <t>1393</t>
  </si>
  <si>
    <t>Erdalkalimetalllegierung</t>
  </si>
  <si>
    <t>1394</t>
  </si>
  <si>
    <t>Aluminiumcarbid</t>
  </si>
  <si>
    <t>1395</t>
  </si>
  <si>
    <t>462</t>
  </si>
  <si>
    <t>Aluminiumferrosiliciumpulver</t>
  </si>
  <si>
    <t>1396</t>
  </si>
  <si>
    <t>Aluminiumpulver, nicht überzogen</t>
  </si>
  <si>
    <t>1397</t>
  </si>
  <si>
    <t>Aluminiumphosphid</t>
  </si>
  <si>
    <t>1398</t>
  </si>
  <si>
    <t>Aluminiumsiliciumpulver, nicht überzogen</t>
  </si>
  <si>
    <t>1400</t>
  </si>
  <si>
    <t>Bariumazid, trocken oder angefeuchtet mit weniger als 50 Masse-% Wasser</t>
  </si>
  <si>
    <t>1401</t>
  </si>
  <si>
    <t>1402</t>
  </si>
  <si>
    <t>Calciumcarbid</t>
  </si>
  <si>
    <t>1403</t>
  </si>
  <si>
    <t>Calciumcyanamid mit mehr als 0,1 Masse-% Calciumcarbid</t>
  </si>
  <si>
    <t>1404</t>
  </si>
  <si>
    <t>Calciumhydrid</t>
  </si>
  <si>
    <t>1405</t>
  </si>
  <si>
    <t>Calciumsilicid</t>
  </si>
  <si>
    <t>1407</t>
  </si>
  <si>
    <t>Caesium</t>
  </si>
  <si>
    <t>1408</t>
  </si>
  <si>
    <t>Ferrosilicium mit mindestens 30 Masse-%, aber weniger als 90 Masse-% Silicium</t>
  </si>
  <si>
    <t>1409</t>
  </si>
  <si>
    <t>Metallhydride, mit Wasser reagierend</t>
  </si>
  <si>
    <t>1410</t>
  </si>
  <si>
    <t>Lithiumaluminiumhydrid</t>
  </si>
  <si>
    <t>1411</t>
  </si>
  <si>
    <t>X433</t>
  </si>
  <si>
    <t>Lithiumaluminiumhydrid in Ether</t>
  </si>
  <si>
    <t>1413</t>
  </si>
  <si>
    <t>Lithiumborhydrid</t>
  </si>
  <si>
    <t>1414</t>
  </si>
  <si>
    <t>Lithiumhydrid</t>
  </si>
  <si>
    <t>1415</t>
  </si>
  <si>
    <t>1417</t>
  </si>
  <si>
    <t>Lithiumsilicium</t>
  </si>
  <si>
    <t>1418</t>
  </si>
  <si>
    <t>Magnesiumpulver oder Magnesiumlegierungspulver</t>
  </si>
  <si>
    <t>1419</t>
  </si>
  <si>
    <t>Magnesiumaluminiumphosphid</t>
  </si>
  <si>
    <t>1420</t>
  </si>
  <si>
    <t>Kaliummetalllegierungen, flüssig</t>
  </si>
  <si>
    <t>1421</t>
  </si>
  <si>
    <t>Alkalimetalllegierung, flüssig</t>
  </si>
  <si>
    <t>1422</t>
  </si>
  <si>
    <t>Kalium-Natrium-Legierungen, flüssig</t>
  </si>
  <si>
    <t>1423</t>
  </si>
  <si>
    <t>Rubidium</t>
  </si>
  <si>
    <t>1426</t>
  </si>
  <si>
    <t>Natriumborhydrid</t>
  </si>
  <si>
    <t>1427</t>
  </si>
  <si>
    <t>Natriumhydrid</t>
  </si>
  <si>
    <t>1428</t>
  </si>
  <si>
    <t>Natrium</t>
  </si>
  <si>
    <t>1431</t>
  </si>
  <si>
    <t>48</t>
  </si>
  <si>
    <t>1432</t>
  </si>
  <si>
    <t>Natriumphosphid</t>
  </si>
  <si>
    <t>1433</t>
  </si>
  <si>
    <t>Zinnphosphide</t>
  </si>
  <si>
    <t>1435</t>
  </si>
  <si>
    <t>Zinkaschen</t>
  </si>
  <si>
    <t>1436</t>
  </si>
  <si>
    <t>Zinkpulver oder Zinkstaub</t>
  </si>
  <si>
    <t>1437</t>
  </si>
  <si>
    <t>Zirconiumhydrid</t>
  </si>
  <si>
    <t>1438</t>
  </si>
  <si>
    <t>50</t>
  </si>
  <si>
    <t>5,1</t>
  </si>
  <si>
    <t>Aluminiumnitrat</t>
  </si>
  <si>
    <t>1439</t>
  </si>
  <si>
    <t>Ammoniumdichromat</t>
  </si>
  <si>
    <t>1442</t>
  </si>
  <si>
    <t>1444</t>
  </si>
  <si>
    <t>Ammoniumpersulfat</t>
  </si>
  <si>
    <t>1445</t>
  </si>
  <si>
    <t>56</t>
  </si>
  <si>
    <t>Bariumchlorat, fest</t>
  </si>
  <si>
    <t>1446</t>
  </si>
  <si>
    <t>Bariumnitrat</t>
  </si>
  <si>
    <t>1447</t>
  </si>
  <si>
    <t>Bariumperchlorat, fest</t>
  </si>
  <si>
    <t>1448</t>
  </si>
  <si>
    <t>Bariumpermanganat</t>
  </si>
  <si>
    <t>1449</t>
  </si>
  <si>
    <t>Bariumperoxid</t>
  </si>
  <si>
    <t>1450</t>
  </si>
  <si>
    <t>Bromate, anorganisch</t>
  </si>
  <si>
    <t>1451</t>
  </si>
  <si>
    <t>Caesiumnitrat</t>
  </si>
  <si>
    <t>1452</t>
  </si>
  <si>
    <t>Calciumchlorat</t>
  </si>
  <si>
    <t>1453</t>
  </si>
  <si>
    <t>Calciumchlorit</t>
  </si>
  <si>
    <t>1454</t>
  </si>
  <si>
    <t>Calciumnitrat</t>
  </si>
  <si>
    <t>1455</t>
  </si>
  <si>
    <t>Calciumperchlorat</t>
  </si>
  <si>
    <t>1456</t>
  </si>
  <si>
    <t>Calciumpermanganat</t>
  </si>
  <si>
    <t>1457</t>
  </si>
  <si>
    <t>Calciumperoxid</t>
  </si>
  <si>
    <t>1458</t>
  </si>
  <si>
    <t>Borate und Chlorate, Mischung</t>
  </si>
  <si>
    <t>1459</t>
  </si>
  <si>
    <t>Chlorat und Magnesiumchlorid, Mischung, fest</t>
  </si>
  <si>
    <t>1461</t>
  </si>
  <si>
    <t>Chlorate, anorganisch</t>
  </si>
  <si>
    <t>1462</t>
  </si>
  <si>
    <t>Chlorite, anorganisch</t>
  </si>
  <si>
    <t>1463</t>
  </si>
  <si>
    <t>58</t>
  </si>
  <si>
    <t>Chromtrioxid, wasserfrei</t>
  </si>
  <si>
    <t>1465</t>
  </si>
  <si>
    <t>Didymiumnitrat</t>
  </si>
  <si>
    <t>1466</t>
  </si>
  <si>
    <t>Eisen(III)-nitrat</t>
  </si>
  <si>
    <t>1467</t>
  </si>
  <si>
    <t>Guanidinnitrat</t>
  </si>
  <si>
    <t>1469</t>
  </si>
  <si>
    <t>Bleinitrat</t>
  </si>
  <si>
    <t>1470</t>
  </si>
  <si>
    <t>Bleiperchlorat, fest</t>
  </si>
  <si>
    <t>1471</t>
  </si>
  <si>
    <t>Lithiumhypochlorit, trocken oder Mischung</t>
  </si>
  <si>
    <t>1472</t>
  </si>
  <si>
    <t>Lithiumperoxid</t>
  </si>
  <si>
    <t>1473</t>
  </si>
  <si>
    <t>Magnesiumbromat</t>
  </si>
  <si>
    <t>1474</t>
  </si>
  <si>
    <t>Magnesiumnitrat</t>
  </si>
  <si>
    <t>1475</t>
  </si>
  <si>
    <t>Magnesiumperchlorat</t>
  </si>
  <si>
    <t>1476</t>
  </si>
  <si>
    <t>Magnesiumperoxid</t>
  </si>
  <si>
    <t>1477</t>
  </si>
  <si>
    <t>Nitrate, anorganisch</t>
  </si>
  <si>
    <t>1479</t>
  </si>
  <si>
    <t>Entzündend (oxidierend) wirkender Stoff</t>
  </si>
  <si>
    <t>1481</t>
  </si>
  <si>
    <t>Perchlorate, anorganisch</t>
  </si>
  <si>
    <t>1482</t>
  </si>
  <si>
    <t>Permanganate, anorganisch</t>
  </si>
  <si>
    <t>1483</t>
  </si>
  <si>
    <t>Peroxide, anorganisch</t>
  </si>
  <si>
    <t>1484</t>
  </si>
  <si>
    <t>Kaliumbromat</t>
  </si>
  <si>
    <t>1485</t>
  </si>
  <si>
    <t>Kaliumchlorat</t>
  </si>
  <si>
    <t>1486</t>
  </si>
  <si>
    <t>Kaliumnitrat</t>
  </si>
  <si>
    <t>1487</t>
  </si>
  <si>
    <t>Kaliumnitrat und Natriumnitrit, Mischung</t>
  </si>
  <si>
    <t>1488</t>
  </si>
  <si>
    <t>Kaliumnitrit</t>
  </si>
  <si>
    <t>1489</t>
  </si>
  <si>
    <t>Kaliumperchlorat</t>
  </si>
  <si>
    <t>1490</t>
  </si>
  <si>
    <t>Kaliumpermanganat</t>
  </si>
  <si>
    <t>1491</t>
  </si>
  <si>
    <t>55</t>
  </si>
  <si>
    <t>Kaliumperoxid</t>
  </si>
  <si>
    <t>1492</t>
  </si>
  <si>
    <t>Kaliumpersulfat</t>
  </si>
  <si>
    <t>1493</t>
  </si>
  <si>
    <t>Silbernitrat</t>
  </si>
  <si>
    <t>1494</t>
  </si>
  <si>
    <t>Natriumbromat</t>
  </si>
  <si>
    <t>1495</t>
  </si>
  <si>
    <t>Natriumchlorat</t>
  </si>
  <si>
    <t>1496</t>
  </si>
  <si>
    <t>Natriumchlorit</t>
  </si>
  <si>
    <t>1498</t>
  </si>
  <si>
    <t>Natriumnitrat</t>
  </si>
  <si>
    <t>1499</t>
  </si>
  <si>
    <t>Natriumnitrat und Kaliumnitrat, Mischung</t>
  </si>
  <si>
    <t>1500</t>
  </si>
  <si>
    <t>Kaliumnitrat und Natriumnitrit, Mischung</t>
  </si>
  <si>
    <t>1502</t>
  </si>
  <si>
    <t>Natriumperchlorat</t>
  </si>
  <si>
    <t>1503</t>
  </si>
  <si>
    <t>Natriumpermanganat</t>
  </si>
  <si>
    <t>1504</t>
  </si>
  <si>
    <t>Natriumperoxid</t>
  </si>
  <si>
    <t>1505</t>
  </si>
  <si>
    <t>Natriumpersulfat</t>
  </si>
  <si>
    <t>1506</t>
  </si>
  <si>
    <t>Strontiumchlorat</t>
  </si>
  <si>
    <t>1507</t>
  </si>
  <si>
    <t>Strontiumnitrat</t>
  </si>
  <si>
    <t>1508</t>
  </si>
  <si>
    <t>Strontiumperchlorat</t>
  </si>
  <si>
    <t>1509</t>
  </si>
  <si>
    <t>Strontiumperoxid</t>
  </si>
  <si>
    <t>1510</t>
  </si>
  <si>
    <t>559</t>
  </si>
  <si>
    <t>Tetranitromethan</t>
  </si>
  <si>
    <t>1511</t>
  </si>
  <si>
    <t>Harnstoffwasserstoffperoxid</t>
  </si>
  <si>
    <t>1512</t>
  </si>
  <si>
    <t>Zinkammoniumnitrit</t>
  </si>
  <si>
    <t>1513</t>
  </si>
  <si>
    <t>Zinkchlorat</t>
  </si>
  <si>
    <t>1514</t>
  </si>
  <si>
    <t>Zinknitrat</t>
  </si>
  <si>
    <t>1515</t>
  </si>
  <si>
    <t>Zinkpermanganat</t>
  </si>
  <si>
    <t>1516</t>
  </si>
  <si>
    <t>Zinkperoxid</t>
  </si>
  <si>
    <t>1517</t>
  </si>
  <si>
    <t>Zirconiumpikramat, angefeuchtet mit mindestens 20 Masse-% Wasser</t>
  </si>
  <si>
    <t>1541</t>
  </si>
  <si>
    <t>669</t>
  </si>
  <si>
    <t>Acetoncyanhydrin, stabilisiert</t>
  </si>
  <si>
    <t>1544</t>
  </si>
  <si>
    <t>60 + 66</t>
  </si>
  <si>
    <t>Alkaloide, fest oder Alkaloidsalze, fest,</t>
  </si>
  <si>
    <t>1545</t>
  </si>
  <si>
    <t>Allylisothiocyanat, stabilisiert</t>
  </si>
  <si>
    <t>1546</t>
  </si>
  <si>
    <t>60</t>
  </si>
  <si>
    <t>Ammoniumarsenat</t>
  </si>
  <si>
    <t>1547</t>
  </si>
  <si>
    <t>1548</t>
  </si>
  <si>
    <t>Anilinhydrochlorid</t>
  </si>
  <si>
    <t>1549</t>
  </si>
  <si>
    <t>Anorganische Antimonverbindung, fest, N.A.G.</t>
  </si>
  <si>
    <t>1550</t>
  </si>
  <si>
    <t>Antimonlaktat</t>
  </si>
  <si>
    <t>1551</t>
  </si>
  <si>
    <t>Antimonylkaliumtartrat</t>
  </si>
  <si>
    <t>1553</t>
  </si>
  <si>
    <t>66</t>
  </si>
  <si>
    <t>Arsensäure, flüssig</t>
  </si>
  <si>
    <t>1554</t>
  </si>
  <si>
    <t>Arsensäure, fest</t>
  </si>
  <si>
    <t>1555</t>
  </si>
  <si>
    <t>Arsen(III)-bromid</t>
  </si>
  <si>
    <t>1556</t>
  </si>
  <si>
    <t>Arsenverbindung, flüssig, anorganisch einschließlich Arsenate, Arsenite und Arsensulfide</t>
  </si>
  <si>
    <t>1557</t>
  </si>
  <si>
    <t>Arsenverbindung, fest, anorganisch (einschließlich Arsenate, Arsenite und Arsensulfide)</t>
  </si>
  <si>
    <t>1558</t>
  </si>
  <si>
    <t>1559</t>
  </si>
  <si>
    <t>Arsenpentoxid</t>
  </si>
  <si>
    <t>1560</t>
  </si>
  <si>
    <t>Arsen(III)-chlorid</t>
  </si>
  <si>
    <t>1561</t>
  </si>
  <si>
    <t>Arsen(III)-oxid</t>
  </si>
  <si>
    <t>1562</t>
  </si>
  <si>
    <t>Arsenstaub</t>
  </si>
  <si>
    <t>1564</t>
  </si>
  <si>
    <t>Bariumverbindungen, N.A.G.</t>
  </si>
  <si>
    <t>1565</t>
  </si>
  <si>
    <t>Bariumcyanid</t>
  </si>
  <si>
    <t>1566</t>
  </si>
  <si>
    <t>Berylliumverbindungen, N.A.G.</t>
  </si>
  <si>
    <t>1567</t>
  </si>
  <si>
    <t>64</t>
  </si>
  <si>
    <t>Beryllium, Pulver</t>
  </si>
  <si>
    <t>1569</t>
  </si>
  <si>
    <t>Bromaceton</t>
  </si>
  <si>
    <t>1570</t>
  </si>
  <si>
    <t>Brucin</t>
  </si>
  <si>
    <t>1571</t>
  </si>
  <si>
    <t>Bariumazid, angefeuchtet mit mindestens 50 Masse-% Wasser</t>
  </si>
  <si>
    <t>1572</t>
  </si>
  <si>
    <t>Kakodylsäure</t>
  </si>
  <si>
    <t>1573</t>
  </si>
  <si>
    <t>1574</t>
  </si>
  <si>
    <t>Calciumarsenat und Calciumarsenit, Mischung, fest</t>
  </si>
  <si>
    <t>1575</t>
  </si>
  <si>
    <t>Calciumcyanid</t>
  </si>
  <si>
    <t>1577</t>
  </si>
  <si>
    <t>Chlordinitrobenzole, flüssig</t>
  </si>
  <si>
    <t>1578</t>
  </si>
  <si>
    <t>Chlornitrobenzole, fest</t>
  </si>
  <si>
    <t>1579</t>
  </si>
  <si>
    <t>4-Chlor-o-toluidinhydrochlorid, fest</t>
  </si>
  <si>
    <t>1580</t>
  </si>
  <si>
    <t>1581</t>
  </si>
  <si>
    <t>Chlorpikrin und Brommethan, Gemisch, mit mehr als 2 % Chlorpikrin</t>
  </si>
  <si>
    <t>1582</t>
  </si>
  <si>
    <t>Chlorpikrin und Methylchlorid, Gemisch</t>
  </si>
  <si>
    <t>1583</t>
  </si>
  <si>
    <t>Chlorpikrin, Mischung</t>
  </si>
  <si>
    <t>1585</t>
  </si>
  <si>
    <t>Kupferacetoarsenit</t>
  </si>
  <si>
    <t>1586</t>
  </si>
  <si>
    <t>Kupferarsenit</t>
  </si>
  <si>
    <t>1587</t>
  </si>
  <si>
    <t>Kupfercyanid</t>
  </si>
  <si>
    <t>1588</t>
  </si>
  <si>
    <t>Cyanide, anorganisch, fest</t>
  </si>
  <si>
    <t>1589</t>
  </si>
  <si>
    <t>Chlorcyan, stabilisiert</t>
  </si>
  <si>
    <t>1590</t>
  </si>
  <si>
    <t>Dichloraniline, flüssig</t>
  </si>
  <si>
    <t>1591</t>
  </si>
  <si>
    <t>o-Dichlorbenzen</t>
  </si>
  <si>
    <t>1593</t>
  </si>
  <si>
    <t>Dichlormethan</t>
  </si>
  <si>
    <t>1594</t>
  </si>
  <si>
    <t>Diethylsulfat</t>
  </si>
  <si>
    <t>1595</t>
  </si>
  <si>
    <t>668</t>
  </si>
  <si>
    <t>Dimethylsulfat</t>
  </si>
  <si>
    <t>1596</t>
  </si>
  <si>
    <t>Dinitroaniline</t>
  </si>
  <si>
    <t>1597</t>
  </si>
  <si>
    <t>Chlordinitrobenzene, flüssig</t>
  </si>
  <si>
    <t>1598</t>
  </si>
  <si>
    <t>Dinitro-o-cresol</t>
  </si>
  <si>
    <t>1599</t>
  </si>
  <si>
    <t>Dinitrophenol-Lösung</t>
  </si>
  <si>
    <t>1600</t>
  </si>
  <si>
    <t>Dinitrotoluole, geschmolzen</t>
  </si>
  <si>
    <t>1601</t>
  </si>
  <si>
    <t>Desinfektionsmittel, fest, giftig, N.A.G.</t>
  </si>
  <si>
    <t>1602</t>
  </si>
  <si>
    <t>Farbe, flüssig, giftig, N.A.G. oder Farbstoffzwischenprodukt, flüssig, giftig, N.A.G.</t>
  </si>
  <si>
    <t>1603</t>
  </si>
  <si>
    <t>Ethylbromacetat</t>
  </si>
  <si>
    <t>1604</t>
  </si>
  <si>
    <t>83</t>
  </si>
  <si>
    <t>Ethylendiamin</t>
  </si>
  <si>
    <t>1605</t>
  </si>
  <si>
    <t>Ethylendibromid</t>
  </si>
  <si>
    <t>1606</t>
  </si>
  <si>
    <t>Eisen(III)-arsenat</t>
  </si>
  <si>
    <t>1607</t>
  </si>
  <si>
    <t>Eisen(III)-arsenit</t>
  </si>
  <si>
    <t>1608</t>
  </si>
  <si>
    <t>Eisen(II)-arsenat</t>
  </si>
  <si>
    <t>1611</t>
  </si>
  <si>
    <t>Hexaethyltetraphosphat</t>
  </si>
  <si>
    <t>1612</t>
  </si>
  <si>
    <t>Hexaethyltetraphosphat und verdichtetes Gas, Gemisch</t>
  </si>
  <si>
    <t>1613</t>
  </si>
  <si>
    <t>Cyanwasserstoff, wässrige Lösung, mit höchstens 20 % Cyanwasserstoff</t>
  </si>
  <si>
    <t>1614</t>
  </si>
  <si>
    <t>Cyanwasserstoff, stabilisiert, mit weniger als 3 % Wasser und aufgesaugt durch eine inerte, poröse Masse</t>
  </si>
  <si>
    <t>1616</t>
  </si>
  <si>
    <t>Blei(II)-acetat (Bleiacetat)</t>
  </si>
  <si>
    <t>1617</t>
  </si>
  <si>
    <t>Bleiarsenate</t>
  </si>
  <si>
    <t>1618</t>
  </si>
  <si>
    <t>Bleiarsenite</t>
  </si>
  <si>
    <t>1620</t>
  </si>
  <si>
    <t>Bleicyanid</t>
  </si>
  <si>
    <t>1621</t>
  </si>
  <si>
    <t>London purple</t>
  </si>
  <si>
    <t>1622</t>
  </si>
  <si>
    <t>Magnesiumarsenat</t>
  </si>
  <si>
    <t>1623</t>
  </si>
  <si>
    <t>Quecksilber(II)-arsenat</t>
  </si>
  <si>
    <t>1624</t>
  </si>
  <si>
    <t>Quecksilber(II)-chlorid</t>
  </si>
  <si>
    <t>1625</t>
  </si>
  <si>
    <t>Quecksilber(II)-nitrat</t>
  </si>
  <si>
    <t>1626</t>
  </si>
  <si>
    <t>Kaliumquecksilber(II)-cyanid</t>
  </si>
  <si>
    <t>1627</t>
  </si>
  <si>
    <t>Quecksilber(I)-nitrat</t>
  </si>
  <si>
    <t>1629</t>
  </si>
  <si>
    <t>Quecksilberacetat</t>
  </si>
  <si>
    <t>1630</t>
  </si>
  <si>
    <t>Quecksilber(II)-ammoniumchlorid</t>
  </si>
  <si>
    <t>1631</t>
  </si>
  <si>
    <t>Quecksilber(II)-benzoat</t>
  </si>
  <si>
    <t>1634</t>
  </si>
  <si>
    <t>Quecksilberbromide</t>
  </si>
  <si>
    <t>1636</t>
  </si>
  <si>
    <t>Quecksilbercyanid</t>
  </si>
  <si>
    <t>1637</t>
  </si>
  <si>
    <t>Quecksilberglukonat</t>
  </si>
  <si>
    <t>1638</t>
  </si>
  <si>
    <t>Quecksilberiodid (Quecksilber(I)-iodid und Quecksilber(II)-iodid)</t>
  </si>
  <si>
    <t>1639</t>
  </si>
  <si>
    <t>Quecksilbernucleat</t>
  </si>
  <si>
    <t>1640</t>
  </si>
  <si>
    <t>Quecksilberoleat</t>
  </si>
  <si>
    <t>1641</t>
  </si>
  <si>
    <t>Quecksilber(II)-oxid</t>
  </si>
  <si>
    <t>1642</t>
  </si>
  <si>
    <t>Quecksilberoxycyanid, desensibilisiert</t>
  </si>
  <si>
    <t>1643</t>
  </si>
  <si>
    <t>Kaliumquecksilber(II)-iodid</t>
  </si>
  <si>
    <t>1644</t>
  </si>
  <si>
    <t>Quecksilbersalicylat</t>
  </si>
  <si>
    <t>1645</t>
  </si>
  <si>
    <t>Quecksilbersulfat</t>
  </si>
  <si>
    <t>1646</t>
  </si>
  <si>
    <t>Quecksilberthiocyanat</t>
  </si>
  <si>
    <t>1647</t>
  </si>
  <si>
    <t>Brommethan und Ethylendibromid, Mischung, flüssig</t>
  </si>
  <si>
    <t>1648</t>
  </si>
  <si>
    <t>Acetonitril</t>
  </si>
  <si>
    <t>1649</t>
  </si>
  <si>
    <t>Klopfschutzmittel für Motorkraftstoff</t>
  </si>
  <si>
    <t>1650</t>
  </si>
  <si>
    <t>beta-Naphthylamin, fest</t>
  </si>
  <si>
    <t>1651</t>
  </si>
  <si>
    <t>Naphthylthioharnstoff</t>
  </si>
  <si>
    <t>1652</t>
  </si>
  <si>
    <t>Naphthylharnstoff</t>
  </si>
  <si>
    <t>1653</t>
  </si>
  <si>
    <t>Nickelcyanid</t>
  </si>
  <si>
    <t>1654</t>
  </si>
  <si>
    <t>Nikotin</t>
  </si>
  <si>
    <t>1655</t>
  </si>
  <si>
    <t>Nikotinverbindung, fest oder Nikotinzubereitung, fest</t>
  </si>
  <si>
    <t>1656</t>
  </si>
  <si>
    <t>Nikotinhydrochlorid, flüssig oder Lösung</t>
  </si>
  <si>
    <t>1657</t>
  </si>
  <si>
    <t>Nikotinsalicylat</t>
  </si>
  <si>
    <t>1658</t>
  </si>
  <si>
    <t>Nikotinsulfat, Lösung</t>
  </si>
  <si>
    <t>1659</t>
  </si>
  <si>
    <t>Nikotintartrat</t>
  </si>
  <si>
    <t>1660</t>
  </si>
  <si>
    <t>Stickstoffmonoxid, verdichtet (Stickoxide, verdichtet)</t>
  </si>
  <si>
    <t>1661</t>
  </si>
  <si>
    <t>Nitroaniline (o-, m-, p-)</t>
  </si>
  <si>
    <t>1662</t>
  </si>
  <si>
    <t>1663</t>
  </si>
  <si>
    <t>Nitrophenole (o-, m-, p-)</t>
  </si>
  <si>
    <t>1664</t>
  </si>
  <si>
    <t>Nitrotoluole, flüssig</t>
  </si>
  <si>
    <t>1665</t>
  </si>
  <si>
    <t>Nitroxylene, flüssig</t>
  </si>
  <si>
    <t>1669</t>
  </si>
  <si>
    <t>Pentachlorethan</t>
  </si>
  <si>
    <t>1670</t>
  </si>
  <si>
    <t>Perchlormethylmercaptan</t>
  </si>
  <si>
    <t>1671</t>
  </si>
  <si>
    <t>Phenol, fest</t>
  </si>
  <si>
    <t>1672</t>
  </si>
  <si>
    <t>Phenylcarbylaminchlorid</t>
  </si>
  <si>
    <t>1673</t>
  </si>
  <si>
    <t>Phenylendiamine (o-, m-, p-)</t>
  </si>
  <si>
    <t>1674</t>
  </si>
  <si>
    <t>Phenylquecksilber(II)-acetat</t>
  </si>
  <si>
    <t>1677</t>
  </si>
  <si>
    <t>Kaliumarsenat</t>
  </si>
  <si>
    <t>1678</t>
  </si>
  <si>
    <t>Kaliumarsenit</t>
  </si>
  <si>
    <t>1679</t>
  </si>
  <si>
    <t>Kaliumkupfer(I)-cyanid</t>
  </si>
  <si>
    <t>1680</t>
  </si>
  <si>
    <t>Kaliumcyanid, fest</t>
  </si>
  <si>
    <t>1683</t>
  </si>
  <si>
    <t>Silberarsenit</t>
  </si>
  <si>
    <t>1684</t>
  </si>
  <si>
    <t>1685</t>
  </si>
  <si>
    <t>Natriumarsenat</t>
  </si>
  <si>
    <t>1686</t>
  </si>
  <si>
    <t>Natriumarsenit, wässrige Lösung</t>
  </si>
  <si>
    <t>1687</t>
  </si>
  <si>
    <t>Natriumazid</t>
  </si>
  <si>
    <t>1688</t>
  </si>
  <si>
    <t>Natriumkakodylat</t>
  </si>
  <si>
    <t>1689</t>
  </si>
  <si>
    <t>Natriumcyanid, fest</t>
  </si>
  <si>
    <t>1690</t>
  </si>
  <si>
    <t>Natriumfluorid, fest</t>
  </si>
  <si>
    <t>1691</t>
  </si>
  <si>
    <t>Strontiumarsenit</t>
  </si>
  <si>
    <t>1692</t>
  </si>
  <si>
    <t>Strychnin oder Strychninsalze</t>
  </si>
  <si>
    <t>1693</t>
  </si>
  <si>
    <t>Stoff zur Herstellung von Tränengasen, flüssig, N.A.G.</t>
  </si>
  <si>
    <t>1694</t>
  </si>
  <si>
    <t>Brombenzylcyanide, flüssig oder fest</t>
  </si>
  <si>
    <t>1695</t>
  </si>
  <si>
    <t>Chloraceton, stabilisiert</t>
  </si>
  <si>
    <t>1697</t>
  </si>
  <si>
    <t>Chloracetophenon, fest</t>
  </si>
  <si>
    <t>1698</t>
  </si>
  <si>
    <t>Diphenylaminochlorarsin</t>
  </si>
  <si>
    <t>1699</t>
  </si>
  <si>
    <t>Diphenylchlorarsin, flüssig</t>
  </si>
  <si>
    <t>1700</t>
  </si>
  <si>
    <t>Tränengas-Kerzen</t>
  </si>
  <si>
    <t>1701</t>
  </si>
  <si>
    <t>Xylylbromid, flüssig</t>
  </si>
  <si>
    <t>1702</t>
  </si>
  <si>
    <t>1,1,2,2-Tetrachlorethan</t>
  </si>
  <si>
    <t>1704</t>
  </si>
  <si>
    <t>Tetraethyldithiopyrophosphat</t>
  </si>
  <si>
    <t>1707</t>
  </si>
  <si>
    <t>Thalliumverbindung, N.A.G.</t>
  </si>
  <si>
    <t>1708</t>
  </si>
  <si>
    <t>Toluidine, flüssig</t>
  </si>
  <si>
    <t>1709</t>
  </si>
  <si>
    <t>2,4-Toluylendiamin, fest</t>
  </si>
  <si>
    <t>1710</t>
  </si>
  <si>
    <t>Trichlorethylen</t>
  </si>
  <si>
    <t>1711</t>
  </si>
  <si>
    <t>Xylidine, flüssig</t>
  </si>
  <si>
    <t>1712</t>
  </si>
  <si>
    <t>Zinkarsenat oder Zinkarsenit oder Zinkarsenat und Zinkarsenit, Mischung</t>
  </si>
  <si>
    <t>1713</t>
  </si>
  <si>
    <t>Zinkcyanid</t>
  </si>
  <si>
    <t>1714</t>
  </si>
  <si>
    <t>Zinkphosphid</t>
  </si>
  <si>
    <t>1715</t>
  </si>
  <si>
    <t>Essigsäureanhydrid</t>
  </si>
  <si>
    <t>1716</t>
  </si>
  <si>
    <t>80</t>
  </si>
  <si>
    <t>Acetylbromid</t>
  </si>
  <si>
    <t>1717</t>
  </si>
  <si>
    <t>Acetylchlorid</t>
  </si>
  <si>
    <t>1718</t>
  </si>
  <si>
    <t>Butylphosphat</t>
  </si>
  <si>
    <t>1719</t>
  </si>
  <si>
    <t>Ätzender, alkalischer, flüssiger Stoff, N.A.G.</t>
  </si>
  <si>
    <t>1722</t>
  </si>
  <si>
    <t>Allylchlorformiat</t>
  </si>
  <si>
    <t>1723</t>
  </si>
  <si>
    <t>Allyliodid</t>
  </si>
  <si>
    <t>1724</t>
  </si>
  <si>
    <t>X839</t>
  </si>
  <si>
    <t>Allyltrichlorsilan, stabilisiert</t>
  </si>
  <si>
    <t>1725</t>
  </si>
  <si>
    <t>Aluminiumbromid, wasserfrei</t>
  </si>
  <si>
    <t>1726</t>
  </si>
  <si>
    <t>Aluminiumchlorid, wasserfrei</t>
  </si>
  <si>
    <t>1727</t>
  </si>
  <si>
    <t>Ammoniumhydrogendifluorid, fest</t>
  </si>
  <si>
    <t>1728</t>
  </si>
  <si>
    <t>X80</t>
  </si>
  <si>
    <t>Amyltrichlorsilan</t>
  </si>
  <si>
    <t>1729</t>
  </si>
  <si>
    <t>Anisoylchlorid</t>
  </si>
  <si>
    <t>1730</t>
  </si>
  <si>
    <t>Antimonpentachlorid, flüssig</t>
  </si>
  <si>
    <t>1731</t>
  </si>
  <si>
    <t>Antimonpentachlorid, Lösung</t>
  </si>
  <si>
    <t>1732</t>
  </si>
  <si>
    <t>86</t>
  </si>
  <si>
    <t>Antimon(V)-fluorid</t>
  </si>
  <si>
    <t>1733</t>
  </si>
  <si>
    <t>Antimontrichlorid</t>
  </si>
  <si>
    <t>1736</t>
  </si>
  <si>
    <t>Benzoylchlorid</t>
  </si>
  <si>
    <t>1737</t>
  </si>
  <si>
    <t>68</t>
  </si>
  <si>
    <t>Benzylbromid</t>
  </si>
  <si>
    <t>1738</t>
  </si>
  <si>
    <t>Benzylchlorid</t>
  </si>
  <si>
    <t>1739</t>
  </si>
  <si>
    <t>88</t>
  </si>
  <si>
    <t>Benzylchlorformiat</t>
  </si>
  <si>
    <t>1740</t>
  </si>
  <si>
    <t>Hydrogendifluoride, fest, N.A.G.</t>
  </si>
  <si>
    <t>1741</t>
  </si>
  <si>
    <t>Bortrichlorid</t>
  </si>
  <si>
    <t>1742</t>
  </si>
  <si>
    <t>Bortrifluorid-Essigsäure-Komplex, flüssig</t>
  </si>
  <si>
    <t>1743</t>
  </si>
  <si>
    <t>Bortrifluorid-Propionsäure-Komplex, flüssig</t>
  </si>
  <si>
    <t>1744</t>
  </si>
  <si>
    <t>Brom oder Brom, Lösung</t>
  </si>
  <si>
    <t>1745</t>
  </si>
  <si>
    <t>568</t>
  </si>
  <si>
    <t>Brompentafluorid</t>
  </si>
  <si>
    <t>1746</t>
  </si>
  <si>
    <t>Bromtrifluorid</t>
  </si>
  <si>
    <t>1747</t>
  </si>
  <si>
    <t>X83</t>
  </si>
  <si>
    <t>Butyltrichlorsilan</t>
  </si>
  <si>
    <t>1748</t>
  </si>
  <si>
    <t>Calciumhypochlorit, trocken oder Calciumhypochlorit, Mischung, trocken, mit mehr als 39 % aktivem Chlor sowie 8,8 % aktivem Sauerstoff</t>
  </si>
  <si>
    <t>1749</t>
  </si>
  <si>
    <t>Chlortrifluorid</t>
  </si>
  <si>
    <t>1750</t>
  </si>
  <si>
    <t>Chloressigsäure, Lösung</t>
  </si>
  <si>
    <t>1751</t>
  </si>
  <si>
    <t>Chloressigsäure, fest</t>
  </si>
  <si>
    <t>1752</t>
  </si>
  <si>
    <t>Chloracetylchlorid</t>
  </si>
  <si>
    <t>1753</t>
  </si>
  <si>
    <t>Chlorphenyltrichlorsilan</t>
  </si>
  <si>
    <t>1754</t>
  </si>
  <si>
    <t>Chlorsulfonsäure mit oder ohne Schwefeltrioxid</t>
  </si>
  <si>
    <t>1755</t>
  </si>
  <si>
    <t>Chromsäure, Lösung</t>
  </si>
  <si>
    <t>1756</t>
  </si>
  <si>
    <t>Chromfluorid, fest (CrF2, CrF3, CrF4 und CrF5)</t>
  </si>
  <si>
    <t>1757</t>
  </si>
  <si>
    <t>Chromfluorid, Lösung (CrF2, CrF3, CrF4 und CrF5)</t>
  </si>
  <si>
    <t>1758</t>
  </si>
  <si>
    <t>X88</t>
  </si>
  <si>
    <t>Chromoxychlorid</t>
  </si>
  <si>
    <t>1759</t>
  </si>
  <si>
    <t>80 + 88</t>
  </si>
  <si>
    <t>Ätzender, fester Stoff, N.A.G.</t>
  </si>
  <si>
    <t>1760</t>
  </si>
  <si>
    <t>Ätzender, flüssiger Stoff, N.A.G.</t>
  </si>
  <si>
    <t>1761</t>
  </si>
  <si>
    <t>Kupferethylendiamin, Lösung</t>
  </si>
  <si>
    <t>1762</t>
  </si>
  <si>
    <t>Cyclohexenyltrichlorsilan</t>
  </si>
  <si>
    <t>1763</t>
  </si>
  <si>
    <t>Cyclohexyltrichlorsilan</t>
  </si>
  <si>
    <t>1764</t>
  </si>
  <si>
    <t>Dichloressigsäure</t>
  </si>
  <si>
    <t>1765</t>
  </si>
  <si>
    <t>Dichloracetylchlorid</t>
  </si>
  <si>
    <t>1766</t>
  </si>
  <si>
    <t>Dichlorphenyltrichlorsilan</t>
  </si>
  <si>
    <t>1767</t>
  </si>
  <si>
    <t>Diethyldichlorsilan</t>
  </si>
  <si>
    <t>1768</t>
  </si>
  <si>
    <t>Difluorphosphorsäure, wasserfrei</t>
  </si>
  <si>
    <t>1769</t>
  </si>
  <si>
    <t>Diphenyldichlorsilan</t>
  </si>
  <si>
    <t>1770</t>
  </si>
  <si>
    <t>Diphenylbrommethan</t>
  </si>
  <si>
    <t>1771</t>
  </si>
  <si>
    <t>Dodecyltrichlorsilan</t>
  </si>
  <si>
    <t>1773</t>
  </si>
  <si>
    <t>Eisenchlorid, wasserfrei (Eisen(II)-chlorid und Eisen(III)-chlorid)</t>
  </si>
  <si>
    <t>1774</t>
  </si>
  <si>
    <t>Feuerlöscherladungen, ätzender flüssiger Stoff</t>
  </si>
  <si>
    <t>1775</t>
  </si>
  <si>
    <t>Fluorborsäure</t>
  </si>
  <si>
    <t>1776</t>
  </si>
  <si>
    <t>Fluorphosphorsäure, wasserfrei</t>
  </si>
  <si>
    <t>1777</t>
  </si>
  <si>
    <t>Fluorsulfonsäure</t>
  </si>
  <si>
    <t>1778</t>
  </si>
  <si>
    <t>Fluorkieselsäure</t>
  </si>
  <si>
    <t>1779</t>
  </si>
  <si>
    <t>Ameisensäure, mit mehr als 85 Masse-% Säure</t>
  </si>
  <si>
    <t>1780</t>
  </si>
  <si>
    <t>Fumarylchlorid</t>
  </si>
  <si>
    <t>1781</t>
  </si>
  <si>
    <t>Hexadecyltrichlorsilan</t>
  </si>
  <si>
    <t>1782</t>
  </si>
  <si>
    <t>Hexafluorphosphorsäure</t>
  </si>
  <si>
    <t>1783</t>
  </si>
  <si>
    <t>Hexamethylendiamin, Lösung</t>
  </si>
  <si>
    <t>1784</t>
  </si>
  <si>
    <t>1786</t>
  </si>
  <si>
    <t>Fluorwasserstoffsäure und Schwefelsäure, Mischung</t>
  </si>
  <si>
    <t>1787</t>
  </si>
  <si>
    <t>Iodwasserstoffsäure</t>
  </si>
  <si>
    <t>1788</t>
  </si>
  <si>
    <t>Bromwasserstoffsäure</t>
  </si>
  <si>
    <t>1789</t>
  </si>
  <si>
    <t>1790</t>
  </si>
  <si>
    <t>Fluorwasserstoffsäure mit mehr als 85 % Fluorwasserstoff</t>
  </si>
  <si>
    <t>Fluorwasserstoffsäure mit mehr als 60 % Fluorwasserstoff, aber höchstens 85 % Fluorwasserstoff</t>
  </si>
  <si>
    <t>Fluorwasserstoffsäure mit höchstens 60 % Fluorwasserstoff</t>
  </si>
  <si>
    <t>1791</t>
  </si>
  <si>
    <t>Hypochloritlösung</t>
  </si>
  <si>
    <t>1792</t>
  </si>
  <si>
    <t>Iodmonochlorid, fest</t>
  </si>
  <si>
    <t>1793</t>
  </si>
  <si>
    <t>Isopropylphosphat</t>
  </si>
  <si>
    <t>1794</t>
  </si>
  <si>
    <t>Blei(II)-sulfat mit mehr als 3 % freier Säure</t>
  </si>
  <si>
    <t>1796</t>
  </si>
  <si>
    <t>885</t>
  </si>
  <si>
    <t>Nitriersäuremischung mit mehr als 50 % Salpetersäure</t>
  </si>
  <si>
    <t>Nitriersäuremischung mit höchstens 50 % Salpetersäure</t>
  </si>
  <si>
    <t>1798</t>
  </si>
  <si>
    <t>Gemische aus Salpetersäure und Salzsäure, Beförderung verboten</t>
  </si>
  <si>
    <t>1799</t>
  </si>
  <si>
    <t>Nonyltrichlorsilan</t>
  </si>
  <si>
    <t>1800</t>
  </si>
  <si>
    <t>Octadecyltrichlorsilan</t>
  </si>
  <si>
    <t>1801</t>
  </si>
  <si>
    <t>Octyltrichlorsilan</t>
  </si>
  <si>
    <t>1802</t>
  </si>
  <si>
    <t>85</t>
  </si>
  <si>
    <t>Perchlorsäure mit höchstens 50 Masse-% Säure</t>
  </si>
  <si>
    <t>1803</t>
  </si>
  <si>
    <t>Phenolsulfonsäure, flüssig</t>
  </si>
  <si>
    <t>1804</t>
  </si>
  <si>
    <t>1805</t>
  </si>
  <si>
    <t>Phosphorsäure, Lösung</t>
  </si>
  <si>
    <t>1806</t>
  </si>
  <si>
    <t>Phosphorpentachlorid</t>
  </si>
  <si>
    <t>1807</t>
  </si>
  <si>
    <t>Phosphorpentoxid</t>
  </si>
  <si>
    <t>1808</t>
  </si>
  <si>
    <t>Phosphortribromid</t>
  </si>
  <si>
    <t>1809</t>
  </si>
  <si>
    <t>Phosphortrichlorid</t>
  </si>
  <si>
    <t>1810</t>
  </si>
  <si>
    <t>X668</t>
  </si>
  <si>
    <t>Phosphoroxychlorid</t>
  </si>
  <si>
    <t>1811</t>
  </si>
  <si>
    <t>Kaliumhydrogendifluorid, fest</t>
  </si>
  <si>
    <t>1812</t>
  </si>
  <si>
    <t>Kaliumfluorid, fest</t>
  </si>
  <si>
    <t>1813</t>
  </si>
  <si>
    <t>Kaliumhydroxid, fest</t>
  </si>
  <si>
    <t>1814</t>
  </si>
  <si>
    <t>Kaliumhydroxidlösungen (Kalilaugen)</t>
  </si>
  <si>
    <t>1815</t>
  </si>
  <si>
    <t>Propionylchlorid</t>
  </si>
  <si>
    <t>1816</t>
  </si>
  <si>
    <t>Propyltrichlorsilan</t>
  </si>
  <si>
    <t>1817</t>
  </si>
  <si>
    <t>Pyrosulfurylchlorid</t>
  </si>
  <si>
    <t>1818</t>
  </si>
  <si>
    <t>Siliciumtetrachlorid</t>
  </si>
  <si>
    <t>1819</t>
  </si>
  <si>
    <t>Natriumaluminatlösung</t>
  </si>
  <si>
    <t>1823</t>
  </si>
  <si>
    <t>Natriumhydroxid, fest</t>
  </si>
  <si>
    <t>1824</t>
  </si>
  <si>
    <t>Natriumhydroxidlösungen (Natronlaugen)</t>
  </si>
  <si>
    <t>1825</t>
  </si>
  <si>
    <t>Natriummonoxid</t>
  </si>
  <si>
    <t>1826</t>
  </si>
  <si>
    <t>Abfall-Nitriersäuremischung mit mehr als 50 % Salpetersäure</t>
  </si>
  <si>
    <t>Abfall-Nitriersäuremischung mit höchstens 50 % Salpetersäure</t>
  </si>
  <si>
    <t>1827</t>
  </si>
  <si>
    <t>Zinntetrachlorid, wasserfrei</t>
  </si>
  <si>
    <t>1828</t>
  </si>
  <si>
    <t>Schwefelchloride (Schwefel(I)-chlorid, Schwefeldichlorid und Schwefeltetrachlorid)</t>
  </si>
  <si>
    <t>1829</t>
  </si>
  <si>
    <t>Schwefeltrioxid, stabilisiert</t>
  </si>
  <si>
    <t>1830</t>
  </si>
  <si>
    <t>Schwefelsäure mit mehr als 51 % Säure</t>
  </si>
  <si>
    <t>1831</t>
  </si>
  <si>
    <t>X886</t>
  </si>
  <si>
    <t>Schwefelsäure, rauchend (Oleum)</t>
  </si>
  <si>
    <t>1832</t>
  </si>
  <si>
    <t>Schwefelsäure, gebraucht</t>
  </si>
  <si>
    <t>1833</t>
  </si>
  <si>
    <t>Schweflige Säure</t>
  </si>
  <si>
    <t>1834</t>
  </si>
  <si>
    <t>1835</t>
  </si>
  <si>
    <t>Tetramethylammoniumhydroxid, Lösung</t>
  </si>
  <si>
    <t>1836</t>
  </si>
  <si>
    <t>Thionylchlorid</t>
  </si>
  <si>
    <t>1837</t>
  </si>
  <si>
    <t>Thiophosphorylchlorid</t>
  </si>
  <si>
    <t>1838</t>
  </si>
  <si>
    <t>Titantetrachlorid</t>
  </si>
  <si>
    <t>1839</t>
  </si>
  <si>
    <t>Trichloressigsäure</t>
  </si>
  <si>
    <t>1840</t>
  </si>
  <si>
    <t>Zinkchlorid, Lösung</t>
  </si>
  <si>
    <t>1841</t>
  </si>
  <si>
    <t>90</t>
  </si>
  <si>
    <t>Acetaldehydammoniak</t>
  </si>
  <si>
    <t>1843</t>
  </si>
  <si>
    <t>Ammoniumdinitro-o-kresolat</t>
  </si>
  <si>
    <t>1845</t>
  </si>
  <si>
    <t>Kohlenstoffdioxid, fest (Trockeneis) [unterliegt nicht den Vorschriften des ADR]</t>
  </si>
  <si>
    <t>1846</t>
  </si>
  <si>
    <t>Tetrachlormethan (Tetrachlorkohlenstoff)</t>
  </si>
  <si>
    <t>1847</t>
  </si>
  <si>
    <t>Kaliumsulfid, hydratisiert, mit mindestens 30 % Kristallwasser</t>
  </si>
  <si>
    <t>1848</t>
  </si>
  <si>
    <t>Propionsäure, mit mindestens 10 % und weniger als 90 Masse-% Säure</t>
  </si>
  <si>
    <t>1849</t>
  </si>
  <si>
    <t>Natriumsulfid mit mindestens 30 % Kristallwasser</t>
  </si>
  <si>
    <t>1851</t>
  </si>
  <si>
    <t>Medikament, flüssig, giftig, N.A.G.</t>
  </si>
  <si>
    <t>1854</t>
  </si>
  <si>
    <t>Bariumlegierungen, pyrophor</t>
  </si>
  <si>
    <t>1855</t>
  </si>
  <si>
    <t>Calcium, pyrophor oder Calciumlegierungen, pyrophor</t>
  </si>
  <si>
    <t>1856</t>
  </si>
  <si>
    <t>Lappen, ölhaltig</t>
  </si>
  <si>
    <t>1857</t>
  </si>
  <si>
    <t>Textilabfälle, nass</t>
  </si>
  <si>
    <t>1858</t>
  </si>
  <si>
    <t>Hexafluorpropylen (Gas als Kältemittel R 1216)</t>
  </si>
  <si>
    <t>1859</t>
  </si>
  <si>
    <t>Siliciumtetrafluorid, verdichtet</t>
  </si>
  <si>
    <t>1860</t>
  </si>
  <si>
    <t>Vinylfluorid, stabilisiert</t>
  </si>
  <si>
    <t>1862</t>
  </si>
  <si>
    <t>Ethylcrotonat</t>
  </si>
  <si>
    <t>1863</t>
  </si>
  <si>
    <t>Düsenkraftstoff, Dampfdruck bei 50 °C größer als 110 kPa</t>
  </si>
  <si>
    <t>1865</t>
  </si>
  <si>
    <t>n-Propylnitrat</t>
  </si>
  <si>
    <t>1866</t>
  </si>
  <si>
    <t>Harzlösung, entzündbar</t>
  </si>
  <si>
    <t>1868</t>
  </si>
  <si>
    <t>Decaboran</t>
  </si>
  <si>
    <t>1869</t>
  </si>
  <si>
    <t>Magnesium oder Magnesiumlegierungen, mit mehr als 50 % Magnesium, in Pellets, Spänen, Bändern</t>
  </si>
  <si>
    <t>1870</t>
  </si>
  <si>
    <t>Kaliumborhydrid</t>
  </si>
  <si>
    <t>1871</t>
  </si>
  <si>
    <t>Titanhydrid</t>
  </si>
  <si>
    <t>1872</t>
  </si>
  <si>
    <t>Bleidioxid</t>
  </si>
  <si>
    <t>1873</t>
  </si>
  <si>
    <t>558</t>
  </si>
  <si>
    <t>Perchlorsäure, mit mehr als 50 Masse-%, aber höchstens 72 Masse-% Säure</t>
  </si>
  <si>
    <t>1884</t>
  </si>
  <si>
    <t>Bariumoxid</t>
  </si>
  <si>
    <t>1885</t>
  </si>
  <si>
    <t>Benzidin</t>
  </si>
  <si>
    <t>1886</t>
  </si>
  <si>
    <t>Benzylidenchlorid</t>
  </si>
  <si>
    <t>1887</t>
  </si>
  <si>
    <t>Bromchlormethan</t>
  </si>
  <si>
    <t>1888</t>
  </si>
  <si>
    <t>Trichlormethan (Chloroform)</t>
  </si>
  <si>
    <t>1889</t>
  </si>
  <si>
    <t>Bromcyan</t>
  </si>
  <si>
    <t>1891</t>
  </si>
  <si>
    <t>Methylbromid, mit höchstens 2 % Chlorpikrin</t>
  </si>
  <si>
    <t>1892</t>
  </si>
  <si>
    <t>Ethyldichlorarsin</t>
  </si>
  <si>
    <t>1894</t>
  </si>
  <si>
    <t>Phenylquecksilber(II)-hydroxid</t>
  </si>
  <si>
    <t>1895</t>
  </si>
  <si>
    <t>Phenylquecksilber(II)-nitrat</t>
  </si>
  <si>
    <t>1897</t>
  </si>
  <si>
    <t>Tetrachlorethen (Perchlorethylen)</t>
  </si>
  <si>
    <t>1898</t>
  </si>
  <si>
    <t>Acetyliodid</t>
  </si>
  <si>
    <t>1902</t>
  </si>
  <si>
    <t>Diisooctylphosphat</t>
  </si>
  <si>
    <t>1903</t>
  </si>
  <si>
    <t>Desinfektionsmittel, flüssig, ätzend, N.A.G.</t>
  </si>
  <si>
    <t>1905</t>
  </si>
  <si>
    <t>Selensäure</t>
  </si>
  <si>
    <t>1906</t>
  </si>
  <si>
    <t>Abfallschwefelsäure</t>
  </si>
  <si>
    <t>1907</t>
  </si>
  <si>
    <t>Natronkalk mit mehr als 4 % Natriumhydroxid</t>
  </si>
  <si>
    <t>1908</t>
  </si>
  <si>
    <t>Chloritlösungen</t>
  </si>
  <si>
    <t>1910</t>
  </si>
  <si>
    <t>Calciumoxid (unterliegt nicht den Vorschriften des ADR)</t>
  </si>
  <si>
    <t>1911</t>
  </si>
  <si>
    <t>Diboran, verdichtet</t>
  </si>
  <si>
    <t>1912</t>
  </si>
  <si>
    <t>Methylchlorid und Dichlormethan, Gemisch</t>
  </si>
  <si>
    <t>1913</t>
  </si>
  <si>
    <t>22</t>
  </si>
  <si>
    <t>Neon, tiefgekühlt, flüssig</t>
  </si>
  <si>
    <t>1914</t>
  </si>
  <si>
    <t>Butylpropionate</t>
  </si>
  <si>
    <t>1915</t>
  </si>
  <si>
    <t>Cyclohexanon</t>
  </si>
  <si>
    <t>1916</t>
  </si>
  <si>
    <t>2,2′-Dichlordiethylether</t>
  </si>
  <si>
    <t>1917</t>
  </si>
  <si>
    <t>Ethylacrylat, stabilisiert</t>
  </si>
  <si>
    <t>1918</t>
  </si>
  <si>
    <t>Isopropylbenzen</t>
  </si>
  <si>
    <t>1919</t>
  </si>
  <si>
    <t>Methylacrylat, stabilisiert</t>
  </si>
  <si>
    <t>1920</t>
  </si>
  <si>
    <t>Nonane</t>
  </si>
  <si>
    <t>1921</t>
  </si>
  <si>
    <t>Propylenimin, stabilisiert</t>
  </si>
  <si>
    <t>1922</t>
  </si>
  <si>
    <t>Pyrrolidin</t>
  </si>
  <si>
    <t>1923</t>
  </si>
  <si>
    <t>Calciumdithionit (Calciumhydrosulfit)</t>
  </si>
  <si>
    <t>1928</t>
  </si>
  <si>
    <t>X323</t>
  </si>
  <si>
    <t>Methylmagnesiumbromid in Diethylether</t>
  </si>
  <si>
    <t>1929</t>
  </si>
  <si>
    <t>Kaliumdithionit (Kaliumhydrosulfit)</t>
  </si>
  <si>
    <t>1931</t>
  </si>
  <si>
    <t>Zinkdithionit</t>
  </si>
  <si>
    <t>1932</t>
  </si>
  <si>
    <t>Zirconiumabfall</t>
  </si>
  <si>
    <t>1935</t>
  </si>
  <si>
    <t>Cyanid, Lösung, N.A.G.</t>
  </si>
  <si>
    <t>1938</t>
  </si>
  <si>
    <t>Bromessigsäure, Lösung</t>
  </si>
  <si>
    <t>1939</t>
  </si>
  <si>
    <t>Phosphoroxybromid</t>
  </si>
  <si>
    <t>1940</t>
  </si>
  <si>
    <t>Thioglycolsäure</t>
  </si>
  <si>
    <t>1941</t>
  </si>
  <si>
    <t>Dibromdifluormethan</t>
  </si>
  <si>
    <t>1942</t>
  </si>
  <si>
    <t>Ammoniumnitrat, mit höchstens 0,2 % brennbaren Stoffen (einschließlich organischer Stoffe als Kohlenstoff-Äquivalent) und frei von sonstigen zugesetzten Stoffen</t>
  </si>
  <si>
    <t>1944</t>
  </si>
  <si>
    <t>Sicherheitszündhölzer (Heftchen, Briefchen oder Schachteln)</t>
  </si>
  <si>
    <t>1945</t>
  </si>
  <si>
    <t>Wachszündhölzer</t>
  </si>
  <si>
    <t>1950</t>
  </si>
  <si>
    <t>28</t>
  </si>
  <si>
    <t>Druckgaspackungen; ätzend</t>
  </si>
  <si>
    <t>285</t>
  </si>
  <si>
    <t>Druckgaspackungen; ätzend, oxidierend</t>
  </si>
  <si>
    <t>Druckgaspackungen; entzündbar</t>
  </si>
  <si>
    <t>238</t>
  </si>
  <si>
    <t>Druckgaspackungen; entzündbar, ätzend</t>
  </si>
  <si>
    <t>Druckgaspackungen; erstickend</t>
  </si>
  <si>
    <t>Druckgaspackungen; giftig</t>
  </si>
  <si>
    <t>Druckgaspackungen; giftig, ätzend</t>
  </si>
  <si>
    <t>Druckgaspackungen; giftig, entzündbar</t>
  </si>
  <si>
    <t>Druckgaspackungen; giftig, entzündbar, ätzend</t>
  </si>
  <si>
    <t>Druckgaspackungen; giftig, oxidierend</t>
  </si>
  <si>
    <t>Druckgaspackungen; giftig, oxidierend, ätzend</t>
  </si>
  <si>
    <t>Druckgaspackungen; oxidierend</t>
  </si>
  <si>
    <t>1951</t>
  </si>
  <si>
    <t>Argon, tiefgekühlt, flüssig</t>
  </si>
  <si>
    <t>1952</t>
  </si>
  <si>
    <t>Ethylenoxid und Kohlenstoffdioxid, Gemisch mit höchstens 9 % Ethylenoxid</t>
  </si>
  <si>
    <t>1953</t>
  </si>
  <si>
    <t>Verdichtetes Gas, giftig, entzündbar, N.A.G.</t>
  </si>
  <si>
    <t>1954</t>
  </si>
  <si>
    <t>Verdichtetes Gas, entzündbar, N.A.G.</t>
  </si>
  <si>
    <t>1955</t>
  </si>
  <si>
    <t>Verdichtetes Gas, giftig, N.A.G.</t>
  </si>
  <si>
    <t>1956</t>
  </si>
  <si>
    <t>Verdichtetes Gas, N.A.G.</t>
  </si>
  <si>
    <t>1957</t>
  </si>
  <si>
    <t>Deuterium, verdichtet</t>
  </si>
  <si>
    <t>1958</t>
  </si>
  <si>
    <t>1,2-Dichlor-1,1,2,2-tetrafluorethan (Gas als Kältemittel R 114)</t>
  </si>
  <si>
    <t>1959</t>
  </si>
  <si>
    <t>1,1-Difluorethylen (Gas als Kältemittel R 1132a)</t>
  </si>
  <si>
    <t>1961</t>
  </si>
  <si>
    <t>Ethan, tiefgekühlt, flüssig</t>
  </si>
  <si>
    <t>1962</t>
  </si>
  <si>
    <t>Ethen (Ethylen)</t>
  </si>
  <si>
    <t>1963</t>
  </si>
  <si>
    <t>Helium, tiefgekühlt, flüssig</t>
  </si>
  <si>
    <t>1964</t>
  </si>
  <si>
    <t>Kohlenwasserstoffgas, Gemisch, verdichtet, N.A.G.</t>
  </si>
  <si>
    <t>1965</t>
  </si>
  <si>
    <t>Kohlenwasserstoffgas, Gemische, verflüssigt, N.A.G. (Gemisch A, A 01, A 02, A 0, A 1, B 1, B 2, B oder C)</t>
  </si>
  <si>
    <t>1966</t>
  </si>
  <si>
    <t>Wasserstoff, tiefgekühlt, flüssig</t>
  </si>
  <si>
    <t>1967</t>
  </si>
  <si>
    <t>Insektenbekämpfungsmittel, gasförmig, giftig, N.A.G.</t>
  </si>
  <si>
    <t>1968</t>
  </si>
  <si>
    <t>Insektenbekämpfungsmittel, gasförmig, N.A.G.</t>
  </si>
  <si>
    <t>1969</t>
  </si>
  <si>
    <t>Isobutan</t>
  </si>
  <si>
    <t>1970</t>
  </si>
  <si>
    <t>Krypton, tiefgekühlt, flüssig</t>
  </si>
  <si>
    <t>1971</t>
  </si>
  <si>
    <t>Methan, verdichtet oder Erdgas, verdichtet, mit hohem Methangehalt</t>
  </si>
  <si>
    <t>1972</t>
  </si>
  <si>
    <t>Methan, tiefgekühlt, flüssig oder Erdgas, tiefgekühlt, flüssig, mit hohem Methangehalt, LNG (Liquefied Natural Gas)</t>
  </si>
  <si>
    <t>1973</t>
  </si>
  <si>
    <t>Chlordifluormethan und Chlorpentafluorethan, Gemisch mit einem konstanten Siedepunkt mit rund 49 % Chlordifluormethan (Gas als Kältemittel R 502)</t>
  </si>
  <si>
    <t>1974</t>
  </si>
  <si>
    <t>Bromchlordifluormethan (Gas als Kältemittel R 12B1)</t>
  </si>
  <si>
    <t>1975</t>
  </si>
  <si>
    <t>Stickstoffmonoxid und Distickstofftetroxid Gemisch (Stickstoffmonoxid und Stickstoffdioxid Gemisch)</t>
  </si>
  <si>
    <t>1976</t>
  </si>
  <si>
    <t>Octafluorcyclobutan (Gas als Kältemittel RC 318)</t>
  </si>
  <si>
    <t>1977</t>
  </si>
  <si>
    <t>Stickstoff, tiefgekühlt, flüssig</t>
  </si>
  <si>
    <t>1978</t>
  </si>
  <si>
    <t>1979</t>
  </si>
  <si>
    <t>Edelgase, Gemisch, verdichtet</t>
  </si>
  <si>
    <t>1980</t>
  </si>
  <si>
    <t>Edelgase und Sauerstoff, Gemisch, verdichtet</t>
  </si>
  <si>
    <t>1981</t>
  </si>
  <si>
    <t>Edelgase und Stickstoff, Gemisch, verdichtet</t>
  </si>
  <si>
    <t>1982</t>
  </si>
  <si>
    <t>Tetrafluormethan, verdichtet (Gas als Kältemittel R 14, verdichtet)</t>
  </si>
  <si>
    <t>1983</t>
  </si>
  <si>
    <t>1-Chlor-2,2,2-trifluorethan (Gas als Kältemittel R 133a)</t>
  </si>
  <si>
    <t>1984</t>
  </si>
  <si>
    <t>Trifluormethan (Gas als Kältemittel R 23)</t>
  </si>
  <si>
    <t>1986</t>
  </si>
  <si>
    <t>Alkohole, entzündbar, giftig, N.A.G.</t>
  </si>
  <si>
    <t>1987</t>
  </si>
  <si>
    <t>Alkohole, N.A.G.</t>
  </si>
  <si>
    <t>1988</t>
  </si>
  <si>
    <t>Aldehyde, entzündbar, giftig, N.A.G.</t>
  </si>
  <si>
    <t>1989</t>
  </si>
  <si>
    <t>Aldehyde, N.A.G.</t>
  </si>
  <si>
    <t>1990</t>
  </si>
  <si>
    <t>Benzaldehyd</t>
  </si>
  <si>
    <t>1991</t>
  </si>
  <si>
    <t>Chloropren, stabilisiert</t>
  </si>
  <si>
    <t>1992</t>
  </si>
  <si>
    <t>Entzündbarer, flüssiger Stoff, giftig, N.A.G.</t>
  </si>
  <si>
    <t>1993</t>
  </si>
  <si>
    <t>Entzündbarer, flüssiger Stoff, N.A.G.</t>
  </si>
  <si>
    <t>1994</t>
  </si>
  <si>
    <t>Eisenpentacarbonyl</t>
  </si>
  <si>
    <t>1999</t>
  </si>
  <si>
    <t>Teere, flüssig, einschließlich Straßenasphalt und Öle, Bitumen, und Cutback (Verschnittbitumen)</t>
  </si>
  <si>
    <t>2000</t>
  </si>
  <si>
    <t>Zelluloid, in Blöcken, Stangen, Platten, Rohren usw. (ausgenommen Abfälle)</t>
  </si>
  <si>
    <t>2001</t>
  </si>
  <si>
    <t>Cobaltnaphtenatpulver</t>
  </si>
  <si>
    <t>2002</t>
  </si>
  <si>
    <t>Zelluloid, Abfall</t>
  </si>
  <si>
    <t>2003</t>
  </si>
  <si>
    <t>Metallalkyle, mit Wasser reagierend oder Metallaryle, mit Wasser reagierend</t>
  </si>
  <si>
    <t>2004</t>
  </si>
  <si>
    <t>Magnesiumdiamid</t>
  </si>
  <si>
    <t>2005</t>
  </si>
  <si>
    <t>Diphenylmagnesium</t>
  </si>
  <si>
    <t>2006</t>
  </si>
  <si>
    <t>Kunststoffe auf Nitrocellulosebasis, selbsterhitzungsfähig, N.A.G.</t>
  </si>
  <si>
    <t>2008</t>
  </si>
  <si>
    <t>Zirconiumpulver, trocken</t>
  </si>
  <si>
    <t>2009</t>
  </si>
  <si>
    <t>Zirconium, trocken, Bleche, Streifen oder gerollter Draht (dünner als 18 µm)</t>
  </si>
  <si>
    <t>2010</t>
  </si>
  <si>
    <t>Magnesiumhydrid</t>
  </si>
  <si>
    <t>2011</t>
  </si>
  <si>
    <t>Magnesiumphosphid</t>
  </si>
  <si>
    <t>2012</t>
  </si>
  <si>
    <t>Kaliumphosphid</t>
  </si>
  <si>
    <t>2013</t>
  </si>
  <si>
    <t>Strontiumphosphid</t>
  </si>
  <si>
    <t>2014</t>
  </si>
  <si>
    <t>Wasserstoffperoxid, wässrige Lösung mit mindestens 20 %, aber höchstens 60 % Wasserstoffperoxid (Stabilisierung nach Bedarf)</t>
  </si>
  <si>
    <t>2015</t>
  </si>
  <si>
    <t>Wasserstoffperoxid, wässrige Lösung, stabilisiert mit mehr als 60 % Wasserstoffperoxid</t>
  </si>
  <si>
    <t>2016</t>
  </si>
  <si>
    <t>Munition, giftig, nicht explosiv, ohne Zerleger oder Ausstoßladung, nicht scharf</t>
  </si>
  <si>
    <t>2017</t>
  </si>
  <si>
    <t>Munition, tränenerzeugend, nicht explosiv, ohne Zerleger oder Ausstoßladung, nicht scharf</t>
  </si>
  <si>
    <t>2018</t>
  </si>
  <si>
    <t>Chloraniline, fest</t>
  </si>
  <si>
    <t>2019</t>
  </si>
  <si>
    <t>Chloraniline, flüssig</t>
  </si>
  <si>
    <t>2020</t>
  </si>
  <si>
    <t>Chlorphenole, fest</t>
  </si>
  <si>
    <t>2021</t>
  </si>
  <si>
    <t>Chlorphenole, flüssig</t>
  </si>
  <si>
    <t>2022</t>
  </si>
  <si>
    <t>Cresylsäure</t>
  </si>
  <si>
    <t>2023</t>
  </si>
  <si>
    <t>Epichlorhydrin</t>
  </si>
  <si>
    <t>2024</t>
  </si>
  <si>
    <t>Quecksilberverbindung, flüssig, N.A.G.</t>
  </si>
  <si>
    <t>2025</t>
  </si>
  <si>
    <t>Quecksilberverbindung, fest, N.A.G.</t>
  </si>
  <si>
    <t>2026</t>
  </si>
  <si>
    <t>Phenylquecksilberverbindungen, N.A.G.</t>
  </si>
  <si>
    <t>2027</t>
  </si>
  <si>
    <t>Natriumarsenit, fest</t>
  </si>
  <si>
    <t>2028</t>
  </si>
  <si>
    <t>Rauchbomben, Nebelbomben, nicht explosiv, ätzenden flüssigen Stoff enthaltend, ohne Zünder</t>
  </si>
  <si>
    <t>2029</t>
  </si>
  <si>
    <t>Hydrazin, wasserfrei</t>
  </si>
  <si>
    <t>2030</t>
  </si>
  <si>
    <t>Hydrazinhydrat oder Hydrazin, wässrige Lösung mit mindestens 37 Masse-%, aber höchstens 64 Masse-% Hydrazin</t>
  </si>
  <si>
    <t>2031</t>
  </si>
  <si>
    <t>Salpetersäure, andere als rotrauchend, mit mehr als 70 % Säure</t>
  </si>
  <si>
    <t>Salpetersäure, andere als rotrauchend, mit höchstens 70 % Säure</t>
  </si>
  <si>
    <t>2032</t>
  </si>
  <si>
    <t>856</t>
  </si>
  <si>
    <t>Salpetersäure, rotrauchend</t>
  </si>
  <si>
    <t>2033</t>
  </si>
  <si>
    <t>Kaliummonoxid</t>
  </si>
  <si>
    <t>2034</t>
  </si>
  <si>
    <t>Wasserstoff und Methan, Gemisch, verdichtet</t>
  </si>
  <si>
    <t>2035</t>
  </si>
  <si>
    <t>1,1,1-Trifluorethan (Gas als Kältemittel R 143a)</t>
  </si>
  <si>
    <t>2036</t>
  </si>
  <si>
    <t>Xenon, verdichtet</t>
  </si>
  <si>
    <t>2037</t>
  </si>
  <si>
    <t>Gefäße, klein, mit Gas (Gaspatronen), ohne Entnahmeeinrichtung, nicht nachfüllbar</t>
  </si>
  <si>
    <t>2038</t>
  </si>
  <si>
    <t>Dinitrotoluole, flüssig</t>
  </si>
  <si>
    <t>2044</t>
  </si>
  <si>
    <t>2,2-Dimethylpropan</t>
  </si>
  <si>
    <t>2045</t>
  </si>
  <si>
    <t>Isobutyraldehyd (Isobutylaldehyd)</t>
  </si>
  <si>
    <t>2046</t>
  </si>
  <si>
    <t>Cymole (Cymene)</t>
  </si>
  <si>
    <t>2047</t>
  </si>
  <si>
    <t>Dichlorpropene</t>
  </si>
  <si>
    <t>2048</t>
  </si>
  <si>
    <t>Dicyclopentadien</t>
  </si>
  <si>
    <t>2049</t>
  </si>
  <si>
    <t>Diethylbenzen</t>
  </si>
  <si>
    <t>2050</t>
  </si>
  <si>
    <t>Diisobutylen, isomere Verbindungen</t>
  </si>
  <si>
    <t>2051</t>
  </si>
  <si>
    <t>2-Dimethylaminoethanol</t>
  </si>
  <si>
    <t>2052</t>
  </si>
  <si>
    <t>Limonen (Dipenten)</t>
  </si>
  <si>
    <t>2053</t>
  </si>
  <si>
    <t>Methylisobutylcarbinol</t>
  </si>
  <si>
    <t>2054</t>
  </si>
  <si>
    <t>883</t>
  </si>
  <si>
    <t>Morpholin</t>
  </si>
  <si>
    <t>2055</t>
  </si>
  <si>
    <t>Styrol, monomer, stabilisiert</t>
  </si>
  <si>
    <t>2056</t>
  </si>
  <si>
    <t>Tetrahydrofuran</t>
  </si>
  <si>
    <t>2057</t>
  </si>
  <si>
    <t>Tripropylen</t>
  </si>
  <si>
    <t>2058</t>
  </si>
  <si>
    <t>Valeraldehyd</t>
  </si>
  <si>
    <t>2059</t>
  </si>
  <si>
    <t>Zellulosenitrat (Nitrocellulose), Lösung, entzündbar</t>
  </si>
  <si>
    <t>2067</t>
  </si>
  <si>
    <t>Ammoniumnitrathaltige Düngemittel, Typ A1</t>
  </si>
  <si>
    <t>2068</t>
  </si>
  <si>
    <t>Ammoniumnitrathaltige Düngemittel, Typ A2</t>
  </si>
  <si>
    <t>2069</t>
  </si>
  <si>
    <t>Ammoniumnitrathaltige Düngemittel, Typ A3</t>
  </si>
  <si>
    <t>2070</t>
  </si>
  <si>
    <t>Ammoniumnitrathaltige Düngemittel, Typ A4</t>
  </si>
  <si>
    <t>2071</t>
  </si>
  <si>
    <t>Ammoniumnitrathaltige Düngemittel (unterliegt nicht den Vorschriften des ADR)</t>
  </si>
  <si>
    <t>2072</t>
  </si>
  <si>
    <t>Ammoniumnitrathaltige Düngemittel (Beförderung verboten)</t>
  </si>
  <si>
    <t>2073</t>
  </si>
  <si>
    <t>Ammoniaklösung in Wasser, relative Dichte kleiner als 0,880 kg/m−3 bei 15 °C, mit mehr als 35 %, aber höchstens 50 % Ammoniak</t>
  </si>
  <si>
    <t>2074</t>
  </si>
  <si>
    <t>Acrylamid, fest</t>
  </si>
  <si>
    <t>2075</t>
  </si>
  <si>
    <t>69</t>
  </si>
  <si>
    <t>Chloral, wasserfrei, stabilisiert</t>
  </si>
  <si>
    <t>2076</t>
  </si>
  <si>
    <t>Kresole, flüssig oder fest</t>
  </si>
  <si>
    <t>2077</t>
  </si>
  <si>
    <t>alpha-Naphthylamin</t>
  </si>
  <si>
    <t>2078</t>
  </si>
  <si>
    <t>Toluol-2,4-diisocyanat</t>
  </si>
  <si>
    <t>2079</t>
  </si>
  <si>
    <t>Diethylentriamin</t>
  </si>
  <si>
    <t>2186</t>
  </si>
  <si>
    <t>Chlorwasserstoff, tiefgekühlt, flüssig [Beförderung verboten]</t>
  </si>
  <si>
    <t>2187</t>
  </si>
  <si>
    <t>Kohlenstoffdioxid, tiefgekühlt, flüssig</t>
  </si>
  <si>
    <t>2188</t>
  </si>
  <si>
    <t>2189</t>
  </si>
  <si>
    <t>2190</t>
  </si>
  <si>
    <t>Sauerstoffdifluorid, verdichtet</t>
  </si>
  <si>
    <t>2191</t>
  </si>
  <si>
    <t>Sulfurylfluorid</t>
  </si>
  <si>
    <t>2192</t>
  </si>
  <si>
    <t>Germane (Germaniumwasserstoff)</t>
  </si>
  <si>
    <t>2193</t>
  </si>
  <si>
    <t>Hexafluorethan, verdichtet (Gas als Kältemittel R 116, verdichtet)</t>
  </si>
  <si>
    <t>2194</t>
  </si>
  <si>
    <t>Selenhexafluorid</t>
  </si>
  <si>
    <t>2195</t>
  </si>
  <si>
    <t>Tellurhexafluorid</t>
  </si>
  <si>
    <t>2196</t>
  </si>
  <si>
    <t>Wolframhexafluorid</t>
  </si>
  <si>
    <t>2197</t>
  </si>
  <si>
    <t>Iodwasserstoff, wasserfrei</t>
  </si>
  <si>
    <t>2198</t>
  </si>
  <si>
    <t>Phosphorpentafluorid, verdichtet</t>
  </si>
  <si>
    <t>2199</t>
  </si>
  <si>
    <t>Phosphorwasserstoff (Phosphin)</t>
  </si>
  <si>
    <t>2200</t>
  </si>
  <si>
    <t>Propadien, stabilisiert</t>
  </si>
  <si>
    <t>2201</t>
  </si>
  <si>
    <t>Lachgas (Distickstoffmonoxid), tiefgekühlt, flüssig</t>
  </si>
  <si>
    <t>2202</t>
  </si>
  <si>
    <t>Selenwasserstoff, wasserfrei</t>
  </si>
  <si>
    <t>2203</t>
  </si>
  <si>
    <t>Dimethyldichlorsilane, verdichtet</t>
  </si>
  <si>
    <t>2204</t>
  </si>
  <si>
    <t>Carbonylsulfid</t>
  </si>
  <si>
    <t>2205</t>
  </si>
  <si>
    <t>Adiponitril</t>
  </si>
  <si>
    <t>2206</t>
  </si>
  <si>
    <t>Isocyanate, giftig, N.A.G. oder Isocyanat, Lösung, giftig, N.A.G.</t>
  </si>
  <si>
    <t>2208</t>
  </si>
  <si>
    <t>Calciumhypochlorit, Mischung, trocken, mit mehr als 10 %, aber höchstens 39 % aktivem Chlor</t>
  </si>
  <si>
    <t>2209</t>
  </si>
  <si>
    <t>Formaldehydlösung mit mindestens 25 % Formaldehyd</t>
  </si>
  <si>
    <t>2210</t>
  </si>
  <si>
    <t>Maneb oder Manebzubereitungen mit mindestens 60 Masse-% Maneb</t>
  </si>
  <si>
    <t>2211</t>
  </si>
  <si>
    <t>Schäumbare Polymerkügelchen, entzündbare Dämpfe abgebend</t>
  </si>
  <si>
    <t>2212</t>
  </si>
  <si>
    <t>Asbest, Amphibol (Amosit, Tremolit, Aktinolith, Anthophyllit, Krokydolith Mysorit)</t>
  </si>
  <si>
    <t>2213</t>
  </si>
  <si>
    <t>Paraformaldehyd</t>
  </si>
  <si>
    <t>2214</t>
  </si>
  <si>
    <t>Phthalsäureanhydrid mit mehr als 0,05 % Maleinsäureanhydrid</t>
  </si>
  <si>
    <t>2215</t>
  </si>
  <si>
    <t>Maleinsäureanhydrid, geschmolzen</t>
  </si>
  <si>
    <t>2216</t>
  </si>
  <si>
    <t>Fischmehl (Fischabfälle), stabilisiert (unterliegt nicht den Vorschriften des ADR)</t>
  </si>
  <si>
    <t>2217</t>
  </si>
  <si>
    <t>Ölsaatkuchen mit höchstens 1,5 Masse-% Öl und höchstens 11 Masse-% Feuchtigkeit</t>
  </si>
  <si>
    <t>2218</t>
  </si>
  <si>
    <t>839</t>
  </si>
  <si>
    <t>Acrylsäure, stabilisiert</t>
  </si>
  <si>
    <t>2219</t>
  </si>
  <si>
    <t>Allylglycidylether</t>
  </si>
  <si>
    <t>2222</t>
  </si>
  <si>
    <t>2224</t>
  </si>
  <si>
    <t>Benzonitril</t>
  </si>
  <si>
    <t>2225</t>
  </si>
  <si>
    <t>Benzensulfonylchlorid</t>
  </si>
  <si>
    <t>2226</t>
  </si>
  <si>
    <t>Benzotrichlorid</t>
  </si>
  <si>
    <t>2227</t>
  </si>
  <si>
    <t>n-Butylmethacrylat, stabilisiert</t>
  </si>
  <si>
    <t>2232</t>
  </si>
  <si>
    <t>2-Chlorethanal</t>
  </si>
  <si>
    <t>2233</t>
  </si>
  <si>
    <t>Chloranisidine</t>
  </si>
  <si>
    <t>2234</t>
  </si>
  <si>
    <t>Chlorbenzotrifluoride</t>
  </si>
  <si>
    <t>2235</t>
  </si>
  <si>
    <t>Chlorbenzylchloride, flüssig</t>
  </si>
  <si>
    <t>2236</t>
  </si>
  <si>
    <t>3-Chlor-4-methylphenylisocyanat, flüssig</t>
  </si>
  <si>
    <t>2237</t>
  </si>
  <si>
    <t>Chlornitroaniline</t>
  </si>
  <si>
    <t>2238</t>
  </si>
  <si>
    <t>Chlortoluole</t>
  </si>
  <si>
    <t>2239</t>
  </si>
  <si>
    <t>Chlortoluidine, fest</t>
  </si>
  <si>
    <t>2240</t>
  </si>
  <si>
    <t>Chromschwefelsäure</t>
  </si>
  <si>
    <t>2241</t>
  </si>
  <si>
    <t>Cycloheptan</t>
  </si>
  <si>
    <t>2242</t>
  </si>
  <si>
    <t>Cyclohepten</t>
  </si>
  <si>
    <t>2243</t>
  </si>
  <si>
    <t>Cyclohexylacetat</t>
  </si>
  <si>
    <t>2244</t>
  </si>
  <si>
    <t>Cyclopentanol</t>
  </si>
  <si>
    <t>2245</t>
  </si>
  <si>
    <t>Cyclopentanon</t>
  </si>
  <si>
    <t>2246</t>
  </si>
  <si>
    <t>Cyclopenten</t>
  </si>
  <si>
    <t>2247</t>
  </si>
  <si>
    <t>n-Decan</t>
  </si>
  <si>
    <t>2248</t>
  </si>
  <si>
    <t>Di-n-Butylamin</t>
  </si>
  <si>
    <t>2249</t>
  </si>
  <si>
    <t>Dichlordimethylether, symmetrisch (Beförderung verboten)</t>
  </si>
  <si>
    <t>2250</t>
  </si>
  <si>
    <t>Dichlorphenylisocyanate</t>
  </si>
  <si>
    <t>2251</t>
  </si>
  <si>
    <t>Bicyclo-(2,2,1)-hepta-2,5-dien, stabilisiert (Norbornan-2,5-dien, stabilisiert)</t>
  </si>
  <si>
    <t>2252</t>
  </si>
  <si>
    <t>1,2-Dimethoxyethan</t>
  </si>
  <si>
    <t>2253</t>
  </si>
  <si>
    <t>N,N-Dimethylanilin</t>
  </si>
  <si>
    <t>2254</t>
  </si>
  <si>
    <t>Sturmzündhölzer</t>
  </si>
  <si>
    <t>2256</t>
  </si>
  <si>
    <t>2257</t>
  </si>
  <si>
    <t>Kalium</t>
  </si>
  <si>
    <t>2258</t>
  </si>
  <si>
    <t>1,2-Propylendiamin</t>
  </si>
  <si>
    <t>2259</t>
  </si>
  <si>
    <t>Triethylentetramin</t>
  </si>
  <si>
    <t>2260</t>
  </si>
  <si>
    <t>Tripropylamin</t>
  </si>
  <si>
    <t>2261</t>
  </si>
  <si>
    <t>Xylenole, fest</t>
  </si>
  <si>
    <t>2262</t>
  </si>
  <si>
    <t>N,N-Dimethylcarbamoylchlorid</t>
  </si>
  <si>
    <t>2263</t>
  </si>
  <si>
    <t>Dimethylcyclohexane</t>
  </si>
  <si>
    <t>2264</t>
  </si>
  <si>
    <t>N,N-Dimethylcyclohexylamin</t>
  </si>
  <si>
    <t>2265</t>
  </si>
  <si>
    <t>N,N-Dimethylformamid</t>
  </si>
  <si>
    <t>2266</t>
  </si>
  <si>
    <t>Dimethyl-n-propylamin</t>
  </si>
  <si>
    <t>2267</t>
  </si>
  <si>
    <t>Dimethylthiophosphorylchlorid</t>
  </si>
  <si>
    <t>2269</t>
  </si>
  <si>
    <t>3,3′-Iminobispropylamin</t>
  </si>
  <si>
    <t>2270</t>
  </si>
  <si>
    <t>Ethylamin, wässrige Lösung mit mindestens 50 Masse-% und höchstens 70 Masse-% Ethylamin</t>
  </si>
  <si>
    <t>2271</t>
  </si>
  <si>
    <t>Ethylamylketon</t>
  </si>
  <si>
    <t>2272</t>
  </si>
  <si>
    <t>N-Ethylanilin</t>
  </si>
  <si>
    <t>2273</t>
  </si>
  <si>
    <t>6-1</t>
  </si>
  <si>
    <t>2-Ethylanilin</t>
  </si>
  <si>
    <t>2274</t>
  </si>
  <si>
    <t>N-Ethyl-N-benzylanilin</t>
  </si>
  <si>
    <t>2275</t>
  </si>
  <si>
    <t>2-Ethylbutanol</t>
  </si>
  <si>
    <t>2276</t>
  </si>
  <si>
    <t>2-Ethylhexylamin</t>
  </si>
  <si>
    <t>2277</t>
  </si>
  <si>
    <t>Ethylmethacrylat</t>
  </si>
  <si>
    <t>2278</t>
  </si>
  <si>
    <t>n-Hepten</t>
  </si>
  <si>
    <t>2279</t>
  </si>
  <si>
    <t>Hexachlorbutadien</t>
  </si>
  <si>
    <t>2280</t>
  </si>
  <si>
    <t>Hexamethylendiamin, fest</t>
  </si>
  <si>
    <t>2281</t>
  </si>
  <si>
    <t>Hexamethylendiisocyanat</t>
  </si>
  <si>
    <t>2282</t>
  </si>
  <si>
    <t>3,</t>
  </si>
  <si>
    <t>Hexanole</t>
  </si>
  <si>
    <t>2283</t>
  </si>
  <si>
    <t>Isobutylmethacrylat, stabilisiert</t>
  </si>
  <si>
    <t>2284</t>
  </si>
  <si>
    <t>Isobutyronitril</t>
  </si>
  <si>
    <t>2285</t>
  </si>
  <si>
    <t>Isocyanatobenzotrifluoride</t>
  </si>
  <si>
    <t>2286</t>
  </si>
  <si>
    <t>Pentamethylheptan</t>
  </si>
  <si>
    <t>2287</t>
  </si>
  <si>
    <t>Isoheptene</t>
  </si>
  <si>
    <t>2288</t>
  </si>
  <si>
    <t>Isohexene</t>
  </si>
  <si>
    <t>2289</t>
  </si>
  <si>
    <t>Isophorondiamin</t>
  </si>
  <si>
    <t>2290</t>
  </si>
  <si>
    <t>Isophorondiisocyanat</t>
  </si>
  <si>
    <t>2291</t>
  </si>
  <si>
    <t>Bleiverbindung, löslich, N.A.G.</t>
  </si>
  <si>
    <t>2293</t>
  </si>
  <si>
    <t>4-Methoxy-4-methylpentan-2-on</t>
  </si>
  <si>
    <t>2294</t>
  </si>
  <si>
    <t>N-Methylanilin</t>
  </si>
  <si>
    <t>2295</t>
  </si>
  <si>
    <t>Methylchloracetat</t>
  </si>
  <si>
    <t>2296</t>
  </si>
  <si>
    <t>2297</t>
  </si>
  <si>
    <t>Methylcyclohexanon</t>
  </si>
  <si>
    <t>2298</t>
  </si>
  <si>
    <t>Methylcyclopentan</t>
  </si>
  <si>
    <t>2299</t>
  </si>
  <si>
    <t>Methyldichloracetat</t>
  </si>
  <si>
    <t>2300</t>
  </si>
  <si>
    <t>2-Methyl-5-ethylpyridin</t>
  </si>
  <si>
    <t>2301</t>
  </si>
  <si>
    <t>2-Methylfuran</t>
  </si>
  <si>
    <t>2302</t>
  </si>
  <si>
    <t>5-Methylhexan-2-on</t>
  </si>
  <si>
    <t>2303</t>
  </si>
  <si>
    <t>Isopropenylbenzen</t>
  </si>
  <si>
    <t>2304</t>
  </si>
  <si>
    <t>44</t>
  </si>
  <si>
    <t>Naphthalin, geschmolzen</t>
  </si>
  <si>
    <t>2305</t>
  </si>
  <si>
    <t>2306</t>
  </si>
  <si>
    <t>Nitrobenzotrifluoride, flüssig</t>
  </si>
  <si>
    <t>2307</t>
  </si>
  <si>
    <t>3-Nitro-4-chlorbenzotrifluorid</t>
  </si>
  <si>
    <t>2308</t>
  </si>
  <si>
    <t>Nitrosylschwefelsäure, flüssig</t>
  </si>
  <si>
    <t>2309</t>
  </si>
  <si>
    <t>Octadiene</t>
  </si>
  <si>
    <t>2310</t>
  </si>
  <si>
    <t>36</t>
  </si>
  <si>
    <t>Pentan-2,4-dion</t>
  </si>
  <si>
    <t>2311</t>
  </si>
  <si>
    <t>Phenetidine</t>
  </si>
  <si>
    <t>2312</t>
  </si>
  <si>
    <t>Phenol, geschmolzen</t>
  </si>
  <si>
    <t>2313</t>
  </si>
  <si>
    <t>Picoline</t>
  </si>
  <si>
    <t>2315</t>
  </si>
  <si>
    <t>Polychlorierte Biphenyle, flüssig</t>
  </si>
  <si>
    <t>2316</t>
  </si>
  <si>
    <t>Natriumkupfer(I)-cyanid, fest</t>
  </si>
  <si>
    <t>2317</t>
  </si>
  <si>
    <t>Natriumkupfer(I)-cyanid, Lösung</t>
  </si>
  <si>
    <t>2318</t>
  </si>
  <si>
    <t>Natriumhydrogensulfid mit weniger als 25 % Kristallwasser</t>
  </si>
  <si>
    <t>2319</t>
  </si>
  <si>
    <t>Terpenkohlenwasserstoffe, N.A.G.</t>
  </si>
  <si>
    <t>2320</t>
  </si>
  <si>
    <t>Tetraethylenpentamin</t>
  </si>
  <si>
    <t>2321</t>
  </si>
  <si>
    <t>Trichlorbenzole, flüssig</t>
  </si>
  <si>
    <t>2322</t>
  </si>
  <si>
    <t>Trichlorbuten</t>
  </si>
  <si>
    <t>2323</t>
  </si>
  <si>
    <t>Triethylphosphit</t>
  </si>
  <si>
    <t>2324</t>
  </si>
  <si>
    <t>Triisobutylen</t>
  </si>
  <si>
    <t>2325</t>
  </si>
  <si>
    <t>1,3,5-Trimethylbenzen</t>
  </si>
  <si>
    <t>2326</t>
  </si>
  <si>
    <t>Trimethylcyclohexylamin</t>
  </si>
  <si>
    <t>2327</t>
  </si>
  <si>
    <t>Trimethylhexamethylendiamine</t>
  </si>
  <si>
    <t>2328</t>
  </si>
  <si>
    <t>Trimethylhexamethylendiisocyanat (und isomere Gemische)</t>
  </si>
  <si>
    <t>2329</t>
  </si>
  <si>
    <t>Trimethylphosphit</t>
  </si>
  <si>
    <t>2330</t>
  </si>
  <si>
    <t>Undecan</t>
  </si>
  <si>
    <t>2331</t>
  </si>
  <si>
    <t>Zinkchlorid, wasserfrei</t>
  </si>
  <si>
    <t>2332</t>
  </si>
  <si>
    <t>Acetaldehydoxim</t>
  </si>
  <si>
    <t>2333</t>
  </si>
  <si>
    <t>Allylacetat</t>
  </si>
  <si>
    <t>2334</t>
  </si>
  <si>
    <t>Allylamin</t>
  </si>
  <si>
    <t>2335</t>
  </si>
  <si>
    <t>Allylethylether</t>
  </si>
  <si>
    <t>2336</t>
  </si>
  <si>
    <t>Allylformiat</t>
  </si>
  <si>
    <t>2337</t>
  </si>
  <si>
    <t>Phenylmercaptan</t>
  </si>
  <si>
    <t>2338</t>
  </si>
  <si>
    <t>2339</t>
  </si>
  <si>
    <t>2-Brombutan</t>
  </si>
  <si>
    <t>2340</t>
  </si>
  <si>
    <t>2-Bromethylethylether</t>
  </si>
  <si>
    <t>2341</t>
  </si>
  <si>
    <t>1-Brom-3-methylbutan</t>
  </si>
  <si>
    <t>2342</t>
  </si>
  <si>
    <t>Brommethylpropan</t>
  </si>
  <si>
    <t>2343</t>
  </si>
  <si>
    <t>2-Brompentan</t>
  </si>
  <si>
    <t>2344</t>
  </si>
  <si>
    <t>Brompropan</t>
  </si>
  <si>
    <t>2345</t>
  </si>
  <si>
    <t>3-Brompropin</t>
  </si>
  <si>
    <t>2346</t>
  </si>
  <si>
    <t>Butandion</t>
  </si>
  <si>
    <t>2347</t>
  </si>
  <si>
    <t>Butylmercaptan</t>
  </si>
  <si>
    <t>2348</t>
  </si>
  <si>
    <t>Acrylsäurebutylester (Butylacrylat), stabilisiert</t>
  </si>
  <si>
    <t>2350</t>
  </si>
  <si>
    <t>Butylmethylether</t>
  </si>
  <si>
    <t>2351</t>
  </si>
  <si>
    <t>Butylnitrit</t>
  </si>
  <si>
    <t>2352</t>
  </si>
  <si>
    <t>Vinyisobutylether, stabilisiert</t>
  </si>
  <si>
    <t>2353</t>
  </si>
  <si>
    <t>Butyrylchlorid</t>
  </si>
  <si>
    <t>2354</t>
  </si>
  <si>
    <t>Chlormethylethylether</t>
  </si>
  <si>
    <t>2356</t>
  </si>
  <si>
    <t>2-Chlorpropan</t>
  </si>
  <si>
    <t>2357</t>
  </si>
  <si>
    <t>Cyclohexylamin</t>
  </si>
  <si>
    <t>2358</t>
  </si>
  <si>
    <t>Cyclooctatetraen</t>
  </si>
  <si>
    <t>2359</t>
  </si>
  <si>
    <t>Diallylamin</t>
  </si>
  <si>
    <t>2360</t>
  </si>
  <si>
    <t>Diallylether</t>
  </si>
  <si>
    <t>2361</t>
  </si>
  <si>
    <t>Diisobutylamin</t>
  </si>
  <si>
    <t>2362</t>
  </si>
  <si>
    <t>1,1-Dichlorethan</t>
  </si>
  <si>
    <t>2363</t>
  </si>
  <si>
    <t>Methanthiol (Methylmercaptan)</t>
  </si>
  <si>
    <t>2364</t>
  </si>
  <si>
    <t>n-Propylbenzen</t>
  </si>
  <si>
    <t>2366</t>
  </si>
  <si>
    <t>Diethylcarbonat</t>
  </si>
  <si>
    <t>2367</t>
  </si>
  <si>
    <t>alpha-Methylvaleraldehyd</t>
  </si>
  <si>
    <t>2368</t>
  </si>
  <si>
    <t>α-Pinen</t>
  </si>
  <si>
    <t>2370</t>
  </si>
  <si>
    <t>Hex-1-en</t>
  </si>
  <si>
    <t>2371</t>
  </si>
  <si>
    <t>Isopentene</t>
  </si>
  <si>
    <t>2372</t>
  </si>
  <si>
    <t>1,2-Di-(dimethylamino)-ethan</t>
  </si>
  <si>
    <t>2373</t>
  </si>
  <si>
    <t>Diethoxymethan</t>
  </si>
  <si>
    <t>2374</t>
  </si>
  <si>
    <t>3,3-Diethoxypropen</t>
  </si>
  <si>
    <t>2375</t>
  </si>
  <si>
    <t>Diethylsulfid</t>
  </si>
  <si>
    <t>2376</t>
  </si>
  <si>
    <t>2,3-Dihydropyran</t>
  </si>
  <si>
    <t>2377</t>
  </si>
  <si>
    <t>1,1-Dimethoxyethan</t>
  </si>
  <si>
    <t>2378</t>
  </si>
  <si>
    <t>2-Dimethylaminoacetonitril</t>
  </si>
  <si>
    <t>2379</t>
  </si>
  <si>
    <t>1,3-Dimethylbutylamin</t>
  </si>
  <si>
    <t>2380</t>
  </si>
  <si>
    <t>Dimethyldiethoxysilan</t>
  </si>
  <si>
    <t>2381</t>
  </si>
  <si>
    <t>Dimethyldisulfid</t>
  </si>
  <si>
    <t>2382</t>
  </si>
  <si>
    <t>Dimethylhydrazin, symmetrisch</t>
  </si>
  <si>
    <t>2383</t>
  </si>
  <si>
    <t>3,3'-Iminobispropylamin</t>
  </si>
  <si>
    <t>2384</t>
  </si>
  <si>
    <t>Di-n-propylether</t>
  </si>
  <si>
    <t>2385</t>
  </si>
  <si>
    <t>Ethylisobutyrat</t>
  </si>
  <si>
    <t>2386</t>
  </si>
  <si>
    <t>1-Ethylpiperidin</t>
  </si>
  <si>
    <t>2387</t>
  </si>
  <si>
    <t>Fluorbenzen</t>
  </si>
  <si>
    <t>2388</t>
  </si>
  <si>
    <t>Fluortoluole</t>
  </si>
  <si>
    <t>2389</t>
  </si>
  <si>
    <t>2390</t>
  </si>
  <si>
    <t>2-Iodbutan</t>
  </si>
  <si>
    <t>2391</t>
  </si>
  <si>
    <t>Iodmethylpropane</t>
  </si>
  <si>
    <t>2392</t>
  </si>
  <si>
    <t>Iodpropane</t>
  </si>
  <si>
    <t>2393</t>
  </si>
  <si>
    <t>Isobutylformiat</t>
  </si>
  <si>
    <t>2394</t>
  </si>
  <si>
    <t>Isobutylpropionat</t>
  </si>
  <si>
    <t>2395</t>
  </si>
  <si>
    <t>Isobutyrylchlorid</t>
  </si>
  <si>
    <t>2396</t>
  </si>
  <si>
    <t>Methacrylaldehyd, stabilisiert</t>
  </si>
  <si>
    <t>2397</t>
  </si>
  <si>
    <t>3-Methylbutan-2-on</t>
  </si>
  <si>
    <t>2398</t>
  </si>
  <si>
    <t>Methyl-tert-butylether</t>
  </si>
  <si>
    <t>2399</t>
  </si>
  <si>
    <t>1-Methylpiperidin</t>
  </si>
  <si>
    <t>2400</t>
  </si>
  <si>
    <t>Methylisovalerat</t>
  </si>
  <si>
    <t>2401</t>
  </si>
  <si>
    <t>2402</t>
  </si>
  <si>
    <t>Propanthiole</t>
  </si>
  <si>
    <t>2403</t>
  </si>
  <si>
    <t>Isopropenylacetat</t>
  </si>
  <si>
    <t>2404</t>
  </si>
  <si>
    <t>Propionitril</t>
  </si>
  <si>
    <t>2405</t>
  </si>
  <si>
    <t>Isopropylbutyrat</t>
  </si>
  <si>
    <t>2406</t>
  </si>
  <si>
    <t>Isopropylisobutyrat</t>
  </si>
  <si>
    <t>2407</t>
  </si>
  <si>
    <t>Isopropylchlorformiat</t>
  </si>
  <si>
    <t>2409</t>
  </si>
  <si>
    <t>Isopropylpropionat</t>
  </si>
  <si>
    <t>2410</t>
  </si>
  <si>
    <t>1,2,3,6-Tetrahydropyridin</t>
  </si>
  <si>
    <t>2411</t>
  </si>
  <si>
    <t>Butyronitril</t>
  </si>
  <si>
    <t>2412</t>
  </si>
  <si>
    <t>Tetrahydrothiophen</t>
  </si>
  <si>
    <t>2413</t>
  </si>
  <si>
    <t>Tetrapropylorthotitanat</t>
  </si>
  <si>
    <t>2414</t>
  </si>
  <si>
    <t>2416</t>
  </si>
  <si>
    <t>Trimethylborat</t>
  </si>
  <si>
    <t>2417</t>
  </si>
  <si>
    <t>Carbonylfluorid, verdichtet</t>
  </si>
  <si>
    <t>2418</t>
  </si>
  <si>
    <t>Schwefeltetrafluorid</t>
  </si>
  <si>
    <t>2419</t>
  </si>
  <si>
    <t>Bromtrifluorethylen</t>
  </si>
  <si>
    <t>2420</t>
  </si>
  <si>
    <t>Hexafluoraceton</t>
  </si>
  <si>
    <t>2421</t>
  </si>
  <si>
    <t>Distickstofftrioxid [Beförderung verboten]</t>
  </si>
  <si>
    <t>2422</t>
  </si>
  <si>
    <t>Octafluorbut-2-en (Gas als Kältemittel R 1318)</t>
  </si>
  <si>
    <t>2424</t>
  </si>
  <si>
    <t>Octafluorpropan (Gas als Kältemittel R 218)</t>
  </si>
  <si>
    <t>2426</t>
  </si>
  <si>
    <t>59</t>
  </si>
  <si>
    <t>Ammoniumnitrat, flüssig, heiße konzentrierte Lösung mit einer Konzentration von mehr als 80 %, aber höchstens 93 %</t>
  </si>
  <si>
    <t>2427</t>
  </si>
  <si>
    <t>Kaliumchlorat, wässrige Lösung</t>
  </si>
  <si>
    <t>2428</t>
  </si>
  <si>
    <t>Natriumchlorat, wässrige Lösung</t>
  </si>
  <si>
    <t>2429</t>
  </si>
  <si>
    <t>Calciumchlorat, wässrige Lösung</t>
  </si>
  <si>
    <t>2430</t>
  </si>
  <si>
    <t>80+88</t>
  </si>
  <si>
    <t>Alkylphenole, fest, N.A.G. (einschließlich C2-C12-Homologe)</t>
  </si>
  <si>
    <t>2431</t>
  </si>
  <si>
    <t>2432</t>
  </si>
  <si>
    <t>N,N-Diethylanilin</t>
  </si>
  <si>
    <t>2433</t>
  </si>
  <si>
    <t>Chlornitrotoluole, flüssig</t>
  </si>
  <si>
    <t>2434</t>
  </si>
  <si>
    <t>Dibenzyldichlorsilan</t>
  </si>
  <si>
    <t>2435</t>
  </si>
  <si>
    <t>Ethylphenyldichlorsilan</t>
  </si>
  <si>
    <t>2436</t>
  </si>
  <si>
    <t>Thioessigsäure</t>
  </si>
  <si>
    <t>2437</t>
  </si>
  <si>
    <t>Methylphenyldichlorsilan</t>
  </si>
  <si>
    <t>2438</t>
  </si>
  <si>
    <t>Trimethylacetylchlorid</t>
  </si>
  <si>
    <t>2439</t>
  </si>
  <si>
    <t>Natriumhydrogendifluorid</t>
  </si>
  <si>
    <t>2440</t>
  </si>
  <si>
    <t>Zinntetrachloridpentahydrat</t>
  </si>
  <si>
    <t>2441</t>
  </si>
  <si>
    <t>Titantrichlorid, pyrophor oder Titaniumtrichlorid-Mischungen, pyrophor</t>
  </si>
  <si>
    <t>2442</t>
  </si>
  <si>
    <t>Trichloracetylchlorid</t>
  </si>
  <si>
    <t>2443</t>
  </si>
  <si>
    <t>Vanadiumoxytrichlorid</t>
  </si>
  <si>
    <t>2444</t>
  </si>
  <si>
    <t>Vanadiumtetrachlorid</t>
  </si>
  <si>
    <t>2445</t>
  </si>
  <si>
    <t>Lithiumalkyle</t>
  </si>
  <si>
    <t>2446</t>
  </si>
  <si>
    <t>Nitrokresole, fest</t>
  </si>
  <si>
    <t>2447</t>
  </si>
  <si>
    <t>446</t>
  </si>
  <si>
    <t>Phosphor, weiß, geschmolzen</t>
  </si>
  <si>
    <t>2448</t>
  </si>
  <si>
    <t>Schwefel, geschmolzen</t>
  </si>
  <si>
    <t>2451</t>
  </si>
  <si>
    <t>Stickstofftrifluorid, verdichtet</t>
  </si>
  <si>
    <t>2452</t>
  </si>
  <si>
    <t>Ethylacetylen, stabilisiert</t>
  </si>
  <si>
    <t>2453</t>
  </si>
  <si>
    <t>Ethylfluorid (Gas als Kältemittel R 161)</t>
  </si>
  <si>
    <t>2454</t>
  </si>
  <si>
    <t>Methylfluorid (Gas als Kältemittel R 41)</t>
  </si>
  <si>
    <t>2455</t>
  </si>
  <si>
    <t>Methylnitrit [Beförderung verboten]</t>
  </si>
  <si>
    <t>2456</t>
  </si>
  <si>
    <t>2-Chlorpropen</t>
  </si>
  <si>
    <t>2457</t>
  </si>
  <si>
    <t>2,3-Dimethylbutan</t>
  </si>
  <si>
    <t>2458</t>
  </si>
  <si>
    <t>Hexadiene</t>
  </si>
  <si>
    <t>2459</t>
  </si>
  <si>
    <t>2-Methylbut-1-en</t>
  </si>
  <si>
    <t>2460</t>
  </si>
  <si>
    <t>2-Methylbut-2-en</t>
  </si>
  <si>
    <t>2461</t>
  </si>
  <si>
    <t>Methylpentadiene</t>
  </si>
  <si>
    <t>2463</t>
  </si>
  <si>
    <t>2464</t>
  </si>
  <si>
    <t>Berylliumnitrat</t>
  </si>
  <si>
    <t>2465</t>
  </si>
  <si>
    <t>Dichlorisocyanursäure, trocken oder Dichlorisocyanursäuresalze</t>
  </si>
  <si>
    <t>2466</t>
  </si>
  <si>
    <t>Kaliumsuperoxid</t>
  </si>
  <si>
    <t>2468</t>
  </si>
  <si>
    <t>Trichlorisocyanursäure, trocken</t>
  </si>
  <si>
    <t>2469</t>
  </si>
  <si>
    <t>Zinkbromat</t>
  </si>
  <si>
    <t>2470</t>
  </si>
  <si>
    <t>Phenylacetonitril, flüssig</t>
  </si>
  <si>
    <t>2471</t>
  </si>
  <si>
    <t>Osmiumtetroxid</t>
  </si>
  <si>
    <t>2473</t>
  </si>
  <si>
    <t>Natriumarsanilat</t>
  </si>
  <si>
    <t>2474</t>
  </si>
  <si>
    <t>Thiophosgen</t>
  </si>
  <si>
    <t>2475</t>
  </si>
  <si>
    <t>Vanadiumtrichlorid</t>
  </si>
  <si>
    <t>2477</t>
  </si>
  <si>
    <t>Methylisothiocyanat</t>
  </si>
  <si>
    <t>2478</t>
  </si>
  <si>
    <t>Isocyanate, entzündbar, giftig, N.A.G. oder Isocyanat, Lösung, entzündbar, giftig, N.A.G.</t>
  </si>
  <si>
    <t>2480</t>
  </si>
  <si>
    <t>Methylisocyanat</t>
  </si>
  <si>
    <t>2481</t>
  </si>
  <si>
    <t>Ethylisocyanat</t>
  </si>
  <si>
    <t>2482</t>
  </si>
  <si>
    <t>n-Propylisocyanat</t>
  </si>
  <si>
    <t>2483</t>
  </si>
  <si>
    <t>Isopropylisocyanat</t>
  </si>
  <si>
    <t>2484</t>
  </si>
  <si>
    <t>tert-Butylisocyanat</t>
  </si>
  <si>
    <t>2485</t>
  </si>
  <si>
    <t>n-Butylisocyanat</t>
  </si>
  <si>
    <t>2486</t>
  </si>
  <si>
    <t>Isobutylisocyanat</t>
  </si>
  <si>
    <t>2487</t>
  </si>
  <si>
    <t>2488</t>
  </si>
  <si>
    <t>Cyclohexylisocyanat</t>
  </si>
  <si>
    <t>2490</t>
  </si>
  <si>
    <t>Dichlorisopropylether</t>
  </si>
  <si>
    <t>2491</t>
  </si>
  <si>
    <t>Ethanolamin oder Ethanolamin, Lösung</t>
  </si>
  <si>
    <t>2493</t>
  </si>
  <si>
    <t>Hexamethylenimin</t>
  </si>
  <si>
    <t>2495</t>
  </si>
  <si>
    <t>Iodpentafluorid</t>
  </si>
  <si>
    <t>2496</t>
  </si>
  <si>
    <t>Propionsäureanhydrid</t>
  </si>
  <si>
    <t>2498</t>
  </si>
  <si>
    <t>1,2,3,6-Tetrahydrobenzaldehyd</t>
  </si>
  <si>
    <t>2501</t>
  </si>
  <si>
    <t>Tris-(1-Aziridinyl)-Phosphinoxid, Lösung</t>
  </si>
  <si>
    <t>2502</t>
  </si>
  <si>
    <t>Valerylchlorid</t>
  </si>
  <si>
    <t>2503</t>
  </si>
  <si>
    <t>Zirconiumtetrachlorid</t>
  </si>
  <si>
    <t>2504</t>
  </si>
  <si>
    <t>Tetrabromethan</t>
  </si>
  <si>
    <t>2505</t>
  </si>
  <si>
    <t>Ammoniumfluorid</t>
  </si>
  <si>
    <t>2506</t>
  </si>
  <si>
    <t>Ammoniumhydrogensulfat</t>
  </si>
  <si>
    <t>2507</t>
  </si>
  <si>
    <t>Hexachloroplatinsäure, fest</t>
  </si>
  <si>
    <t>2508</t>
  </si>
  <si>
    <t>Molybdänpentachlorid</t>
  </si>
  <si>
    <t>2509</t>
  </si>
  <si>
    <t>Kaliumhydrogensulfat</t>
  </si>
  <si>
    <t>2511</t>
  </si>
  <si>
    <t>alpha-Chlorpropionsäure, Lösung oder fest</t>
  </si>
  <si>
    <t>2512</t>
  </si>
  <si>
    <t>Aminophenole (o-, m-, p-)</t>
  </si>
  <si>
    <t>2513</t>
  </si>
  <si>
    <t>Bromacetylbromid</t>
  </si>
  <si>
    <t>2514</t>
  </si>
  <si>
    <t>Brombenzen</t>
  </si>
  <si>
    <t>2515</t>
  </si>
  <si>
    <t>Bromoform</t>
  </si>
  <si>
    <t>2516</t>
  </si>
  <si>
    <t>Tetrabromkohlenstoff</t>
  </si>
  <si>
    <t>2517</t>
  </si>
  <si>
    <t>1-Chlor-1,1-difluorethan (Gas als Kältemittel R 142b)</t>
  </si>
  <si>
    <t>2518</t>
  </si>
  <si>
    <t>1,5,9-Cyclododecatrien</t>
  </si>
  <si>
    <t>2520</t>
  </si>
  <si>
    <t>Cyclooctadiene</t>
  </si>
  <si>
    <t>2521</t>
  </si>
  <si>
    <t>Diketen, stabilisiert</t>
  </si>
  <si>
    <t>2522</t>
  </si>
  <si>
    <t>2-Dimethylaminoethylmethacrylat</t>
  </si>
  <si>
    <t>2524</t>
  </si>
  <si>
    <t>Ethylorthoformiat</t>
  </si>
  <si>
    <t>2525</t>
  </si>
  <si>
    <t>Ethyloxalat</t>
  </si>
  <si>
    <t>2526</t>
  </si>
  <si>
    <t>Furfurylamin</t>
  </si>
  <si>
    <t>2527</t>
  </si>
  <si>
    <t>Isobutylacrylat, stabilisiert</t>
  </si>
  <si>
    <t>2528</t>
  </si>
  <si>
    <t>Isobutylisobutyrat</t>
  </si>
  <si>
    <t>2529</t>
  </si>
  <si>
    <t>Isobuttersäure</t>
  </si>
  <si>
    <t>2531</t>
  </si>
  <si>
    <t>89</t>
  </si>
  <si>
    <t>Methacrylsäure, stabilisiert</t>
  </si>
  <si>
    <t>2533</t>
  </si>
  <si>
    <t>Methyltrichloracetat</t>
  </si>
  <si>
    <t>2534</t>
  </si>
  <si>
    <t>2535</t>
  </si>
  <si>
    <t>4-Methylmorpholin (N-Methylmorpholin)</t>
  </si>
  <si>
    <t>2536</t>
  </si>
  <si>
    <t>Methyltetrahydrofuran</t>
  </si>
  <si>
    <t>2538</t>
  </si>
  <si>
    <t>2541</t>
  </si>
  <si>
    <t>Terpinolen</t>
  </si>
  <si>
    <t>2542</t>
  </si>
  <si>
    <t>Tributylamin</t>
  </si>
  <si>
    <t>2545</t>
  </si>
  <si>
    <t>Hafniumpulver, trocken</t>
  </si>
  <si>
    <t>2546</t>
  </si>
  <si>
    <t>Titanpulver, trocken</t>
  </si>
  <si>
    <t>2547</t>
  </si>
  <si>
    <t>Natriumsuperoxid</t>
  </si>
  <si>
    <t>2548</t>
  </si>
  <si>
    <t>Chlorpentafluorid</t>
  </si>
  <si>
    <t>2552</t>
  </si>
  <si>
    <t>Hexafluoracetonhydrat, flüssig</t>
  </si>
  <si>
    <t>2554</t>
  </si>
  <si>
    <t>Methylallylchlorid</t>
  </si>
  <si>
    <t>2555</t>
  </si>
  <si>
    <t>Zellulosenitrat (Nitrocellulose), mit mindestens 25 Masse-% Wasser</t>
  </si>
  <si>
    <t>2556</t>
  </si>
  <si>
    <t>Zellulosenitrat (Nitrocellulose), mit mindestens 25 Masse-% Alkohol und höchstens 12,6 % Stickstoff in der Trockenmasse</t>
  </si>
  <si>
    <t>2557</t>
  </si>
  <si>
    <t>Zellulosenitrat (Nitrocellulose), Mischung mit höchstens 12,6 % Stickstoff in der Trockenmasse, mit oder ohne Plastifizierungsmittel, mit oder ohne Pigment</t>
  </si>
  <si>
    <t>2558</t>
  </si>
  <si>
    <t>Epibromhydrin</t>
  </si>
  <si>
    <t>2560</t>
  </si>
  <si>
    <t>2-Methylpentan-2-ol</t>
  </si>
  <si>
    <t>2561</t>
  </si>
  <si>
    <t>3-Methylbut-1-en</t>
  </si>
  <si>
    <t>2564</t>
  </si>
  <si>
    <t>Trichloressigsäure, Lösung</t>
  </si>
  <si>
    <t>2565</t>
  </si>
  <si>
    <t>Dicyclohexylamin</t>
  </si>
  <si>
    <t>2567</t>
  </si>
  <si>
    <t>Natriumpentachlorphenolat</t>
  </si>
  <si>
    <t>2570</t>
  </si>
  <si>
    <t>Cadmiumverbindung</t>
  </si>
  <si>
    <t>2571</t>
  </si>
  <si>
    <t>Alkylschwefelsäuren</t>
  </si>
  <si>
    <t>2572</t>
  </si>
  <si>
    <t>Phenylhydrazin</t>
  </si>
  <si>
    <t>2573</t>
  </si>
  <si>
    <t>Thalliumchlorat</t>
  </si>
  <si>
    <t>2574</t>
  </si>
  <si>
    <t>Tricresylphosphat mit mehr als 3 % ortho-Isomer</t>
  </si>
  <si>
    <t>2576</t>
  </si>
  <si>
    <t>Phosphoroxybromid, geschmolzen</t>
  </si>
  <si>
    <t>2577</t>
  </si>
  <si>
    <t>Phenylacetylchlorid</t>
  </si>
  <si>
    <t>2578</t>
  </si>
  <si>
    <t>Phosphortrioxid</t>
  </si>
  <si>
    <t>2579</t>
  </si>
  <si>
    <t>Piperazin</t>
  </si>
  <si>
    <t>2580</t>
  </si>
  <si>
    <t>Aluminiumbromid, Lösung</t>
  </si>
  <si>
    <t>2581</t>
  </si>
  <si>
    <t>Aluminiumchlorid, Lösung</t>
  </si>
  <si>
    <t>2582</t>
  </si>
  <si>
    <t>Eisenchlorid, Lösung (Eisen(II)-chlorid und Eisen(III)-chlorid)</t>
  </si>
  <si>
    <t>2583</t>
  </si>
  <si>
    <t>Alkylsulfonsäuren, fest oder Arylsulfonsäuren, fest, mit mehr als 5 % freier Schwefelsäure</t>
  </si>
  <si>
    <t>2584</t>
  </si>
  <si>
    <t>Alkylsulfonsäuren, flüssig oder Arylsulfonsäuren, flüssig, mit mehr als 5 % freier Schwefelsäure</t>
  </si>
  <si>
    <t>2585</t>
  </si>
  <si>
    <t>Alkylsulfonsäure, fest oder Arylsulfonsäuren, fest, mit höchstens 5 % freier Schwefelsäure</t>
  </si>
  <si>
    <t>2586</t>
  </si>
  <si>
    <t>Alkylsulfonsäuren, flüssig oder Arylsulfonsäuren, flüssig, mit höchstens 5 % freier Schwefelsäure</t>
  </si>
  <si>
    <t>2587</t>
  </si>
  <si>
    <t>Benzochinon</t>
  </si>
  <si>
    <t>2588</t>
  </si>
  <si>
    <t>Pestizid, fest, giftig</t>
  </si>
  <si>
    <t>2589</t>
  </si>
  <si>
    <t>Vinylchloracetat, N.A.G.</t>
  </si>
  <si>
    <t>2590</t>
  </si>
  <si>
    <t>Asbest, Chrysotil</t>
  </si>
  <si>
    <t>2591</t>
  </si>
  <si>
    <t>Xenon, tiefgekühlt, flüssig</t>
  </si>
  <si>
    <t>2599</t>
  </si>
  <si>
    <t>Chlortrifluormethan und Trifluormethan, azeotropes Gemisch mit rund 60 % Chlortrifluormethan (Gas als Kältemittel R 503)</t>
  </si>
  <si>
    <t>2600</t>
  </si>
  <si>
    <t>Kohlenstoffmonoxid und Wasserstoff, Gemisch, verdichtet</t>
  </si>
  <si>
    <t>2601</t>
  </si>
  <si>
    <t>2602</t>
  </si>
  <si>
    <t>Dichlordifluormethan und 1,1-Difluorethan, azeotropes Gemisch mit rund 74 % Dichlordifluormethan (Gas als Kältemittel R 500)</t>
  </si>
  <si>
    <t>2603</t>
  </si>
  <si>
    <t>Cycloheptatrien</t>
  </si>
  <si>
    <t>2604</t>
  </si>
  <si>
    <t>Bortrifluoriddiethyletherat</t>
  </si>
  <si>
    <t>2605</t>
  </si>
  <si>
    <t>Methoxymethylisocyanat</t>
  </si>
  <si>
    <t>2606</t>
  </si>
  <si>
    <t>Methylorthosilicat</t>
  </si>
  <si>
    <t>2607</t>
  </si>
  <si>
    <t>Propenal (Acrolein), dimer, stabilisiert</t>
  </si>
  <si>
    <t>2608</t>
  </si>
  <si>
    <t>Nitropropane</t>
  </si>
  <si>
    <t>2609</t>
  </si>
  <si>
    <t>Triallylborat</t>
  </si>
  <si>
    <t>2610</t>
  </si>
  <si>
    <t>Triallylamin</t>
  </si>
  <si>
    <t>2611</t>
  </si>
  <si>
    <t>1-Chlorpropan-2-ol</t>
  </si>
  <si>
    <t>2612</t>
  </si>
  <si>
    <t>Methylpropylether</t>
  </si>
  <si>
    <t>2614</t>
  </si>
  <si>
    <t>Methylallylalkohol</t>
  </si>
  <si>
    <t>2615</t>
  </si>
  <si>
    <t>Ethylpropylether</t>
  </si>
  <si>
    <t>2616</t>
  </si>
  <si>
    <t>Triisopropylborat</t>
  </si>
  <si>
    <t>2617</t>
  </si>
  <si>
    <t>Methylcyclohexanole, entzündbar</t>
  </si>
  <si>
    <t>2618</t>
  </si>
  <si>
    <t>Vinyltoluole, stabilisiert</t>
  </si>
  <si>
    <t>2619</t>
  </si>
  <si>
    <t>Benzyldimethylamin</t>
  </si>
  <si>
    <t>2620</t>
  </si>
  <si>
    <t>Amylbutyrate</t>
  </si>
  <si>
    <t>2621</t>
  </si>
  <si>
    <t>Acetylmethylcarbinol</t>
  </si>
  <si>
    <t>2622</t>
  </si>
  <si>
    <t>Glycidaldehyd</t>
  </si>
  <si>
    <t>2623</t>
  </si>
  <si>
    <t>Feueranzünder (fest), mit entzündbarem, flüssigem Stoff getränkt</t>
  </si>
  <si>
    <t>2624</t>
  </si>
  <si>
    <t>Magnesiumsilicid</t>
  </si>
  <si>
    <t>2626</t>
  </si>
  <si>
    <t>Chlorsäure, wässrige Lösung mit höchstens 10 % Säure</t>
  </si>
  <si>
    <t>2627</t>
  </si>
  <si>
    <t>Nitrite, anorganische, N.A.G.</t>
  </si>
  <si>
    <t>2628</t>
  </si>
  <si>
    <t>Kaliumfluoracetat</t>
  </si>
  <si>
    <t>2629</t>
  </si>
  <si>
    <t>Natriumfluoracetat</t>
  </si>
  <si>
    <t>2630</t>
  </si>
  <si>
    <t>Selenate oder Selenite</t>
  </si>
  <si>
    <t>2642</t>
  </si>
  <si>
    <t>Fluoressigsäure</t>
  </si>
  <si>
    <t>2643</t>
  </si>
  <si>
    <t>Methylbromacetat</t>
  </si>
  <si>
    <t>2644</t>
  </si>
  <si>
    <t>Methyliodid</t>
  </si>
  <si>
    <t>2645</t>
  </si>
  <si>
    <t>Phenacylbromid</t>
  </si>
  <si>
    <t>2646</t>
  </si>
  <si>
    <t>Hexachlorcyclopentadien</t>
  </si>
  <si>
    <t>2647</t>
  </si>
  <si>
    <t>Malonitril</t>
  </si>
  <si>
    <t>2648</t>
  </si>
  <si>
    <t>1,2-Dibrombutan-3-on</t>
  </si>
  <si>
    <t>2649</t>
  </si>
  <si>
    <t>1,3-Dichloraceton</t>
  </si>
  <si>
    <t>2650</t>
  </si>
  <si>
    <t>1,1-Dichlor-1-nitroethan</t>
  </si>
  <si>
    <t>2651</t>
  </si>
  <si>
    <t>4,4’-Diaminodiphenylmethan</t>
  </si>
  <si>
    <t>2653</t>
  </si>
  <si>
    <t>Benzyliodid</t>
  </si>
  <si>
    <t>2655</t>
  </si>
  <si>
    <t>Kaliumfluorsilicat</t>
  </si>
  <si>
    <t>2656</t>
  </si>
  <si>
    <t>Chinolin</t>
  </si>
  <si>
    <t>2657</t>
  </si>
  <si>
    <t>Selendisulfid</t>
  </si>
  <si>
    <t>2659</t>
  </si>
  <si>
    <t>Natriumchloracetat</t>
  </si>
  <si>
    <t>2660</t>
  </si>
  <si>
    <t>Nitrotoluidine (mono)</t>
  </si>
  <si>
    <t>2661</t>
  </si>
  <si>
    <t>Hexachloraceton</t>
  </si>
  <si>
    <t>2662</t>
  </si>
  <si>
    <t>Hydrochinon</t>
  </si>
  <si>
    <t>2664</t>
  </si>
  <si>
    <t>Dibrommethan</t>
  </si>
  <si>
    <t>2667</t>
  </si>
  <si>
    <t>Butyltoluole</t>
  </si>
  <si>
    <t>2668</t>
  </si>
  <si>
    <t>Chloracetonitril</t>
  </si>
  <si>
    <t>2669</t>
  </si>
  <si>
    <t>Chlorkresole, Lösung</t>
  </si>
  <si>
    <t>2670</t>
  </si>
  <si>
    <t>Cyanurchlorid</t>
  </si>
  <si>
    <t>2671</t>
  </si>
  <si>
    <t>Aminopyridine (o-, m-, p-)</t>
  </si>
  <si>
    <t>2672</t>
  </si>
  <si>
    <t>Ammoniaklösung in Wasser, relative Dichte zwischen 0,880 und 0,957 bei 15 °C, mit mehr als 10 %, aber höchstens 35 % Ammoniak</t>
  </si>
  <si>
    <t>2673</t>
  </si>
  <si>
    <t>2-Amino-4-Chlorphenol</t>
  </si>
  <si>
    <t>2674</t>
  </si>
  <si>
    <t>Natriumfluorosilicat</t>
  </si>
  <si>
    <t>2676</t>
  </si>
  <si>
    <t>Stiban (Antimonwasserstoff)</t>
  </si>
  <si>
    <t>2677</t>
  </si>
  <si>
    <t>Rubidiumhydroxidlösung</t>
  </si>
  <si>
    <t>2678</t>
  </si>
  <si>
    <t>Rubidiumhydroxid</t>
  </si>
  <si>
    <t>2679</t>
  </si>
  <si>
    <t>Lithiumhydroxidlösung</t>
  </si>
  <si>
    <t>2680</t>
  </si>
  <si>
    <t>Lithiumhydroxidmonohydrat</t>
  </si>
  <si>
    <t>2681</t>
  </si>
  <si>
    <t>Caesiumhydroxidlösung</t>
  </si>
  <si>
    <t>2682</t>
  </si>
  <si>
    <t>Caesiumhydroxid</t>
  </si>
  <si>
    <t>2683</t>
  </si>
  <si>
    <t>Ammoniumsulfid, Lösung</t>
  </si>
  <si>
    <t>2684</t>
  </si>
  <si>
    <t>3-(Diethylamino)-propylamin</t>
  </si>
  <si>
    <t>2685</t>
  </si>
  <si>
    <t>N,N-Diethylethylendiamin</t>
  </si>
  <si>
    <t>2686</t>
  </si>
  <si>
    <t>2-Diethylaminoethanol</t>
  </si>
  <si>
    <t>2687</t>
  </si>
  <si>
    <t>Dicyclohexylammoniumnitrit</t>
  </si>
  <si>
    <t>2688</t>
  </si>
  <si>
    <t>1-Brom-3-chlorpropan</t>
  </si>
  <si>
    <t>2689</t>
  </si>
  <si>
    <t>Glycerol-alpha-monochlorhydrin</t>
  </si>
  <si>
    <t>2690</t>
  </si>
  <si>
    <t>N-(n-Butyl)imidazol</t>
  </si>
  <si>
    <t>2691</t>
  </si>
  <si>
    <t>Phosphorpentabromid</t>
  </si>
  <si>
    <t>2692</t>
  </si>
  <si>
    <t>Bortribromid</t>
  </si>
  <si>
    <t>2693</t>
  </si>
  <si>
    <t>Hydrogensulfite, wässrige Lösung</t>
  </si>
  <si>
    <t>2698</t>
  </si>
  <si>
    <t>Tetrahydrophthalsäureanhydride mit mehr als 0,05 % Maleinsäureanhydrid</t>
  </si>
  <si>
    <t>2699</t>
  </si>
  <si>
    <t>Trifluoressigsäure</t>
  </si>
  <si>
    <t>2705</t>
  </si>
  <si>
    <t>1-Pentol</t>
  </si>
  <si>
    <t>2707</t>
  </si>
  <si>
    <t>Dimethyldioxane</t>
  </si>
  <si>
    <t>2709</t>
  </si>
  <si>
    <t>Butylbenzole</t>
  </si>
  <si>
    <t>2710</t>
  </si>
  <si>
    <t>Dipropylketon</t>
  </si>
  <si>
    <t>2713</t>
  </si>
  <si>
    <t>Acridin</t>
  </si>
  <si>
    <t>2714</t>
  </si>
  <si>
    <t>Zinkresinat</t>
  </si>
  <si>
    <t>2715</t>
  </si>
  <si>
    <t>Aluminiumresinat</t>
  </si>
  <si>
    <t>2716</t>
  </si>
  <si>
    <t>Butin-1,4-diol</t>
  </si>
  <si>
    <t>2717</t>
  </si>
  <si>
    <t>Campher, synthetisch</t>
  </si>
  <si>
    <t>2719</t>
  </si>
  <si>
    <t>Bariumbromat</t>
  </si>
  <si>
    <t>2720</t>
  </si>
  <si>
    <t>Chromiumnitrat</t>
  </si>
  <si>
    <t>2721</t>
  </si>
  <si>
    <t>Kupferchlorat</t>
  </si>
  <si>
    <t>2722</t>
  </si>
  <si>
    <t>Lithiumnitrat</t>
  </si>
  <si>
    <t>2723</t>
  </si>
  <si>
    <t>Magnesiumchlorat</t>
  </si>
  <si>
    <t>2724</t>
  </si>
  <si>
    <t>Mangannitrat</t>
  </si>
  <si>
    <t>2725</t>
  </si>
  <si>
    <t>Nickelnitrat</t>
  </si>
  <si>
    <t>2726</t>
  </si>
  <si>
    <t>Nickelnitrit</t>
  </si>
  <si>
    <t>2727</t>
  </si>
  <si>
    <t>Thalliumnitrat</t>
  </si>
  <si>
    <t>2728</t>
  </si>
  <si>
    <t>Zirconiumnitrat</t>
  </si>
  <si>
    <t>2729</t>
  </si>
  <si>
    <t>Hexachlorbenzen</t>
  </si>
  <si>
    <t>2730</t>
  </si>
  <si>
    <t>Nitroanisole, flüssig</t>
  </si>
  <si>
    <t>2732</t>
  </si>
  <si>
    <t>Nitrobrombenzole, flüssig</t>
  </si>
  <si>
    <t>2733</t>
  </si>
  <si>
    <t>Amine, entzündbar, ätzend, N.A.G. oder Polyamine, entzündbar, ätzend, N.A.G.</t>
  </si>
  <si>
    <t>2734</t>
  </si>
  <si>
    <t>83 + 883</t>
  </si>
  <si>
    <t>Amine, flüssig, ätzend, entzündbar, N.A.G. oder Polyamine, flüssig, ätzend, entzündbar, N.A.G.</t>
  </si>
  <si>
    <t>2735</t>
  </si>
  <si>
    <t>Amine, flüssig, ätzend, N.A.G. oder Polyamine, flüssig, ätzend, N.A.G.</t>
  </si>
  <si>
    <t>2738</t>
  </si>
  <si>
    <t>N-Butylanilin</t>
  </si>
  <si>
    <t>2739</t>
  </si>
  <si>
    <t>Buttersäureanhydrid</t>
  </si>
  <si>
    <t>2740</t>
  </si>
  <si>
    <t>n-Propylchlorformiat</t>
  </si>
  <si>
    <t>2741</t>
  </si>
  <si>
    <t>Bariumhypochlorit mit mehr als 22 % aktivem Chlor</t>
  </si>
  <si>
    <t>2742</t>
  </si>
  <si>
    <t>638</t>
  </si>
  <si>
    <t>Chlorformiate, giftig, ätzend, entzündbar, N.A.G.</t>
  </si>
  <si>
    <t>2743</t>
  </si>
  <si>
    <t>n-Butylchlorformiat</t>
  </si>
  <si>
    <t>2744</t>
  </si>
  <si>
    <t>Cyclobutylchlorformiat</t>
  </si>
  <si>
    <t>2745</t>
  </si>
  <si>
    <t>Chlormethylchlorformiat</t>
  </si>
  <si>
    <t>2746</t>
  </si>
  <si>
    <t>Phenylchlorformiat</t>
  </si>
  <si>
    <t>2747</t>
  </si>
  <si>
    <t>tert-Butylcyclohexylchlorformiat</t>
  </si>
  <si>
    <t>2748</t>
  </si>
  <si>
    <t>2-Ethylhexylchlorformiat</t>
  </si>
  <si>
    <t>2749</t>
  </si>
  <si>
    <t>Tetramethylsilan</t>
  </si>
  <si>
    <t>2750</t>
  </si>
  <si>
    <t>1,3-Dichlorpropan-2-ol</t>
  </si>
  <si>
    <t>2751</t>
  </si>
  <si>
    <t>Diethylthiophosphorylchlorid</t>
  </si>
  <si>
    <t>2752</t>
  </si>
  <si>
    <t>1,2-Epoxy-3-ethoxypropan</t>
  </si>
  <si>
    <t>2753</t>
  </si>
  <si>
    <t>N-Ethyl-N-benzyltoluidine, flüssig</t>
  </si>
  <si>
    <t>2754</t>
  </si>
  <si>
    <t>N-Ethyltoluidine</t>
  </si>
  <si>
    <t>2757</t>
  </si>
  <si>
    <t>Carbamat-Pestizid, fest, giftig</t>
  </si>
  <si>
    <t>2758</t>
  </si>
  <si>
    <t>Carbamat-Pestizid, flüssig, entzündbar, giftig, Flammpunkt unter 23 °C</t>
  </si>
  <si>
    <t>2759</t>
  </si>
  <si>
    <t>Arsenhaltiges Pestizid, fest, giftig</t>
  </si>
  <si>
    <t>2760</t>
  </si>
  <si>
    <t>Arsenhaltiges Pestizid, flüssig, entzündbar, giftig, Flammpunkt unter 23 °C</t>
  </si>
  <si>
    <t>2761</t>
  </si>
  <si>
    <t>Organochlor-Pestizid, fest, giftig</t>
  </si>
  <si>
    <t>2762</t>
  </si>
  <si>
    <t>Organochlor-Pestizid, flüssig, entzündbar, giftig, Flammpunkt unter 23 °C</t>
  </si>
  <si>
    <t>2763</t>
  </si>
  <si>
    <t>Triazin-Pestizid, fest, giftig</t>
  </si>
  <si>
    <t>2764</t>
  </si>
  <si>
    <t>Triazin-Pestizid, flüssig, entzündbar, giftig, Flammpunkt unter 23 °C</t>
  </si>
  <si>
    <t>2771</t>
  </si>
  <si>
    <t>Thiocarbamat-Pestizid, fest, giftig</t>
  </si>
  <si>
    <t>2772</t>
  </si>
  <si>
    <t>Thiocarbamat-Pestizid, flüssig, entzündbar, giftig, Flammpunkt unter 23 °C</t>
  </si>
  <si>
    <t>2775</t>
  </si>
  <si>
    <t>Kupferhaltiges Pestizid, fest, giftig</t>
  </si>
  <si>
    <t>2776</t>
  </si>
  <si>
    <t>Kupferhaltiges Pestizid, flüssig, entzündbar, giftig, Flammpunkt unter 23 °C</t>
  </si>
  <si>
    <t>2777</t>
  </si>
  <si>
    <t>Quecksilberhaltiges Pestizid, fest, giftig</t>
  </si>
  <si>
    <t>2778</t>
  </si>
  <si>
    <t>Quecksilberhaltiges Pestizid, flüssig, entzündbar, giftig, Flammpunkt unter 23 °C</t>
  </si>
  <si>
    <t>2779</t>
  </si>
  <si>
    <t>Substituiertes Nitrophenol-Pestizid, fest, giftig</t>
  </si>
  <si>
    <t>2780</t>
  </si>
  <si>
    <t>Substituiertes Nitrophenol-Pestizid, flüssig, entzündbar, giftig, Flammpunkt unter 23 °C</t>
  </si>
  <si>
    <t>2781</t>
  </si>
  <si>
    <t>Bipyridilium-Pestizid, fest, giftig</t>
  </si>
  <si>
    <t>2782</t>
  </si>
  <si>
    <t>Bipyridilium-Pestizid, flüssig, entzündbar, giftig, Flammpunkt unter 23 °C</t>
  </si>
  <si>
    <t>2783</t>
  </si>
  <si>
    <t>Organophosphor-Pestizid, fest, giftig</t>
  </si>
  <si>
    <t>2784</t>
  </si>
  <si>
    <t>Organophosphor-Pestizid, flüssig, entzündbar, giftig, Flammpunkt unter 23 °C</t>
  </si>
  <si>
    <t>2785</t>
  </si>
  <si>
    <t>Thiapentan-4-al</t>
  </si>
  <si>
    <t>2786</t>
  </si>
  <si>
    <t>Organozinn-Pestizid, fest, giftig</t>
  </si>
  <si>
    <t>2787</t>
  </si>
  <si>
    <t>Organozinn-Pestizid, flüssig, entzündbar, giftig, Flammpunkt unter 23 °C</t>
  </si>
  <si>
    <t>2788</t>
  </si>
  <si>
    <t>Organische Zinnverbindung, flüssig, N.A.G.</t>
  </si>
  <si>
    <t>2789</t>
  </si>
  <si>
    <t>Eisessig oder Essigsäure, Lösung mit mehr als 80 Masse-% Säure</t>
  </si>
  <si>
    <t>2790</t>
  </si>
  <si>
    <t>Essigsäure, Lösung mit mindestens 50 Masse-% und höchstens 80 Masse-% Säure</t>
  </si>
  <si>
    <t>Essigsäure, Lösung mit mehr als 10 Masse-%, aber weniger als 50 Masse-% Säure</t>
  </si>
  <si>
    <t>2793</t>
  </si>
  <si>
    <t>Metallisches Eisen als Bohrspäne, Frässpäne, Drehspäne, Abfälle in selbsterhitzungsfähiger Form</t>
  </si>
  <si>
    <t>2794</t>
  </si>
  <si>
    <t>Batterien (Akkumulatoren), nass, gefüllt mit Säure, elektrische Sammler</t>
  </si>
  <si>
    <t>2795</t>
  </si>
  <si>
    <t>Batterien (Akkumulatoren), nass, gefüllt mit Alkalien, elektrische Sammler</t>
  </si>
  <si>
    <t>2796</t>
  </si>
  <si>
    <t>Schwefelsäure mit höchstens 51 % Säure oder Batterieflüssigkeit, sauer</t>
  </si>
  <si>
    <t>2797</t>
  </si>
  <si>
    <t>Batterieflüssigkeit, alkalisch</t>
  </si>
  <si>
    <t>2798</t>
  </si>
  <si>
    <t>Phenylphosphordichlorid</t>
  </si>
  <si>
    <t>2799</t>
  </si>
  <si>
    <t>Phenylphosphorthiodichlorid</t>
  </si>
  <si>
    <t>2800</t>
  </si>
  <si>
    <t>Batterien (Akkumulatoren), nass, auslaufsicher, elektrische Sammler</t>
  </si>
  <si>
    <t>2801</t>
  </si>
  <si>
    <t>Farbstoff, flüssig, ätzend, N.A.G. oder Farbstoffzwischenprodukt, flüssig, ätzend, N.A.G.</t>
  </si>
  <si>
    <t>2802</t>
  </si>
  <si>
    <t>Kupferchlorid (Kupfer(I)-chlorid und Kupfer(II)-chlorid)</t>
  </si>
  <si>
    <t>2803</t>
  </si>
  <si>
    <t>Gallium</t>
  </si>
  <si>
    <t>2805</t>
  </si>
  <si>
    <t>Lithiumhydrid geschmolzen und erstarrt</t>
  </si>
  <si>
    <t>2806</t>
  </si>
  <si>
    <t>Lithiumnitrid</t>
  </si>
  <si>
    <t>2807</t>
  </si>
  <si>
    <t>Magnetisierte Stoffe (Unterliegt nicht den Vorschriften des ADR)</t>
  </si>
  <si>
    <t>2809</t>
  </si>
  <si>
    <t>Quecksilber</t>
  </si>
  <si>
    <t>2810</t>
  </si>
  <si>
    <t>Giftiger, organischer, flüssiger Stoff, N.A.G.</t>
  </si>
  <si>
    <t>2811</t>
  </si>
  <si>
    <t>Giftiger, organischer, fester Stoff, N.A.G.</t>
  </si>
  <si>
    <t>2812</t>
  </si>
  <si>
    <t>Natriumaluminat, fest (Unterliegt nicht den Vorschriften des ADR)</t>
  </si>
  <si>
    <t>2813</t>
  </si>
  <si>
    <t>Mit Wasser reagierender, fester Stoff, N.A.G.</t>
  </si>
  <si>
    <t>2814</t>
  </si>
  <si>
    <t>6,2</t>
  </si>
  <si>
    <t>Ansteckungsgefährlicher Stoff, gefährlich für Menschen (Risikogruppen 3 und 4)</t>
  </si>
  <si>
    <t>606</t>
  </si>
  <si>
    <t>Ansteckungsgefährlicher Stoff, gefährlich für Menschen (Risikogruppen 2)</t>
  </si>
  <si>
    <t>2815</t>
  </si>
  <si>
    <t>N-Aminoethylpiperazin</t>
  </si>
  <si>
    <t>2817</t>
  </si>
  <si>
    <t>Ammoniumhydrogendifluorid, Lösung</t>
  </si>
  <si>
    <t>2818</t>
  </si>
  <si>
    <t>Ammoniumpolysulfid, Lösung</t>
  </si>
  <si>
    <t>2819</t>
  </si>
  <si>
    <t>Amylphosphat</t>
  </si>
  <si>
    <t>2820</t>
  </si>
  <si>
    <t>2821</t>
  </si>
  <si>
    <t>Dinitrophenol, Lösung</t>
  </si>
  <si>
    <t>2822</t>
  </si>
  <si>
    <t>2-Chlorpyridin</t>
  </si>
  <si>
    <t>2823</t>
  </si>
  <si>
    <t>Crotonsäure</t>
  </si>
  <si>
    <t>2826</t>
  </si>
  <si>
    <t>Ethylchlorthioformiat</t>
  </si>
  <si>
    <t>2829</t>
  </si>
  <si>
    <t>Capronsäure</t>
  </si>
  <si>
    <t>2830</t>
  </si>
  <si>
    <t>Lithiumferrosilicid</t>
  </si>
  <si>
    <t>2831</t>
  </si>
  <si>
    <t>1,1,1-Trichlorethan</t>
  </si>
  <si>
    <t>2834</t>
  </si>
  <si>
    <t>Phosphorige Säure</t>
  </si>
  <si>
    <t>2835</t>
  </si>
  <si>
    <t>Natriumaluminiumhydrid</t>
  </si>
  <si>
    <t>2837</t>
  </si>
  <si>
    <t>Hydrogensulfate, wässrige Lösung</t>
  </si>
  <si>
    <t>2838</t>
  </si>
  <si>
    <t>Vinylbutyrat, stabilisiert</t>
  </si>
  <si>
    <t>2839</t>
  </si>
  <si>
    <t>Aldol (3-Hydroxybutyraldehyd)</t>
  </si>
  <si>
    <t>2840</t>
  </si>
  <si>
    <t>Butyraldoxim</t>
  </si>
  <si>
    <t>2841</t>
  </si>
  <si>
    <t>Di-n-amylamin</t>
  </si>
  <si>
    <t>2842</t>
  </si>
  <si>
    <t>2844</t>
  </si>
  <si>
    <t>Calciummangansilicium</t>
  </si>
  <si>
    <t>2845</t>
  </si>
  <si>
    <t>Pyrophorer organischer flüssiger Stoff</t>
  </si>
  <si>
    <t>2846</t>
  </si>
  <si>
    <t>Pyrophorer organischer fester Stoff</t>
  </si>
  <si>
    <t>2849</t>
  </si>
  <si>
    <t>3-Chlorpropan-1-ol</t>
  </si>
  <si>
    <t>2850</t>
  </si>
  <si>
    <t>Tetrapropylen (Propylentetramer)</t>
  </si>
  <si>
    <t>2851</t>
  </si>
  <si>
    <t>Bortrifluoriddihydrat</t>
  </si>
  <si>
    <t>2852</t>
  </si>
  <si>
    <t>Dipikrylsulfid, angefeuchtet mit mindestens 10 Masse-% Wasser</t>
  </si>
  <si>
    <t>2853</t>
  </si>
  <si>
    <t>Magnesiumfluorosilicat</t>
  </si>
  <si>
    <t>2854</t>
  </si>
  <si>
    <t>Ammoniumfluorosilicat</t>
  </si>
  <si>
    <t>2855</t>
  </si>
  <si>
    <t>Zinkfluorosilicat</t>
  </si>
  <si>
    <t>2856</t>
  </si>
  <si>
    <t>Fluorosilicate, N.A.G.</t>
  </si>
  <si>
    <t>2857</t>
  </si>
  <si>
    <t>Kältemaschinen mit nicht entzündbarem und nicht giftigem verflüssigten Gas oder Ammoniaklösung (UN 2672)</t>
  </si>
  <si>
    <t>2858</t>
  </si>
  <si>
    <t>Zirconium, trocken, gerollter Draht, fertige Bleche, Streifen (dünner als 254 µm, aber nicht dünner als 18 µm)</t>
  </si>
  <si>
    <t>2859</t>
  </si>
  <si>
    <t>Ammoniummetavanadat</t>
  </si>
  <si>
    <t>2861</t>
  </si>
  <si>
    <t>Ammoniumpolyvanadat</t>
  </si>
  <si>
    <t>2862</t>
  </si>
  <si>
    <t>Vanadiumpentoxid, nicht geschmolzen</t>
  </si>
  <si>
    <t>2863</t>
  </si>
  <si>
    <t>Natriumammoniumvanadat</t>
  </si>
  <si>
    <t>2864</t>
  </si>
  <si>
    <t>Kaliummetavanadat</t>
  </si>
  <si>
    <t>2865</t>
  </si>
  <si>
    <t>Hydroxylaminsulfat</t>
  </si>
  <si>
    <t>2869</t>
  </si>
  <si>
    <t>Titantrichlorid, pyrophor oder Titantrichlorid-Mischungen, pyrophor</t>
  </si>
  <si>
    <t>2870</t>
  </si>
  <si>
    <t>Aluminiumborhydrid</t>
  </si>
  <si>
    <t>Aluminiumborhydrid in Geräten</t>
  </si>
  <si>
    <t>2871</t>
  </si>
  <si>
    <t>Antimonpulver</t>
  </si>
  <si>
    <t>2872</t>
  </si>
  <si>
    <t>Dibromchlorpropane</t>
  </si>
  <si>
    <t>2873</t>
  </si>
  <si>
    <t>Dibutylaminoethanol</t>
  </si>
  <si>
    <t>2874</t>
  </si>
  <si>
    <t>Furfurylalkohol</t>
  </si>
  <si>
    <t>2875</t>
  </si>
  <si>
    <t>Hexachlorophen</t>
  </si>
  <si>
    <t>2876</t>
  </si>
  <si>
    <t>2878</t>
  </si>
  <si>
    <t>Titanschwammgranulate oder Titanschwammpulver</t>
  </si>
  <si>
    <t>2879</t>
  </si>
  <si>
    <t>Selenoxychlorid</t>
  </si>
  <si>
    <t>2880</t>
  </si>
  <si>
    <t>Calciumhypochlorit, hydratisiert oder Calciumhypochlorit, hydratisierte Mischung mit mindestens 5,5 %, aber höchstens 16 % Wasser</t>
  </si>
  <si>
    <t>2881</t>
  </si>
  <si>
    <t>Metallkatalysator, trocken</t>
  </si>
  <si>
    <t>2900</t>
  </si>
  <si>
    <t>Ansteckungsgefährlicher Stoff, nur gefährlich für Tiere (Risikogruppen 3 und 4)</t>
  </si>
  <si>
    <t>Ansteckungsgefährlicher Stoff, nur gefährlich für Tiere (Risikogruppen 2)</t>
  </si>
  <si>
    <t>2901</t>
  </si>
  <si>
    <t>Bromchlorid</t>
  </si>
  <si>
    <t>2902</t>
  </si>
  <si>
    <t>Pestizid, flüssig, giftig, N.A.G.</t>
  </si>
  <si>
    <t>2903</t>
  </si>
  <si>
    <t>Pestizid, flüssig, giftig, entzündbar, N.A.G., mit einem Flammpunkt von 23 °C oder darüber</t>
  </si>
  <si>
    <t>2904</t>
  </si>
  <si>
    <t>Chlorphenolate, flüssig oder Phenolate, flüssig</t>
  </si>
  <si>
    <t>2905</t>
  </si>
  <si>
    <t>Chlorphenolate, fest oder Phenolate, fest</t>
  </si>
  <si>
    <t>2907</t>
  </si>
  <si>
    <t>Isosorbiddinitrat, Mischung mit mindestens 60 % Lactose, Mannose, Stärke oder Calciumhydrogenphosphat</t>
  </si>
  <si>
    <t>2908</t>
  </si>
  <si>
    <t>70</t>
  </si>
  <si>
    <t>Radioaktive Stoffe, freigestelltes Versandstück – leere Verpackung</t>
  </si>
  <si>
    <t>2909</t>
  </si>
  <si>
    <t>Radioaktive Stoffe, freigestelltes Versandstück – Fabrikate aus natürlichem Uran oder aus abgereichertem Uran oder aus natürlichem Thorium</t>
  </si>
  <si>
    <t>2910</t>
  </si>
  <si>
    <t>Radioaktive Stoffe, freigestelltes Versandstück – begrenzte Stoffmenge</t>
  </si>
  <si>
    <t>2911</t>
  </si>
  <si>
    <t>Radioaktive Stoffe, freigestelltes Versandstück – Instrumente oder Fabrikate</t>
  </si>
  <si>
    <t>2912</t>
  </si>
  <si>
    <t>Radioaktive Stoffe mit geringer spezifischer Aktivität (LSA-I), nicht spaltbar oder spaltbar, freigestellt</t>
  </si>
  <si>
    <t>2913</t>
  </si>
  <si>
    <t>Radioaktive Stoffe, oberflächenkontaminierte Gegenstände (SCO-I oder SCO-II), nicht spaltbar oder spaltbar, freigestellt</t>
  </si>
  <si>
    <t>2915</t>
  </si>
  <si>
    <t>Radioaktive Stoffe, Typ A-Versandstück, nicht in besonderer Form, nicht spaltbar oder spaltbar, freigestellt</t>
  </si>
  <si>
    <t>2916</t>
  </si>
  <si>
    <t>Radioaktive Stoffe, Typ B(U)-Versandstück, nicht spaltbar oder spaltbar, freigestellt</t>
  </si>
  <si>
    <t>2917</t>
  </si>
  <si>
    <t>Radioaktive Stoffe, Typ B(M)-Versandstück, nicht spaltbar oder spaltbar, freigestellt</t>
  </si>
  <si>
    <t>2919</t>
  </si>
  <si>
    <t>Radioaktive Stoffe, unter Sondervereinbarung befördert, nicht spaltbar oder spaltbar, freigestellt</t>
  </si>
  <si>
    <t>2920</t>
  </si>
  <si>
    <t>Ätzender, flüssiger Stoff, entzündbar, N.A.G.</t>
  </si>
  <si>
    <t>2921</t>
  </si>
  <si>
    <t>884</t>
  </si>
  <si>
    <t>Ätzender, fester Stoff, entzündbar, N.A.G.</t>
  </si>
  <si>
    <t>84</t>
  </si>
  <si>
    <t>2922</t>
  </si>
  <si>
    <t>Ätzender, flüssiger Stoff, giftig, N.A.G.</t>
  </si>
  <si>
    <t>2923</t>
  </si>
  <si>
    <t>Ätzender, fester Stoff, giftig, N.A.G.</t>
  </si>
  <si>
    <t>2924</t>
  </si>
  <si>
    <t>Entzündbarer, flüssiger Stoff, ätzend, N.A.G.</t>
  </si>
  <si>
    <t>2925</t>
  </si>
  <si>
    <t>Entzündbarer, organischer, fester Stoff, ätzend, N.A.G.</t>
  </si>
  <si>
    <t>2926</t>
  </si>
  <si>
    <t>Entzündbarer, organischer, fester Stoff, giftig, N.A.G.</t>
  </si>
  <si>
    <t>2927</t>
  </si>
  <si>
    <t>Giftiger, organischer, flüssiger Stoff, ätzend, N.A.G.</t>
  </si>
  <si>
    <t>2928</t>
  </si>
  <si>
    <t>Giftiger, organischer, fester Stoff, ätzend, N.A.G.</t>
  </si>
  <si>
    <t>2929</t>
  </si>
  <si>
    <t>Giftiger, organischer, flüssiger Stoff, entzündbar, N.A.G.</t>
  </si>
  <si>
    <t>2930</t>
  </si>
  <si>
    <t>664 + 64</t>
  </si>
  <si>
    <t>Giftiger, organischer, fester Stoff, entzündbar, N.A.G.</t>
  </si>
  <si>
    <t>Giftiger, organischer, fester Stoff, entzündbar</t>
  </si>
  <si>
    <t>2931</t>
  </si>
  <si>
    <t>Vanadylsulfat</t>
  </si>
  <si>
    <t>2933</t>
  </si>
  <si>
    <t>Methyl-2-chlorpropionat</t>
  </si>
  <si>
    <t>2934</t>
  </si>
  <si>
    <t>Isopropyl-2-chlorpropionat</t>
  </si>
  <si>
    <t>2935</t>
  </si>
  <si>
    <t>2936</t>
  </si>
  <si>
    <t>Thiomilchsäure</t>
  </si>
  <si>
    <t>2937</t>
  </si>
  <si>
    <t>alpha-Methylbenzylalkohol, flüssig</t>
  </si>
  <si>
    <t>2940</t>
  </si>
  <si>
    <t>9-Phosphabicyclononane (Cyclooctadienphosphine)</t>
  </si>
  <si>
    <t>2941</t>
  </si>
  <si>
    <t>Fluoraniline</t>
  </si>
  <si>
    <t>2942</t>
  </si>
  <si>
    <t>2-Trifluormethylanilin</t>
  </si>
  <si>
    <t>2943</t>
  </si>
  <si>
    <t>Tetrahydrofurfurylamin</t>
  </si>
  <si>
    <t>2945</t>
  </si>
  <si>
    <t>N-Methylbutylamin</t>
  </si>
  <si>
    <t>2946</t>
  </si>
  <si>
    <t>2-Amino-5-diethylaminopentan</t>
  </si>
  <si>
    <t>2947</t>
  </si>
  <si>
    <t>Isopropylchloracetat</t>
  </si>
  <si>
    <t>2948</t>
  </si>
  <si>
    <t>3-Trifluormethylanilin</t>
  </si>
  <si>
    <t>2949</t>
  </si>
  <si>
    <t>Natriumhydrogensulfid, hydratisiert, mit mindestens 25 % Kristallwasser</t>
  </si>
  <si>
    <t>2950</t>
  </si>
  <si>
    <t>Magnesiumgranulate, überzogen, mit einer Teilchengröße von mindestens 149 µm</t>
  </si>
  <si>
    <t>2956</t>
  </si>
  <si>
    <t>5-tert-Buytl-2,4,6-trinitro-m-xylen (Xylenmoschus)</t>
  </si>
  <si>
    <t>2965</t>
  </si>
  <si>
    <t>382</t>
  </si>
  <si>
    <t>Bortrifluoriddimethyletherat</t>
  </si>
  <si>
    <t>2966</t>
  </si>
  <si>
    <t>2967</t>
  </si>
  <si>
    <t>Sulfaminsäure</t>
  </si>
  <si>
    <t>2968</t>
  </si>
  <si>
    <t>Maneb, stabilisiert oder Manebzubereitungen, stabilisiert gegen Selbsterhitzung</t>
  </si>
  <si>
    <t>2969</t>
  </si>
  <si>
    <t>Rizinussaat oder Rizinusmehl oder Rizinussaatkuchen oder Rizinusflocken</t>
  </si>
  <si>
    <t>2977</t>
  </si>
  <si>
    <t>78</t>
  </si>
  <si>
    <t>Radioaktive Stoffe, Uranhexafluorid, spaltbar</t>
  </si>
  <si>
    <t>2978</t>
  </si>
  <si>
    <t>Radioaktive Stoffe, Uranhexafluorid, nicht spaltbar oder spaltbar, freigestellt</t>
  </si>
  <si>
    <t>2983</t>
  </si>
  <si>
    <t>Ethylenoxid und Propylenoxid, Mischung mit höchstens 30 % Ethylenoxid</t>
  </si>
  <si>
    <t>2984</t>
  </si>
  <si>
    <t>Wasserstoffperoxid, wässrige Lösung mit mindestens 8 %, aber weniger als 20 % Wasserstoffperoxid (Stabilisierung nach Bedarf)</t>
  </si>
  <si>
    <t>2985</t>
  </si>
  <si>
    <t>Chlorsilane, entzündbar, ätzend, N.A.G.</t>
  </si>
  <si>
    <t>2986</t>
  </si>
  <si>
    <t>Chlorsilane, ätzend, entzündbar, N.A.G.</t>
  </si>
  <si>
    <t>2987</t>
  </si>
  <si>
    <t>Chlorsilane, ätzend, N.A.G.</t>
  </si>
  <si>
    <t>2988</t>
  </si>
  <si>
    <t>Chlorsilane, mit Wasser reagierend, entzündbar, ätzend, N.A.G.</t>
  </si>
  <si>
    <t>2989</t>
  </si>
  <si>
    <t>Bleiphosphit, zweibasig</t>
  </si>
  <si>
    <t>2990</t>
  </si>
  <si>
    <t>Rettungsmittel, selbstaufblasend</t>
  </si>
  <si>
    <t>2991</t>
  </si>
  <si>
    <t>Carbamat-Pestizid, flüssig, giftig, entzündbar, mit einem Flammpunkt von 23 °C oder darüber</t>
  </si>
  <si>
    <t>2992</t>
  </si>
  <si>
    <t>Carbamat-Pestizid, flüssig, giftig, entzündbar</t>
  </si>
  <si>
    <t>2993</t>
  </si>
  <si>
    <t>Arsenhaltiges Pestizid, flüssig, giftig, entzündbar, mit einem Flammpunkt von 23 °C oder darüber</t>
  </si>
  <si>
    <t>2994</t>
  </si>
  <si>
    <t>Arsenhaltiges Pestizid, flüssig, giftig, entzündbar</t>
  </si>
  <si>
    <t>2995</t>
  </si>
  <si>
    <t>Organochlor-Pestizid, flüssig, giftig, entzündbar, mit einem Flammpunkt von 23 °C oder darüber</t>
  </si>
  <si>
    <t>2996</t>
  </si>
  <si>
    <t>Organochlor-Pestizid, flüssig, giftig, entzündbar</t>
  </si>
  <si>
    <t>2997</t>
  </si>
  <si>
    <t>Triazin-Pestizid, flüssig, giftig, entzündbar, mit einem Flammpunkt von 23 °C oder darüber</t>
  </si>
  <si>
    <t>2998</t>
  </si>
  <si>
    <t>Triazin-Pestizid, flüssig, giftig, entzündbar</t>
  </si>
  <si>
    <t>3005</t>
  </si>
  <si>
    <t>Thiocarbamit-Pestizid, flüssig, giftig, entzündbar, mit einem Flammpunkt von 23 °C oder darüber</t>
  </si>
  <si>
    <t>3006</t>
  </si>
  <si>
    <t>Thiocarbamit-Pestizid, flüssig, giftig, entzündbar</t>
  </si>
  <si>
    <t>3009</t>
  </si>
  <si>
    <t>Kupferhaltiges Pestizid, flüssig, giftig, entzündbar, mit einem Flammpunkt von 23 °C oder darüber</t>
  </si>
  <si>
    <t>3010</t>
  </si>
  <si>
    <t>Kupferhaltiges Pestizid, flüssig, giftig, entzündbar</t>
  </si>
  <si>
    <t>3011</t>
  </si>
  <si>
    <t>Quecksilberhaltiges Pestizid, flüssig, giftig, entzündbar, mit einem Flammpunkt von 23 °C oder darüber</t>
  </si>
  <si>
    <t>3012</t>
  </si>
  <si>
    <t>Quecksilberhaltiges Pestizid, flüssig, giftig, entzündbar</t>
  </si>
  <si>
    <t>3013</t>
  </si>
  <si>
    <t>Substituiertes Nitrophenol-Pestizid, flüssig, giftig, entzündbar, mit einem Flammpunkt von 23 °C oder darüber</t>
  </si>
  <si>
    <t>3014</t>
  </si>
  <si>
    <t>Substituiertes Nitrophenol-Pestizid, flüssig, giftig, entzündbar</t>
  </si>
  <si>
    <t>3015</t>
  </si>
  <si>
    <t>Bipyridilium-Pestizid, flüssig, giftig, entzündbar, mit einem Flammpunkt von 23 °C oder darüber</t>
  </si>
  <si>
    <t>3016</t>
  </si>
  <si>
    <t>Bipyridilium-Pestizid, flüssig, giftig, entzündbar</t>
  </si>
  <si>
    <t>3017</t>
  </si>
  <si>
    <t>Organophosphor-Pestizid, flüssig, giftig, entzündbar, mit einem Flammpunkt von 23 °C oder darüber</t>
  </si>
  <si>
    <t>3018</t>
  </si>
  <si>
    <t>Organophosphor-Pestizid, flüssig, giftig, entzündbar</t>
  </si>
  <si>
    <t>3019</t>
  </si>
  <si>
    <t>Organozinn-Pestizid, flüssig, giftig, entzündbar, mit einem Flammpunkt von 23 °C oder darüber</t>
  </si>
  <si>
    <t>3020</t>
  </si>
  <si>
    <t>Organozinn-Pestizid, flüssig, giftig, entzündbar</t>
  </si>
  <si>
    <t>3021</t>
  </si>
  <si>
    <t>Pestizid, flüssig, entzündbar, giftig, Flammpunkt unter 23 °C</t>
  </si>
  <si>
    <t>3022</t>
  </si>
  <si>
    <t>1,2-Butylenoxid, stabilisiert</t>
  </si>
  <si>
    <t>3023</t>
  </si>
  <si>
    <t>2-Methyl-2-Heptanthiol</t>
  </si>
  <si>
    <t>3024</t>
  </si>
  <si>
    <t>Cumarin-Pestizid, flüssig, entzündbar, giftig, Flammpunkt unter 23 °C</t>
  </si>
  <si>
    <t>3025</t>
  </si>
  <si>
    <t>Cumarin-Pestizid, flüssig, giftig, entzündbar, mit einem Flammpunkt von 23 °C oder darüber</t>
  </si>
  <si>
    <t>3026</t>
  </si>
  <si>
    <t>Cumarin-Pestizid, flüssig, giftig, entzündbar</t>
  </si>
  <si>
    <t>3027</t>
  </si>
  <si>
    <t>Cumarin-Pestizid, fest, giftig</t>
  </si>
  <si>
    <t>3028</t>
  </si>
  <si>
    <t>Batterien (Akkulumatoren), trocken, Kaliumhydroxid, fest, enthaltend, elektrische Sammler</t>
  </si>
  <si>
    <t>3048</t>
  </si>
  <si>
    <t>642</t>
  </si>
  <si>
    <t>Aluminiumphosphid-Pestizid</t>
  </si>
  <si>
    <t>3049</t>
  </si>
  <si>
    <t>Metallalkylhalogenide, Metallarylhalogenide, mit Wasser reagierend, mit Wasser reagierend</t>
  </si>
  <si>
    <t>3050</t>
  </si>
  <si>
    <t>Metallalkylhydride, Metallarylhydride, mit Wasser reagierend, mit Wasser reagierend</t>
  </si>
  <si>
    <t>3051</t>
  </si>
  <si>
    <t>Aluminiumalkyle</t>
  </si>
  <si>
    <t>3052</t>
  </si>
  <si>
    <t>Aluminiumalkylhalogenide, flüssig</t>
  </si>
  <si>
    <t>Aluminiumalkylhalogenide, fest</t>
  </si>
  <si>
    <t>3053</t>
  </si>
  <si>
    <t>Magnesiumalkyle</t>
  </si>
  <si>
    <t>3054</t>
  </si>
  <si>
    <t>Cyclohexylmercaptan</t>
  </si>
  <si>
    <t>3055</t>
  </si>
  <si>
    <t>2-(2-Aminoethoxy)-ethanol</t>
  </si>
  <si>
    <t>3056</t>
  </si>
  <si>
    <t>n-Heptaldehyd</t>
  </si>
  <si>
    <t>3057</t>
  </si>
  <si>
    <t>Trifluoracetylchlorid</t>
  </si>
  <si>
    <t>3064</t>
  </si>
  <si>
    <t>Nitroglycerol, Lösung in Alkohol, mit mehr als 1 %, aber höchstens 5 % Nitroglycerol</t>
  </si>
  <si>
    <t>3065</t>
  </si>
  <si>
    <t>Alkoholische Getränke mit mehr als 70 Vol.-% Alkohol</t>
  </si>
  <si>
    <t>Alkoholische Getränke mit mehr als 24 Vol.-%, höchstens 70 Vol-% Alkohol</t>
  </si>
  <si>
    <t>3066</t>
  </si>
  <si>
    <t>Farbe (einschließlich Farbe, Lack, Emaille, Beize, Schellack, Firnis, Politur, flüssiger Füllstoff und flüssige Lackgrundlage) oder Farbzubehörstoffe (inklusive Farbverdünnung und -lösemittel)</t>
  </si>
  <si>
    <t>3070</t>
  </si>
  <si>
    <t>Ethylenoxid und Dichlordifluormethan, Gemisch, mit höchstens 12,5 % Ethylenoxid</t>
  </si>
  <si>
    <t>3071</t>
  </si>
  <si>
    <t>Mercaptane, flüssig, giftig, entzündbar, N.A.G. oder Mercaptane-Mischung, flüssig, giftig, entzündbar, N.A.G.</t>
  </si>
  <si>
    <t>3072</t>
  </si>
  <si>
    <t>Rettungsmittel, nicht selbstaufblasend, gefährliche Güter als Ausrüstung enthaltend</t>
  </si>
  <si>
    <t>3073</t>
  </si>
  <si>
    <t>Vinylpyridine, stabilisiert</t>
  </si>
  <si>
    <t>3076</t>
  </si>
  <si>
    <t>Aluminiumalkylhydride</t>
  </si>
  <si>
    <t>3077</t>
  </si>
  <si>
    <t>Umweltgefährdender Stoff, fest, N.A.G.</t>
  </si>
  <si>
    <t>3078</t>
  </si>
  <si>
    <t>Cer, Späne oder Grieß</t>
  </si>
  <si>
    <t>3079</t>
  </si>
  <si>
    <t>Methacrylnitril, stabilisiert</t>
  </si>
  <si>
    <t>3080</t>
  </si>
  <si>
    <t>Isocyanate, giftig, entzündbar, N.A.G. oder Isocyanate, Lösung, giftig, entzündbar, N.A.G.</t>
  </si>
  <si>
    <t>3082</t>
  </si>
  <si>
    <t>Umweltgefährdender Stoff, flüssig, N.A.G.</t>
  </si>
  <si>
    <t>3083</t>
  </si>
  <si>
    <t>Perchlorylfluorid</t>
  </si>
  <si>
    <t>3084</t>
  </si>
  <si>
    <t>Ätzender, fester Stoff, entzündend (oxidierend) wirkend, N.A.G.</t>
  </si>
  <si>
    <t>3085</t>
  </si>
  <si>
    <t>Entzündend (oxidierend) wirkender, fester Stoff, ätzend, N.A.G.</t>
  </si>
  <si>
    <t>3086</t>
  </si>
  <si>
    <t>Giftiger, fester Stoff, entzündend (oxidierend) wirkend, N.A.G.</t>
  </si>
  <si>
    <t>3087</t>
  </si>
  <si>
    <t>Entzündend (oxidierend) wirkender, fester Stoff, giftig, N.A.G.</t>
  </si>
  <si>
    <t>3088</t>
  </si>
  <si>
    <t>Selbsterhitzungsfähiger organischer fester Stoff, N.A.G.</t>
  </si>
  <si>
    <t>3089</t>
  </si>
  <si>
    <t>Entzündbares Metallpulver, N.A.G.</t>
  </si>
  <si>
    <t>3090</t>
  </si>
  <si>
    <t>Lithium-Metall-Batterien (einschließlich Batterien aus Lithiumlegierungen)</t>
  </si>
  <si>
    <t>3091</t>
  </si>
  <si>
    <t>Lithium-Metall-Batterien in Ausrüstungen oder Lithium-Metall-Batterien, mit Ausrüstungen verpackt (einschließlich Batterien aus Lithiumlegierungen)</t>
  </si>
  <si>
    <t>3092</t>
  </si>
  <si>
    <t>1-Methoxy-2-propanol</t>
  </si>
  <si>
    <t>3093</t>
  </si>
  <si>
    <t>Ätzender, flüssiger Stoff, entzündend (oxidierend) wirkend, N.A.G.</t>
  </si>
  <si>
    <t>3094</t>
  </si>
  <si>
    <t>823</t>
  </si>
  <si>
    <t>Ätzender, flüssiger Stoff, mit Wasser reagierend, N.A.G.</t>
  </si>
  <si>
    <t>3095</t>
  </si>
  <si>
    <t>Ätzender, fester Stoff, selbsterhitzungsfähig, N.A.G.</t>
  </si>
  <si>
    <t>3096</t>
  </si>
  <si>
    <t>842</t>
  </si>
  <si>
    <t>Ätzender, fester Stoff, mit Wasser reagierend, N.A.G.</t>
  </si>
  <si>
    <t>3097</t>
  </si>
  <si>
    <t>Entzündbarer, fester Stoff, entzündend (oxidierend) wirkend, N.A.G. [Beförderung verboten]</t>
  </si>
  <si>
    <t>3098</t>
  </si>
  <si>
    <t>558 + 58</t>
  </si>
  <si>
    <t>Entzündend (oxidierend) wirkender, flüssiger Stoff, ätzend, N.A.G.</t>
  </si>
  <si>
    <t>3099</t>
  </si>
  <si>
    <t>556 + 56</t>
  </si>
  <si>
    <t>Entzündend (oxidierend) wirkender, flüssiger Stoff, giftig, N.A.G.</t>
  </si>
  <si>
    <t>3100</t>
  </si>
  <si>
    <t>Entzündend (oxidierend) wirkender, fester Stoff, selbserhitzungsfähig, N.A.G. [Beförderung verboten]</t>
  </si>
  <si>
    <t>3101</t>
  </si>
  <si>
    <t>539</t>
  </si>
  <si>
    <t>5,2</t>
  </si>
  <si>
    <t>Organisches Peroxid, Typ B, flüssig</t>
  </si>
  <si>
    <t>3102</t>
  </si>
  <si>
    <t>Organisches Peroxid, Typ B, fest</t>
  </si>
  <si>
    <t>3103</t>
  </si>
  <si>
    <t>Organisches Peroxid, Typ C, flüssig</t>
  </si>
  <si>
    <t>3104</t>
  </si>
  <si>
    <t>Organisches Peroxid, Typ C, fest</t>
  </si>
  <si>
    <t>3105</t>
  </si>
  <si>
    <t>Organisches Peroxid, Typ D, flüssig</t>
  </si>
  <si>
    <t>3106</t>
  </si>
  <si>
    <t>Organisches Peroxid, Typ D, fest</t>
  </si>
  <si>
    <t>3107</t>
  </si>
  <si>
    <t>Organisches Peroxid, Typ E, flüssig</t>
  </si>
  <si>
    <t>3108</t>
  </si>
  <si>
    <t>Organisches Peroxid, Typ E, fest</t>
  </si>
  <si>
    <t>3109</t>
  </si>
  <si>
    <t>Organisches Peroxid, Typ F, flüssig</t>
  </si>
  <si>
    <t>3110</t>
  </si>
  <si>
    <t>Organisches Peroxid, Typ F, fest</t>
  </si>
  <si>
    <t>3111</t>
  </si>
  <si>
    <t>Organisches Peroxid, Typ B, flüssig, temperaturkontrolliert</t>
  </si>
  <si>
    <t>3112</t>
  </si>
  <si>
    <t>Organisches Peroxid, Typ B, fest, temperaturkontrolliert</t>
  </si>
  <si>
    <t>3113</t>
  </si>
  <si>
    <t>Organisches Peroxid, Typ C, flüssig, temperaturkontrolliert</t>
  </si>
  <si>
    <t>3114</t>
  </si>
  <si>
    <t>Organisches Peroxid, Typ C, fest, temperaturkontrolliert</t>
  </si>
  <si>
    <t>3115</t>
  </si>
  <si>
    <t>Organisches Peroxid, Typ D, flüssig, temperaturkontrolliert</t>
  </si>
  <si>
    <t>3116</t>
  </si>
  <si>
    <t>Organisches Peroxid, Typ D, fest, temperaturkontrolliert</t>
  </si>
  <si>
    <t>3117</t>
  </si>
  <si>
    <t>Organisches Peroxid, Typ E, flüssig, temperaturkontrolliert</t>
  </si>
  <si>
    <t>3118</t>
  </si>
  <si>
    <t>Organisches Peroxid, Typ E, fest, temperaturkontrolliert</t>
  </si>
  <si>
    <t>3119</t>
  </si>
  <si>
    <t>Organisches Peroxid, Typ F, flüssig, temperaturkontrolliert</t>
  </si>
  <si>
    <t>3120</t>
  </si>
  <si>
    <t>Organisches Peroxid, Typ F, fest, temperaturkontrolliert</t>
  </si>
  <si>
    <t>3121</t>
  </si>
  <si>
    <t>Entzündend (oxidierend) wirkender, fester Stoff, mit Wasser reagierend [Beförderung verboten]</t>
  </si>
  <si>
    <t>3122</t>
  </si>
  <si>
    <t>65 + 665</t>
  </si>
  <si>
    <t>Giftiger, flüssiger Stoff, entzündend (oxidierend) wirkend, N.A.G.</t>
  </si>
  <si>
    <t>3123</t>
  </si>
  <si>
    <t>623</t>
  </si>
  <si>
    <t>Giftiger, flüssiger Stoff, mit Wasser reagierend, N.A.G.</t>
  </si>
  <si>
    <t>3124</t>
  </si>
  <si>
    <t>Giftiger, fester Stoff, selbsterhitzungsfähig, N.A.G.</t>
  </si>
  <si>
    <t>3125</t>
  </si>
  <si>
    <t>Giftiger, fester Stoff, mit Wasser reagierend, N.A.G.</t>
  </si>
  <si>
    <t>3126</t>
  </si>
  <si>
    <t>Selbsterhitzungsfähiger, organischer, fester Stoff, ätzend, N.A.G:</t>
  </si>
  <si>
    <t>3127</t>
  </si>
  <si>
    <t>Selbsterhitzungsfähiger, fester Stoff, entzündend (oxidierend) wirkend [Beförderung verboten]</t>
  </si>
  <si>
    <t>3128</t>
  </si>
  <si>
    <t>Selbsterhitzungsfähiger, organischer, fester Stoff, giftig, N.A.G.</t>
  </si>
  <si>
    <t>3129</t>
  </si>
  <si>
    <t>Mit Wasser reagierender, flüssiger Stoff, ätzend, N.A.G.</t>
  </si>
  <si>
    <t>3130</t>
  </si>
  <si>
    <t>362</t>
  </si>
  <si>
    <t>Mit Wasser reagierender, flüssiger Stoff, giftig, N.A.G.</t>
  </si>
  <si>
    <t>3131</t>
  </si>
  <si>
    <t>482</t>
  </si>
  <si>
    <t>Mit Wasser reagierender, fester Stoff, ätzend, N.A.G.</t>
  </si>
  <si>
    <t>3132</t>
  </si>
  <si>
    <t>X423 + 423</t>
  </si>
  <si>
    <t>Mit Wasser reagierender, fester Stoff, entzündbar, N.A.G. [Beförderung verboten]</t>
  </si>
  <si>
    <t>3133</t>
  </si>
  <si>
    <t>Mit Wasser reagierender, fester Stoff, entzündend (oxidierend) wirkend, N.A.G. [Beförderung verboten]</t>
  </si>
  <si>
    <t>3134</t>
  </si>
  <si>
    <t>Mit Wasser reagierender, fester Stoff, giftig, N.A.G.</t>
  </si>
  <si>
    <t>3135</t>
  </si>
  <si>
    <t>Mit Wasser reagierender, fester Stoff, selbsterhitzungsfähig, N.A.G. [Beförderung verboten]</t>
  </si>
  <si>
    <t>3136</t>
  </si>
  <si>
    <t>Trifluormethan, tiefgekühlt, flüssig</t>
  </si>
  <si>
    <t>3137</t>
  </si>
  <si>
    <t>Entzündend (oxidierend) wirkender, fester Stoff, entzündbar, N.A.G. [Beförderung verboten]</t>
  </si>
  <si>
    <t>3138</t>
  </si>
  <si>
    <t>Ethylen, Acetylen und Propylen, Gemisch, tiefgekühlt, flüssig, mit mindestens 71,5 % Ethylen, höchstens 22,5 % Acetylen und höchstens 6 % Propylen</t>
  </si>
  <si>
    <t>3139</t>
  </si>
  <si>
    <t>50 + 55</t>
  </si>
  <si>
    <t>Entzündend (oxidierend) wirkender flüssiger Stoff, N.A.G.</t>
  </si>
  <si>
    <t>3140</t>
  </si>
  <si>
    <t>Alkaloide, flüssig, Alkaloidsalze, flüssig, N.A.G.</t>
  </si>
  <si>
    <t>3141</t>
  </si>
  <si>
    <t>Anorganische Antimonverbindung, flüssig, N.A.G.</t>
  </si>
  <si>
    <t>3142</t>
  </si>
  <si>
    <t>Desinfektionsmittel, flüssig, giftig, N.A.G.</t>
  </si>
  <si>
    <t>3143</t>
  </si>
  <si>
    <t>Farbe, fest, giftig, N.A.G. oder Farbstoffzwischenprodukt, fest, giftig, N.A.G.</t>
  </si>
  <si>
    <t>3144</t>
  </si>
  <si>
    <t>Nicotinverbindung, flüssig, N.A.G. oder Nicotinzubereitung, flüssig, N.A.G.</t>
  </si>
  <si>
    <t>3145</t>
  </si>
  <si>
    <t>Alkylphenole, flüssig, N.A.G. einschließlich C2-C12-Homologe</t>
  </si>
  <si>
    <t>3146</t>
  </si>
  <si>
    <t>Organische Zinnverbindung, fest, N.A.G.</t>
  </si>
  <si>
    <t>3147</t>
  </si>
  <si>
    <t>Farbstoff, fest, ätzend, N.A.G. oder Farbstoffzwischenprodukt, fest, ätzend, N.A.G.</t>
  </si>
  <si>
    <t>3148</t>
  </si>
  <si>
    <t>323</t>
  </si>
  <si>
    <t>Mit Wasser reagierender, flüssiger Stoff, N.A.G.</t>
  </si>
  <si>
    <t>3149</t>
  </si>
  <si>
    <t>Wasserstoffperoxid und Peressigsäure, Mischung, stabilisiert mit Säure(n), Wasser und höchstens 5 % Peressigsäure</t>
  </si>
  <si>
    <t>3150</t>
  </si>
  <si>
    <t>Geräte, klein, mit Kohlenwasserstoffgas, mit Entnahmeeinrichtung oder Kohlenwasserstoffgasnachfüllpatronen für kleine Geräte, mit Entnahmeeinrichtung</t>
  </si>
  <si>
    <t>3151</t>
  </si>
  <si>
    <t>Polyhalogenierte Biphenyle, flüssig oder polyhalogenierte Terphenyle, flüssig</t>
  </si>
  <si>
    <t>3152</t>
  </si>
  <si>
    <t>Polyhalogenierte Biphenyle, fest oder polyhalogenierte Terphenyle, fest</t>
  </si>
  <si>
    <t>3153</t>
  </si>
  <si>
    <t>Perfluor(methylvinyl)ether</t>
  </si>
  <si>
    <t>3154</t>
  </si>
  <si>
    <t>Perfluor(ethylvinyl)ether</t>
  </si>
  <si>
    <t>3155</t>
  </si>
  <si>
    <t>3156</t>
  </si>
  <si>
    <t>Verdichtetes Gas, oxidierend, N.A.G.</t>
  </si>
  <si>
    <t>3157</t>
  </si>
  <si>
    <t>Verflüssigtes Gas, oxidierend, N.A.G.</t>
  </si>
  <si>
    <t>3158</t>
  </si>
  <si>
    <t>Gas, tiefgekühlt, flüssig, N.A.G.</t>
  </si>
  <si>
    <t>3159</t>
  </si>
  <si>
    <t>1,1,1,2-Tetrafluorethan (Gas als Kältemittel R 134a)</t>
  </si>
  <si>
    <t>3160</t>
  </si>
  <si>
    <t>Verflüssigtes Gas, giftig, entzündbar, N.A.G.</t>
  </si>
  <si>
    <t>3161</t>
  </si>
  <si>
    <t>Verflüssigtes Gas, entzündbar, N.A.G.</t>
  </si>
  <si>
    <t>3162</t>
  </si>
  <si>
    <t>Verflüssigtes Gas, giftig, N.A.G.</t>
  </si>
  <si>
    <t>3163</t>
  </si>
  <si>
    <t>Verflüssigtes Gas, N.A.G.</t>
  </si>
  <si>
    <t>3164</t>
  </si>
  <si>
    <t>Gegenstände unter pneumatischem Druck oder Gegenstände unter hydraulischem Druck (mit nicht entzündbaren Gasen)</t>
  </si>
  <si>
    <t>3165</t>
  </si>
  <si>
    <t>Kraftstofftank für hydraulisches Aggregat für Flugzeuge (mit einer Mischung von wasserfreiem Hydrazin und Methylhydrazin) (Kraftstoff M86)</t>
  </si>
  <si>
    <t>3166</t>
  </si>
  <si>
    <t>Verbrennungsmotoren, auch wenn in Geräten oder Fahrzeugen eingebaut [unterliegt nicht den Vorschriften des ADR]</t>
  </si>
  <si>
    <t>3167</t>
  </si>
  <si>
    <t>Gasprobe, nicht unter Druck stehend, entzündbar, N.A.G., nicht tiefgekühlt flüssig</t>
  </si>
  <si>
    <t>3168</t>
  </si>
  <si>
    <t>Gasprobe, nicht unter Druck stehend, giftig, entzündbar, N.A.G., nicht tiefgekühlt flüssig</t>
  </si>
  <si>
    <t>3169</t>
  </si>
  <si>
    <t>Gasprobe, nicht unter Druck stehend, giftig, N.A.G., nicht tiefgekühlt flüssig</t>
  </si>
  <si>
    <t>3170</t>
  </si>
  <si>
    <t>Nebenprodukte der Aluminiumherstellung oder Nebenprodukte der Aluminiumschmelzung</t>
  </si>
  <si>
    <t>3171</t>
  </si>
  <si>
    <t>Batteriebetriebenes Fahrzeug oder Batteriebetriebenes Gerät [unterliegt nicht den Vorschriften des ADR]</t>
  </si>
  <si>
    <t>3172</t>
  </si>
  <si>
    <t>Toxine, gewonnen aus lebenden Organismen, flüssig, N.A.G.</t>
  </si>
  <si>
    <t>Toxine, gewonnen aus lebenden Organismen, fest, N.A.G.</t>
  </si>
  <si>
    <t>3174</t>
  </si>
  <si>
    <t>Titaniumdisulfid</t>
  </si>
  <si>
    <t>3175</t>
  </si>
  <si>
    <t>Feste Stoffe oder Gemische aus festen Stoffen (wie Präparate, Zubereitungen und Abfälle), die entzündbare flüssige Stoffe mit einem Flammpunkt von höchstens 60 °C enthalten, N.A.G.</t>
  </si>
  <si>
    <t>3176</t>
  </si>
  <si>
    <t>Entzündbarer, organischer, fester Stoff, N.A.G., in geschmolzenem Zustand</t>
  </si>
  <si>
    <t>3178</t>
  </si>
  <si>
    <t>Entzündbarer, anorganischer, fester Stoff, N.A.G.</t>
  </si>
  <si>
    <t>3179</t>
  </si>
  <si>
    <t>Entzündbarer, anorganischer, fester Stoff, giftig, N.A.G.</t>
  </si>
  <si>
    <t>3180</t>
  </si>
  <si>
    <t>Entzündbarer, anorganischer, fester Stoff, ätzend, N.A.G.</t>
  </si>
  <si>
    <t>3181</t>
  </si>
  <si>
    <t>Entzündbare Metallsalze organischer Verbindungen, N.A.G.</t>
  </si>
  <si>
    <t>3182</t>
  </si>
  <si>
    <t>Entzündbare Metallhydride, N.A.G.</t>
  </si>
  <si>
    <t>3183</t>
  </si>
  <si>
    <t>Selbsterhitzungsfähiger, organischer, flüssiger Stoff, N.A.G.</t>
  </si>
  <si>
    <t>3184</t>
  </si>
  <si>
    <t>Selbsterhitzungsfähiger, organischer, flüssiger Stoff, giftig, N.A.G.</t>
  </si>
  <si>
    <t>3185</t>
  </si>
  <si>
    <t>Selbsterhitzungsfähiger, organischer, flüssiger Stoff, ätzend, N.A.G.</t>
  </si>
  <si>
    <t>3186</t>
  </si>
  <si>
    <t>Selbsterhitzungsfähiger, anorganischer, flüssiger Stoff, N.A.G.</t>
  </si>
  <si>
    <t>3187</t>
  </si>
  <si>
    <t>Selbsterhitzungsfähiger, anorganischer, flüssiger Stoff, giftig, N.A.G.</t>
  </si>
  <si>
    <t>3188</t>
  </si>
  <si>
    <t>Selbsterhitzungsfähiger, anorganischer, flüssiger Stoff, ätzend, N.A.G.</t>
  </si>
  <si>
    <t>3189</t>
  </si>
  <si>
    <t>Selbsterhitzungsfähiges Metallpulver, N.A.G.</t>
  </si>
  <si>
    <t>3190</t>
  </si>
  <si>
    <t>Selbsterhitzungsfähiger, anorganischer, fester Stoff, N.A.G.</t>
  </si>
  <si>
    <t>3191</t>
  </si>
  <si>
    <t>Selbsterhitzungsfähiger, anorganischer, fester Stoff, giftig, N.A.G.</t>
  </si>
  <si>
    <t>3192</t>
  </si>
  <si>
    <t>Selbsterhitzungsfähiger, anorganischer, fester Stoff, ätzend, N.A.G.</t>
  </si>
  <si>
    <t>3194</t>
  </si>
  <si>
    <t>Pyrophorer, anorganischer, flüssiger Stoff, N.A.G.</t>
  </si>
  <si>
    <t>3200</t>
  </si>
  <si>
    <t>Pyrophorer anorganischer fester Stoff, N.A.G.</t>
  </si>
  <si>
    <t>3203</t>
  </si>
  <si>
    <t>Pyrophore metallorganische Verbindung, mit Wasser reagierend, flüssig</t>
  </si>
  <si>
    <t>Pyrophore metallorganische Verbindung, mit Wasser reagierend, fest</t>
  </si>
  <si>
    <t>3205</t>
  </si>
  <si>
    <t>Erdalkalimetallalkoholate, N.A.G.</t>
  </si>
  <si>
    <t>3206</t>
  </si>
  <si>
    <t>Alkalimetallalkoholate, selbsterhitzungsfähig, ätzend, N.A.G.</t>
  </si>
  <si>
    <t>3207</t>
  </si>
  <si>
    <t>Metallorganische Verbindung oder metallorganische Verbindung, Lösung oder metallorganische Verbindung, Dispersion, mit Wasser reagierend, entzündbar</t>
  </si>
  <si>
    <t>3208</t>
  </si>
  <si>
    <t>Metallischer Stoff, mit Wasser reagierend, N.A.G.</t>
  </si>
  <si>
    <t>3209</t>
  </si>
  <si>
    <t>Metallischer Stoff, mit Wasser reagierend, selbsterhitzungsfähig, N.A.G.</t>
  </si>
  <si>
    <t>3210</t>
  </si>
  <si>
    <t>Chlorate, anorganische, wässrige Lösung, N.A.G.</t>
  </si>
  <si>
    <t>3211</t>
  </si>
  <si>
    <t>Perchlorate, anorganische, wässrige Lösung, N.A.G.</t>
  </si>
  <si>
    <t>3212</t>
  </si>
  <si>
    <t>Hypochlorite, anorganische, N.A.G.</t>
  </si>
  <si>
    <t>3213</t>
  </si>
  <si>
    <t>Bromate, anorganische, wässrige Lösung, N.A.G.</t>
  </si>
  <si>
    <t>3214</t>
  </si>
  <si>
    <t>Permanganate, anorganische, wässrige Lösung, N.A.G.</t>
  </si>
  <si>
    <t>3215</t>
  </si>
  <si>
    <t>Persulfate, anorganische, N.A.G.</t>
  </si>
  <si>
    <t>3216</t>
  </si>
  <si>
    <t>Persulfate, anorganische, wässrige Lösung, N.A.G.</t>
  </si>
  <si>
    <t>3218</t>
  </si>
  <si>
    <t>Nitrate, anorganische, wässrige Lösung, N.A.G.</t>
  </si>
  <si>
    <t>3219</t>
  </si>
  <si>
    <t>Nitrite, anorganische, wässrige Lösung, N.A.G.</t>
  </si>
  <si>
    <t>3220</t>
  </si>
  <si>
    <t>Pentafluorethan (Gas als Kältemittel R 125)</t>
  </si>
  <si>
    <t>3221</t>
  </si>
  <si>
    <t>Selbstzersetzlicher Stoff Typ B, flüssig</t>
  </si>
  <si>
    <t>3222</t>
  </si>
  <si>
    <t>Selbstzersetzlicher Stoff Typ B, fest</t>
  </si>
  <si>
    <t>3223</t>
  </si>
  <si>
    <t>Selbstzersetzlicher Stoff Typ C, flüssig</t>
  </si>
  <si>
    <t>3224</t>
  </si>
  <si>
    <t>Selbstzersetzlicher Stoff Typ C, fest</t>
  </si>
  <si>
    <t>3225</t>
  </si>
  <si>
    <t>Selbstzersetzlicher Stoff Typ D, flüssig</t>
  </si>
  <si>
    <t>3226</t>
  </si>
  <si>
    <t>Selbstzersetzlicher Stoff Typ D, fest</t>
  </si>
  <si>
    <t>3227</t>
  </si>
  <si>
    <t>Selbstzersetzlicher Stoff Typ E, flüssig</t>
  </si>
  <si>
    <t>3228</t>
  </si>
  <si>
    <t>Selbstzersetzlicher Stoff Typ E, fest</t>
  </si>
  <si>
    <t>3229</t>
  </si>
  <si>
    <t>Selbstzersetzlicher Stoff Typ F, flüssig</t>
  </si>
  <si>
    <t>3230</t>
  </si>
  <si>
    <t>Selbstzersetzlicher Stoff Typ F, fest</t>
  </si>
  <si>
    <t>3231</t>
  </si>
  <si>
    <t>Selbstzersetzlicher Stoff Typ B, flüssig, temperaturkontrolliert</t>
  </si>
  <si>
    <t>3232</t>
  </si>
  <si>
    <t>Selbstzersetzlicher Stoff Typ B, fest, temperaturkontrolliert</t>
  </si>
  <si>
    <t>3233</t>
  </si>
  <si>
    <t>Selbstzersetzlicher Stoff Typ C, flüssig, temperaturkontrolliert</t>
  </si>
  <si>
    <t>3234</t>
  </si>
  <si>
    <t>Selbstzersetzlicher Stoff Typ C, fest, temperaturkontrolliert</t>
  </si>
  <si>
    <t>3235</t>
  </si>
  <si>
    <t>Selbstzersetzlicher Stoff Typ D, flüssig, temperaturkontrolliert</t>
  </si>
  <si>
    <t>3236</t>
  </si>
  <si>
    <t>Selbstzersetzlicher Stoff Typ D, fest, temperaturkontrolliert</t>
  </si>
  <si>
    <t>3237</t>
  </si>
  <si>
    <t>Selbstzersetzlicher Stoff Typ E, flüssig, temperaturkontrolliert</t>
  </si>
  <si>
    <t>3238</t>
  </si>
  <si>
    <t>Selbstzersetzlicher Stoff Typ E, fest, temperaturkontrolliert</t>
  </si>
  <si>
    <t>3239</t>
  </si>
  <si>
    <t>Selbstzersetzlicher Stoff Typ F, flüssig, temperaturkontrolliert</t>
  </si>
  <si>
    <t>3240</t>
  </si>
  <si>
    <t>Selbstzersetzlicher Stoff Typ F, fest, temperaturkontrolliert</t>
  </si>
  <si>
    <t>3241</t>
  </si>
  <si>
    <t>2-Brom-2-nitropropan-1,3-diol</t>
  </si>
  <si>
    <t>3242</t>
  </si>
  <si>
    <t>Azodicarbonamid</t>
  </si>
  <si>
    <t>3243</t>
  </si>
  <si>
    <t>Feste Stoffe mit giftigem, flüssigem Stoff, N.A.G.</t>
  </si>
  <si>
    <t>3244</t>
  </si>
  <si>
    <t>Feste Stoffe mit ätzendem, flüssigem Stoff, N.A.G.</t>
  </si>
  <si>
    <t>3245</t>
  </si>
  <si>
    <t>Genetisch veränderte Mikroorganismen oder Genetisch veränderte Organismen</t>
  </si>
  <si>
    <t>3246</t>
  </si>
  <si>
    <t>Methansulfonylchlorid</t>
  </si>
  <si>
    <t>3247</t>
  </si>
  <si>
    <t>Natriumperoxoborat, wasserfrei</t>
  </si>
  <si>
    <t>3248</t>
  </si>
  <si>
    <t>Medikament, flüssig, entzündbar, giftig, N.A.G.</t>
  </si>
  <si>
    <t>3249</t>
  </si>
  <si>
    <t>Medikament, fest, giftig, N.A.G.</t>
  </si>
  <si>
    <t>3250</t>
  </si>
  <si>
    <t>Chloressigsäure, geschmolzen</t>
  </si>
  <si>
    <t>3251</t>
  </si>
  <si>
    <t>Isosorbid-5-mononitrat</t>
  </si>
  <si>
    <t>3252</t>
  </si>
  <si>
    <t>Difluormethan (Gas als Kältemittel R 32)</t>
  </si>
  <si>
    <t>3253</t>
  </si>
  <si>
    <t>Dinatriumtrioxosilicat</t>
  </si>
  <si>
    <t>3254</t>
  </si>
  <si>
    <t>Tributylphosphan</t>
  </si>
  <si>
    <t>3255</t>
  </si>
  <si>
    <t>tert-Butylhypochlorit [Beförderung verboten]</t>
  </si>
  <si>
    <t>3256</t>
  </si>
  <si>
    <t>Erwärmter, flüssiger Stoff, entzündbar, N.A.G., mit einem Flammpunkt über 61 °C, bei oder über seinem Flammpunkt</t>
  </si>
  <si>
    <t>3257</t>
  </si>
  <si>
    <t>99</t>
  </si>
  <si>
    <t>Erwärmter, flüssiger Stoff, N.A.G., bei oder über 100 °C und bei Stoffen mit einem Schmelzpunkt unter seinem Flammpunkt (einschließlich geschmolzenes Metall, geschmolzenes Salz usw.)</t>
  </si>
  <si>
    <t>Bitumen (z. B. Straßenbaubitumen, PmB, Oxidationsbitumen, Vakuumrückstand)</t>
  </si>
  <si>
    <t>3258</t>
  </si>
  <si>
    <t>Erwärmter, fester Stoff, N.A.G., bei oder über 240 °C</t>
  </si>
  <si>
    <t>3259</t>
  </si>
  <si>
    <t>Amine, fest, ätzend, N.A.G. oder Polyamine, fest, ätzend, N.A.G.</t>
  </si>
  <si>
    <t>3260</t>
  </si>
  <si>
    <t>Ätzender, saurer, anorganischer, fester Stoff, N.A.G.</t>
  </si>
  <si>
    <t>3261</t>
  </si>
  <si>
    <t>Ätzender, saurer, organischer, fester Stoff, N.A.G.</t>
  </si>
  <si>
    <t>3262</t>
  </si>
  <si>
    <t>Ätzender, basischer, anorganischer, fester Stoff, N.A.G.</t>
  </si>
  <si>
    <t>3263</t>
  </si>
  <si>
    <t>Ätzender, basischer, organischer, fester Stoff, N.A.G.</t>
  </si>
  <si>
    <t>3264</t>
  </si>
  <si>
    <t>Ätzender, saurer, anorganischer, flüssiger Stoff, N.A.G.</t>
  </si>
  <si>
    <t>Aluminiumsulfat, flüssig</t>
  </si>
  <si>
    <t>3265</t>
  </si>
  <si>
    <t>Ätzender, saurer, organischer, flüssiger Stoff, N.A.G.</t>
  </si>
  <si>
    <t>3266</t>
  </si>
  <si>
    <t>Ätzender, basischer, anorganischer, flüssiger Stoff, N.A.G.</t>
  </si>
  <si>
    <t>3267</t>
  </si>
  <si>
    <t>Ätzender, basischer, organischer, flüssiger Stoff, N.A.G.</t>
  </si>
  <si>
    <t>3268</t>
  </si>
  <si>
    <t>Airbag-Gasgeneratoren, pyrotechnisch oder Airbag-Module, pyrotechnisch oder Gurtstraffer, pyrotechnisch oder Sicherheitseinrichtungen, elektrische Auslösung</t>
  </si>
  <si>
    <t>3269</t>
  </si>
  <si>
    <t>Polyesterharzmehrkomponentensysteme</t>
  </si>
  <si>
    <t>3270</t>
  </si>
  <si>
    <t>Membranfilter aus Nitrocellulose, mit höchstens 12,6 % Stickstoff in der Trockenmasse</t>
  </si>
  <si>
    <t>3271</t>
  </si>
  <si>
    <t>Ether, N.A.G.</t>
  </si>
  <si>
    <t>3272</t>
  </si>
  <si>
    <t>Ester, N.A.G.</t>
  </si>
  <si>
    <t>3273</t>
  </si>
  <si>
    <t>Nitrile, entzündbar, giftig, N.A.G.</t>
  </si>
  <si>
    <t>3274</t>
  </si>
  <si>
    <t>Alkoholate, Lösung in Alkohol, N.A.G.</t>
  </si>
  <si>
    <t>3275</t>
  </si>
  <si>
    <t>Nitrile, giftig, entzündbar, N.A.G.</t>
  </si>
  <si>
    <t>3276</t>
  </si>
  <si>
    <t>Nitrile, giftig, N.A.G.</t>
  </si>
  <si>
    <t>3277</t>
  </si>
  <si>
    <t>Chlorformiate, giftig, ätzend, N.A.G.</t>
  </si>
  <si>
    <t>3278</t>
  </si>
  <si>
    <t>Organische Phosphorverbindung, giftig, flüssig, N.A.G.</t>
  </si>
  <si>
    <t>Organische Phosphorverbindung, giftig, fest, N.A.G.</t>
  </si>
  <si>
    <t>3279</t>
  </si>
  <si>
    <t>Organische Phosphorverbindung, giftig, entzündbar, N.A.G.</t>
  </si>
  <si>
    <t>3280</t>
  </si>
  <si>
    <t>Organische Arsenverbindung, flüssig, N.A.G.</t>
  </si>
  <si>
    <t>3281</t>
  </si>
  <si>
    <t>Metallcarbonyle, flüssig, N.A.G.</t>
  </si>
  <si>
    <t>Metallcarbonyle, fest, N.A.G.</t>
  </si>
  <si>
    <t>3282</t>
  </si>
  <si>
    <t>Metallorganische Verbindung, giftig, flüssig, N.A.G.</t>
  </si>
  <si>
    <t>Metallorganische Verbindung, giftig, fest, N.A.G.</t>
  </si>
  <si>
    <t>3283</t>
  </si>
  <si>
    <t>Selenverbindung, fest, N.A.G.</t>
  </si>
  <si>
    <t>3284</t>
  </si>
  <si>
    <t>Tellurverbindung, N.A.G.</t>
  </si>
  <si>
    <t>3285</t>
  </si>
  <si>
    <t>Vanadiumverbindung, N.A.G.</t>
  </si>
  <si>
    <t>3286</t>
  </si>
  <si>
    <t>368</t>
  </si>
  <si>
    <t>Entzündbarer, flüssiger Stoff, giftig, ätzend, N.A.G.</t>
  </si>
  <si>
    <t>3287</t>
  </si>
  <si>
    <t>Giftiger, anorganischer, flüssiger Stoff, N.A.G.</t>
  </si>
  <si>
    <t>3288</t>
  </si>
  <si>
    <t>Giftiger, anorganischer, fester Stoff, N.A.G.</t>
  </si>
  <si>
    <t>3289</t>
  </si>
  <si>
    <t>Giftiger, anorganischer, flüssiger Stoff, ätzend, N.A.G.</t>
  </si>
  <si>
    <t>3290</t>
  </si>
  <si>
    <t>Giftiger, anorganischer, fester Stoff, ätzend, N.A.G.</t>
  </si>
  <si>
    <t>3291</t>
  </si>
  <si>
    <t>Klinischer Abfall, unspezifiziert, N.A.G. oder (Bio)Medizinischer Abfall, N.A.G. oder Unter die vorschriften fallender Medizinischer Abfall, N.A.G.</t>
  </si>
  <si>
    <t>3292</t>
  </si>
  <si>
    <t>Natriumbatterien oder Natriumzellen</t>
  </si>
  <si>
    <t>3293</t>
  </si>
  <si>
    <t>Hydrazin, wässrige Lösung mit höchstens 37 Masse-% Hydrazin</t>
  </si>
  <si>
    <t>3294</t>
  </si>
  <si>
    <t>Cyanwasserstoff, Lösung in Alkohol mit höchstens 45 % Cyanwasserstoff</t>
  </si>
  <si>
    <t>3295</t>
  </si>
  <si>
    <t>Kohlenwasserstoffe, flüssig, N.A.G., Dampfdruck bei 50 °C größer als 175 kPa</t>
  </si>
  <si>
    <t>Kohlenwasserstoffe, flüssig, N.A.G., Dampfdruck bei 50 °C größer als 110 kPa, aber höchstens 175 kPa</t>
  </si>
  <si>
    <t>Kohlenwasserstoffe, flüssig, N.A.G., Dampfdruck bei 50 °C höchstens 110 kPa</t>
  </si>
  <si>
    <t>Kohlenwasserstoffe, flüssig, N.A.G.</t>
  </si>
  <si>
    <t>3296</t>
  </si>
  <si>
    <t>Heptafluorpropan (Gas als Kältemittel R 227)</t>
  </si>
  <si>
    <t>3297</t>
  </si>
  <si>
    <t>Ethylenoxid und Chlortetrafluorethan, Gemisch mit höchstens 8,8 % Ethylenoxid</t>
  </si>
  <si>
    <t>3298</t>
  </si>
  <si>
    <t>Ethylenoxid und Pentafluorethan, Gemisch mit höchstens 7,9 % Ethylenoxid</t>
  </si>
  <si>
    <t>3299</t>
  </si>
  <si>
    <t>Ethylenoxid und Tetrafluorethan, Gemisch mit höchstens 5,6 % Ethylenoxid</t>
  </si>
  <si>
    <t>3300</t>
  </si>
  <si>
    <t>Ethylenoxid und Kohlendioxid, Gemisch mit mehr als 87 % Ethylenoxid</t>
  </si>
  <si>
    <t>3301</t>
  </si>
  <si>
    <t>Ätzender, flüssiger Stoff, selbsterhitzungsfähig, N.A.G.</t>
  </si>
  <si>
    <t>3302</t>
  </si>
  <si>
    <t>2-Dimethylaminoethylacrylat</t>
  </si>
  <si>
    <t>3303</t>
  </si>
  <si>
    <t>Verdichtetes Gas, giftig, oxidierend, N.A.G.</t>
  </si>
  <si>
    <t>3304</t>
  </si>
  <si>
    <t>Verdichtetes Gas, giftig, ätzend, N.A.G.</t>
  </si>
  <si>
    <t>3305</t>
  </si>
  <si>
    <t>Verdichtetes Gas, giftig, entzündbar, ätzend, N.A.G.</t>
  </si>
  <si>
    <t>3306</t>
  </si>
  <si>
    <t>Verdichtetes Gas, giftig, oxidierend, ätzend, N.A.G.</t>
  </si>
  <si>
    <t>3307</t>
  </si>
  <si>
    <t>Verflüssigtes Gas, giftig, oxidierend, N.A.G.</t>
  </si>
  <si>
    <t>3308</t>
  </si>
  <si>
    <t>Verflüssigtes Gas, giftig, ätzend, N.A.G.</t>
  </si>
  <si>
    <t>3309</t>
  </si>
  <si>
    <t>Verflüssigtes Gas, giftig, entzündbar, ätzend, N.A.G.</t>
  </si>
  <si>
    <t>3310</t>
  </si>
  <si>
    <t>Verflüssigtes Gas, giftig, oxidierend, ätzend, N.A.G.</t>
  </si>
  <si>
    <t>3311</t>
  </si>
  <si>
    <t>Gas, tiefgekühlt, flüssig, oxidierend, N.A.G.</t>
  </si>
  <si>
    <t>3312</t>
  </si>
  <si>
    <t>Gas, tiefgekühlt, flüssig, entzündbar, N.A.G.</t>
  </si>
  <si>
    <t>3313</t>
  </si>
  <si>
    <t>Selbsterhitzungsfähige organische Pigmente</t>
  </si>
  <si>
    <t>3314</t>
  </si>
  <si>
    <t>Kunststoffpressmischung, in Teig-, Platten- oder Strangpressform, entzündbare Dämpfe abgebend</t>
  </si>
  <si>
    <t>3315</t>
  </si>
  <si>
    <t>Chemische Probe, giftig</t>
  </si>
  <si>
    <t>3316</t>
  </si>
  <si>
    <t>Chemie-Testsatz oder Erste-Hilfe-Ausrüstung</t>
  </si>
  <si>
    <t>3317</t>
  </si>
  <si>
    <t>2-Amino-4,6-dinitrophenol, angefeuchtet mit mindestens 20 Masse-% Wasser</t>
  </si>
  <si>
    <t>3318</t>
  </si>
  <si>
    <t>Ammoniaklösung in Wasser, Dichte kleiner als 0,880 kg/l bei 15 °C, mit mehr als 50 % Ammoniak</t>
  </si>
  <si>
    <t>3319</t>
  </si>
  <si>
    <t>Nitroglycerol, Gemisch, desensibilisiert, fest, N.A.G., mit mehr als 2 Masse-%, aber höchstens 10 Masse-% Nitroglycerol</t>
  </si>
  <si>
    <t>3320</t>
  </si>
  <si>
    <t>Natriumborhydrid und Natriumhydroxid, Lösung mit höchstens 12 Masse-% Natriumborhydrid und höchstens 40 Masse-% Natriumhydroxid</t>
  </si>
  <si>
    <t>3321</t>
  </si>
  <si>
    <t>Radioaktive Stoffe mit geringer spezifischer Aktivität (LSA-II), nicht spaltbar oder spaltbar, freigestellt</t>
  </si>
  <si>
    <t>3322</t>
  </si>
  <si>
    <t>Radioaktive Stoffe mit geringer spezifischer Aktivität (LSA-III), nicht spaltbar oder spaltbar, freigestellt</t>
  </si>
  <si>
    <t>3323</t>
  </si>
  <si>
    <t>Radioaktive Stoffe, Typ C-Versandstück, nicht spaltbar oder spaltbar, freigestellt</t>
  </si>
  <si>
    <t>3324</t>
  </si>
  <si>
    <t>Radioaktive Stoffe mit geringer spezifischer Aktivität (LSA-II), spaltbar</t>
  </si>
  <si>
    <t>3325</t>
  </si>
  <si>
    <t>Radioaktive Stoffe mit geringer spezifischer Aktivität (LSA-III), spaltbar</t>
  </si>
  <si>
    <t>3326</t>
  </si>
  <si>
    <t>Radioaktive Stoffe, oberflächenkontaminierte Gegenstände (SCO-I oder SCO-II), spaltbar</t>
  </si>
  <si>
    <t>3327</t>
  </si>
  <si>
    <t>Radioaktive Stoffe, Typ A-Versandstück, spaltbar, nicht in besonderer Form</t>
  </si>
  <si>
    <t>3328</t>
  </si>
  <si>
    <t>Radioaktive Stoffe, Typ B(U)-Versandstück, spaltbar</t>
  </si>
  <si>
    <t>3329</t>
  </si>
  <si>
    <t>75</t>
  </si>
  <si>
    <t>Radioaktive Stoffe, Typ B(M)-Versandstück, spaltbar</t>
  </si>
  <si>
    <t>3330</t>
  </si>
  <si>
    <t>Radioaktive Stoffe, Typ C-Versandstück, spaltbar</t>
  </si>
  <si>
    <t>3331</t>
  </si>
  <si>
    <t>Radioaktive Stoffe, unter Sondervereinbarung befördert, spaltbar</t>
  </si>
  <si>
    <t>3332</t>
  </si>
  <si>
    <t>Radioaktive Stoffe, Typ A-Versandstück, in besonderer Form, nicht spaltbar oder spaltbar, freigestellt</t>
  </si>
  <si>
    <t>3333</t>
  </si>
  <si>
    <t>Radioaktive Stoffe, Typ A-Versandstück, in besonderer Form, spaltbar</t>
  </si>
  <si>
    <t>3334</t>
  </si>
  <si>
    <t>Flüssiger Stoff, den für die Luftfahrt geltenden Vorschriften unterliegend, N.A.G. [unterliegt nicht den Vorschriften des ADR]</t>
  </si>
  <si>
    <t>3335</t>
  </si>
  <si>
    <t>Fester Stoff, den für die Luftfahrt geltenden Vorschriften unterliegend, N.A.G. [unterliegt nicht den Vorschriften des ADR]</t>
  </si>
  <si>
    <t>3336</t>
  </si>
  <si>
    <t>Mercaptane, flüssig, entzündbar, N.A.G. oder Mercaptane, Mischung, flüssig, entzündbar, N.A.G.</t>
  </si>
  <si>
    <t>Mercaptane, flüssig, entzündbar, N.A.G. oder Mercaptane, Mischung, flüssig, entzündbar, N.A.G. Dampfdruck bei 50 °C größer als 110 kPa, aber höchstens 175 kPa</t>
  </si>
  <si>
    <t>3337</t>
  </si>
  <si>
    <t>Gas als Kältemittel R 404A, Pentafluorethan, 1,1,1-Trifluorethan und 1,1,1,2-Tetrafluorethan, zeotropes Gemisch mit rund 44 % Pentafluorethan und 52 % 1,1,1-Trifluorethan</t>
  </si>
  <si>
    <t>3338</t>
  </si>
  <si>
    <t>Gas als Kältemittel R 407A, Difluormethan, Pentafluorethan und 1,1,1,2-Tetrafluorethan, zeotropes Gemisch mit rund 20 % Difluormethan und 40 % Pentafluorethan</t>
  </si>
  <si>
    <t>3339</t>
  </si>
  <si>
    <t>Gas als Kältemittel R 407B, Difluormethan, Pentafluorethan und 1,1,1,2-Tetrafluorethan, zeotropes Gemisch mit rund 10 % Difluormethan und 70 % Pentafluorethan</t>
  </si>
  <si>
    <t>3340</t>
  </si>
  <si>
    <t>Gas als Kältemittel R 407 C, Difluormethan, Pentafluorethan und 1,1,1,2-Tetrafluorethan, zeotropes Gemisch mit rund 23 % Difluormethan und 25 % Pentafluorethan</t>
  </si>
  <si>
    <t>3341</t>
  </si>
  <si>
    <t>Thioharnstoffdioxid</t>
  </si>
  <si>
    <t>3342</t>
  </si>
  <si>
    <t>Xanthate</t>
  </si>
  <si>
    <t>3343</t>
  </si>
  <si>
    <t>Nitroglycerol, Gemisch, desensibilisiert, flüssig, entzündbar, N.A.G., mit höchstens 30 Masse-% Nitroglycerol</t>
  </si>
  <si>
    <t>3344</t>
  </si>
  <si>
    <t>Pentaerythritoltetranitrat, Gemisch, desensibilisiert, fest, N.A.G., mit mehr als 10 Masse-%, aber höchstens 20 Masse-% PETN</t>
  </si>
  <si>
    <t>3345</t>
  </si>
  <si>
    <t>Phenoxyessigsäurederivat-Pestizid, fest, giftig</t>
  </si>
  <si>
    <t>3346</t>
  </si>
  <si>
    <t>Phenoxyessigsäurederivat-Pestizid, flüssig, entzündbar, giftig, Flammpunkt unter 23 °C</t>
  </si>
  <si>
    <t>3347</t>
  </si>
  <si>
    <t>Phenoxyessigsäurederivat-Pestizid, flüssig, giftig, entzündbar, mit einem Flammpunkt von 23 °C oder darüber</t>
  </si>
  <si>
    <t>3348</t>
  </si>
  <si>
    <t>Phenoxyessigsäurederivat-Pestizid, flüssig, giftig</t>
  </si>
  <si>
    <t>3349</t>
  </si>
  <si>
    <t>Pyrethroid-Pestizid, fest, giftig</t>
  </si>
  <si>
    <t>3350</t>
  </si>
  <si>
    <t>Pyrethroid-Pestizid, flüssig, entzündbar, giftig, Flammpunkt unter 23 °C</t>
  </si>
  <si>
    <t>3351</t>
  </si>
  <si>
    <t>Pyrethroid-Pestizid, flüssig, giftig, entzündbar, mit einem Flammpunkt von 23 °C oder darüber</t>
  </si>
  <si>
    <t>3352</t>
  </si>
  <si>
    <t>Pyrethroid-Pestizid, flüssig, giftig, entzündbar</t>
  </si>
  <si>
    <t>3353</t>
  </si>
  <si>
    <t>Airbag-Gasgeneratoren, verdichtetes Gas oder Airbag-Module, verdichtetes Gas oder Gurtstraffer, verdichtetes Gas</t>
  </si>
  <si>
    <t>3354</t>
  </si>
  <si>
    <t>Insektenbekämpfungsmittel, gasförmig, entzündbar, N.A.G.</t>
  </si>
  <si>
    <t>3355</t>
  </si>
  <si>
    <t>Insektenbekämpfungsmittel, gasförmig, giftig, entzündbar, N.A.G.</t>
  </si>
  <si>
    <t>3356</t>
  </si>
  <si>
    <t>Sauerstoffgenerator, chemisch</t>
  </si>
  <si>
    <t>3357</t>
  </si>
  <si>
    <t>Nitroglycerol, Gemisch, desensibilisiert, flüssig, N.A.G., mit höchstens 30 Masse-% Nitroglycerol</t>
  </si>
  <si>
    <t>3358</t>
  </si>
  <si>
    <t>Kältemaschinen mit entzündbarem, nicht giftigem verflüssigtem Gas</t>
  </si>
  <si>
    <t>3359</t>
  </si>
  <si>
    <t>Beförderungseinheit unter Begasung</t>
  </si>
  <si>
    <t>3360</t>
  </si>
  <si>
    <t>Fasern, pflanzlich, trocken</t>
  </si>
  <si>
    <t>3361</t>
  </si>
  <si>
    <t>Chlorsilane, giftig, ätzend, N.A.G.</t>
  </si>
  <si>
    <t>3362</t>
  </si>
  <si>
    <t>Chlorsilane, giftig, ätzend, entzündbar, N.A.G.</t>
  </si>
  <si>
    <t>3363</t>
  </si>
  <si>
    <t>Gefährliche Güter in Maschinen oder Gefährliche Güter in Geräten</t>
  </si>
  <si>
    <t>3364</t>
  </si>
  <si>
    <t>Trinitrophenol (Pikrinsäure), angefeuchtet mit mindestens 10 Masse-% Wasser, in Mengen von höchstens 500 g</t>
  </si>
  <si>
    <t>3365</t>
  </si>
  <si>
    <t>Trinitrochlorbenzen (Pikrylchlorid), angefeuchtet mit mindestens 10 Masse-% Wasser, in Mengen von höchstens 500 g</t>
  </si>
  <si>
    <t>3366</t>
  </si>
  <si>
    <t>Trinitrotoluol (TNT), angefeuchtet mit mindestens 10 Masse-% Wasser, in Mengen von höchstens 500 g</t>
  </si>
  <si>
    <t>3367</t>
  </si>
  <si>
    <t>Trinitrobenzen, angefeuchtet mit mindestens 10 Masse-% Wasser, in Mengen von höchstens 500 g</t>
  </si>
  <si>
    <t>3368</t>
  </si>
  <si>
    <t>Trinitrobenzoesäure, angefeuchtet mit mindestens 10 Masse-% Wasser, in Mengen von höchstens 500 g</t>
  </si>
  <si>
    <t>3369</t>
  </si>
  <si>
    <t>Natriumdinitroorthokresolat, angefeuchtet mit mindestens 10 Masse-% Wasser, in Mengen von höchstens 500 g</t>
  </si>
  <si>
    <t>3370</t>
  </si>
  <si>
    <t>Harnstoffnitrat, angefeuchtet mit mindestens 10 Masse-% Wasser, in Mengen von höchstens 11,5 kg</t>
  </si>
  <si>
    <t>3371</t>
  </si>
  <si>
    <t>2-Methylbutanal</t>
  </si>
  <si>
    <t>3372</t>
  </si>
  <si>
    <t>Metallorganische Verbindung, fest, mit Wasser reagierend, entzündbar</t>
  </si>
  <si>
    <t>3373</t>
  </si>
  <si>
    <t>Biologischer Stoff, Kategorie B oder Biologischer Stoff, Kategorie B (nur tierische Stoffe)</t>
  </si>
  <si>
    <t>3374</t>
  </si>
  <si>
    <t>Acetylen, frei von Lösungsmitteln</t>
  </si>
  <si>
    <t>3375</t>
  </si>
  <si>
    <t>Ammoniumnitrat-Emulsion, Zwischenprodukt für die Herstellung von Sprengstoffen, fest</t>
  </si>
  <si>
    <t>Ammoniumnitrat-Emulsion, Zwischenprodukt für die Herstellung von Sprengstoffen, flüssig</t>
  </si>
  <si>
    <t>Ammoniumnitrat-Gel, Zwischenprodukt für die Herstellung von Sprengstoffen, fest</t>
  </si>
  <si>
    <t>Ammoniumnitrat-Gel, Zwischenprodukt für die Herstellung von Sprengstoffen, flüssig</t>
  </si>
  <si>
    <t>Ammoniumnitrat-Suspension, Zwischenprodukt für die Herstellung von Sprengstoffen, fest</t>
  </si>
  <si>
    <t>Ammoniumnitrat-Suspension, Zwischenprodukt für die Herstellung von Sprengstoffen, flüssig</t>
  </si>
  <si>
    <t>3376</t>
  </si>
  <si>
    <t>4-Nitrophenylhydrazin, mit mindestens 30 Masse-% Wasser</t>
  </si>
  <si>
    <t>3377</t>
  </si>
  <si>
    <t>Natriumperborat-Monohydrat</t>
  </si>
  <si>
    <t>3378</t>
  </si>
  <si>
    <t>Natriumcarbonat-Peroxyhydrat</t>
  </si>
  <si>
    <t>3379</t>
  </si>
  <si>
    <t>Desensibilisierter Explosivstoff, flüssig, N.A.G.</t>
  </si>
  <si>
    <t>3380</t>
  </si>
  <si>
    <t>Desensibilisierter Explosivstoff, fest, N.A.G.</t>
  </si>
  <si>
    <t>3381</t>
  </si>
  <si>
    <t>Flüssigkeit, giftig beim Inhalieren, N.A.G., mit einer Inhalationstoxizität kleiner oder gleich 200 ml/m3 und einer gesättigten Dampfkonzentration von größer oder gleich 500 LC50</t>
  </si>
  <si>
    <t>3382</t>
  </si>
  <si>
    <t>3383</t>
  </si>
  <si>
    <t>Flüssigkeit, giftig beim Inhalieren, entzündbar, N.A.G., mit einer Inhalationstoxizität kleiner oder gleich 200 ml/m3 und einer gesättigten Dampfkonzentration von größer oder gleich 500 LC50</t>
  </si>
  <si>
    <t>3384</t>
  </si>
  <si>
    <t>Flüssigkeit, giftig beim Inhalieren, entzündbar, N.A.G., mit einer Inhalationstoxizität kleiner oder gleich 1000 ml/m3 und einer gesättigten Dampfkonzentration von größer oder gleich 10 LC50</t>
  </si>
  <si>
    <t>3385</t>
  </si>
  <si>
    <t>Flüssigkeit, giftig beim Inhalieren, mit Wasser reagierend, N.A.G., mit einer Inhalationstoxizität kleiner oder gleich 200 ml/m3 und einer gesättigten Dampfkonzentration von größer oder gleich 500 LC50</t>
  </si>
  <si>
    <t>3386</t>
  </si>
  <si>
    <t>Flüssigkeit, giftig beim Inhalieren, mit Wasser reagierend, N.A.G., mit einer Inhalationstoxizität kleiner oder gleich 1000 ml/m3 und einer gesättigten Dampfkonzentration von größer oder gleich 10 LC50</t>
  </si>
  <si>
    <t>3387</t>
  </si>
  <si>
    <t>665</t>
  </si>
  <si>
    <t>Flüssigkeit, giftig beim Inhalieren, oxidierend wirkend, N.A.G., mit einer Inhalationstoxizität kleiner oder gleich 200 ml/m3 und einer gesättigten Dampfkonzentration von größer oder gleich 500 LC50</t>
  </si>
  <si>
    <t>3388</t>
  </si>
  <si>
    <t>3389</t>
  </si>
  <si>
    <t>Flüssigkeit, giftig beim Inhalieren, ätzend, N.A.G., mit einer Inhalationstoxizität kleiner oder gleich 200 ml/m3 und einer gesättigten Dampfkonzentration von größer oder gleich 500 LC50</t>
  </si>
  <si>
    <t>3390</t>
  </si>
  <si>
    <t>3391</t>
  </si>
  <si>
    <t>Metallorganischer Stoff, fest, pyrophor</t>
  </si>
  <si>
    <t>3392</t>
  </si>
  <si>
    <t>Metallorganischer Stoff, flüssig, pyrophor</t>
  </si>
  <si>
    <t>3393</t>
  </si>
  <si>
    <t>Metallorganischer Stoff, mit Wasser reagierend, fest, pyrophor</t>
  </si>
  <si>
    <t>3394</t>
  </si>
  <si>
    <t>Metallorganischer Stoff, mit Wasser reagierend, flüssig, pyrophor</t>
  </si>
  <si>
    <t>Triethylbor</t>
  </si>
  <si>
    <t>3395</t>
  </si>
  <si>
    <t>Metallorganischer Stoff, mit Wasser reagierend, fest</t>
  </si>
  <si>
    <t>Metallorganischer Stoff, mit Wasser reagierend, fest, gefährlich, geschmolzen</t>
  </si>
  <si>
    <t>Metallorganischer Stoff, mit Wasser reagierend, fest, sehr gefährlich</t>
  </si>
  <si>
    <t>Metallorganischer Stoff, mit Wasser reagierend, fest, sehr gefährlich, geschmolzen</t>
  </si>
  <si>
    <t>Metallorganischer Stoff, mit Wasser reagierend, fest, weniger gefährlich</t>
  </si>
  <si>
    <t>Metallorganischer Stoff, mit Wasser reagierend, fest, weniger gefährlich, geschmolzen</t>
  </si>
  <si>
    <t>3396</t>
  </si>
  <si>
    <t>Metallorganischer Stoff, mit Wasser reagierend, entzündbar, fest</t>
  </si>
  <si>
    <t>3397</t>
  </si>
  <si>
    <t>Metallorganischer Stoff, mit Wasser reagierend, selbsterhitzungsfähig, fest</t>
  </si>
  <si>
    <t>3398</t>
  </si>
  <si>
    <t>Metallorganischer Stoff, mit Wasser reagierend, flüssig</t>
  </si>
  <si>
    <t>3399</t>
  </si>
  <si>
    <t>Metallorganischer Stoff, mit Wasser reagierend, entzündbar, flüssig</t>
  </si>
  <si>
    <t>Aluminiumalkylhalogenide, Lösung, mit Wasser reagierend, entzündbar</t>
  </si>
  <si>
    <t>Aluminiumalkylhalogenide, flüssig, mit Wasser reagierend, entzündbar</t>
  </si>
  <si>
    <t>3400</t>
  </si>
  <si>
    <t>Metallorganischer Stoff, selbsterhitzungsfähig, fest</t>
  </si>
  <si>
    <t>Metallorganischer Stoff, selbsterhitzungsfähig, fest, geschmolzen</t>
  </si>
  <si>
    <t>3401</t>
  </si>
  <si>
    <t>Alkalimetallamalgam, fest</t>
  </si>
  <si>
    <t>Natriumamalgam, fest</t>
  </si>
  <si>
    <t>3402</t>
  </si>
  <si>
    <t>Erdalkalimetallamalgam, fest</t>
  </si>
  <si>
    <t>3403</t>
  </si>
  <si>
    <t>Kalium-Metall-Legierungen, fest</t>
  </si>
  <si>
    <t>Kalium-Metall-Legierungen, geschmolzen oder erstarrt</t>
  </si>
  <si>
    <t>3404</t>
  </si>
  <si>
    <t>Kalium-Natrium-Legierungen, fest</t>
  </si>
  <si>
    <t>3405</t>
  </si>
  <si>
    <t>Bariumchlorat, Lösung</t>
  </si>
  <si>
    <t>3406</t>
  </si>
  <si>
    <t>Bariumperchlorat, Lösung</t>
  </si>
  <si>
    <t>3407</t>
  </si>
  <si>
    <t>Chlorat und Magnesiumchlorid, Mischung, entzündend/oxidierend wirkend, wässrige Lösung</t>
  </si>
  <si>
    <t>3408</t>
  </si>
  <si>
    <t>Bleiperchlorat, entzündend/oxidierend wirkend, wässrige Lösung</t>
  </si>
  <si>
    <t>3409</t>
  </si>
  <si>
    <t>Chlornitrobenzole, Isomerengemisch, flüssig</t>
  </si>
  <si>
    <t>3410</t>
  </si>
  <si>
    <t>4-Chlor-ortho-toluidinhydrochlorid, wässrige Lösung</t>
  </si>
  <si>
    <t>3411</t>
  </si>
  <si>
    <t>beta-Naphthylamin, als Lösung, flüssig</t>
  </si>
  <si>
    <t>3413</t>
  </si>
  <si>
    <t>Kaliumcyanid, sehr giftig, wässrige Lösung</t>
  </si>
  <si>
    <t>Kaliumcyanid, giftig, wässrige Lösung</t>
  </si>
  <si>
    <t>3414</t>
  </si>
  <si>
    <t>Natriumcyanid, sehr giftig, wässrige Lösung</t>
  </si>
  <si>
    <t>Natriumcyanid, giftig, wässrige Lösung</t>
  </si>
  <si>
    <t>3415</t>
  </si>
  <si>
    <t>Natriumfluorid, wässrige Lösung</t>
  </si>
  <si>
    <t>3416</t>
  </si>
  <si>
    <t>Chloracetophenon, Isomerengemisch, flüssig</t>
  </si>
  <si>
    <t>3417</t>
  </si>
  <si>
    <t>para-Xylylbromid, fest</t>
  </si>
  <si>
    <t>3418</t>
  </si>
  <si>
    <t>2,4-Toluylendiamin, Lösung</t>
  </si>
  <si>
    <t>3419</t>
  </si>
  <si>
    <t>Bortrifluorid-Essigsäure-Komplex, fest</t>
  </si>
  <si>
    <t>3420</t>
  </si>
  <si>
    <t>Bortrifluorid-Propionsäure-Komplex, fest</t>
  </si>
  <si>
    <t>3421</t>
  </si>
  <si>
    <t>Kaliumbifluorid, wässrige Lösung mit höchstens 28 % Kaliumbifluorid</t>
  </si>
  <si>
    <t>3422</t>
  </si>
  <si>
    <t>Kaliumfluorid, wässrige Lösung</t>
  </si>
  <si>
    <t>3423</t>
  </si>
  <si>
    <t>Tetramethylammoniumhydroxid, fest</t>
  </si>
  <si>
    <t>3424</t>
  </si>
  <si>
    <t>Ammoniumdinitro-ortho-kresolat, Lösung</t>
  </si>
  <si>
    <t>3425</t>
  </si>
  <si>
    <t>Bromessigsäure, fest</t>
  </si>
  <si>
    <t>3426</t>
  </si>
  <si>
    <t>Acrylamid, wässrige Lösung, stabilisiert</t>
  </si>
  <si>
    <t>3427</t>
  </si>
  <si>
    <t>para-Chlorbenzylchlorid, fest</t>
  </si>
  <si>
    <t>3428</t>
  </si>
  <si>
    <t>3-Chlor-4-methylphenylisocyanat, fest</t>
  </si>
  <si>
    <t>3429</t>
  </si>
  <si>
    <t>Chlortoluidin, Isomerengemisch, flüssig</t>
  </si>
  <si>
    <t>3430</t>
  </si>
  <si>
    <t>Xylenol, Isomerengemisch, flüssig</t>
  </si>
  <si>
    <t>3431</t>
  </si>
  <si>
    <t>Nitrobenzotrifluoride, Isomerengemisch, fest</t>
  </si>
  <si>
    <t>3432</t>
  </si>
  <si>
    <t>Geräte, die PCB enthalten</t>
  </si>
  <si>
    <t>Polychlorierte Biphenyle, fest</t>
  </si>
  <si>
    <t>3433</t>
  </si>
  <si>
    <t>Lithiumalkyle, fest</t>
  </si>
  <si>
    <t>3434</t>
  </si>
  <si>
    <t>Nitrokresole, Isomerengemisch, flüssig</t>
  </si>
  <si>
    <t>3435</t>
  </si>
  <si>
    <t>Hydrochinon, wässrige Lösung</t>
  </si>
  <si>
    <t>3436</t>
  </si>
  <si>
    <t>Hexafluoracetonhydrat, fest</t>
  </si>
  <si>
    <t>3437</t>
  </si>
  <si>
    <t>Chlorkresol, Isomerengemisch, fest</t>
  </si>
  <si>
    <t>3438</t>
  </si>
  <si>
    <t>alpha-Methylbenzylalkohol, fest</t>
  </si>
  <si>
    <t>3439</t>
  </si>
  <si>
    <t>Nitrile, fest, giftig, N.A.G.</t>
  </si>
  <si>
    <t>3440</t>
  </si>
  <si>
    <t>Selenverbindung, flüssig, N.A.G.</t>
  </si>
  <si>
    <t>3441</t>
  </si>
  <si>
    <t>Chlordinitrobenzol, Isomerengemisch, fest</t>
  </si>
  <si>
    <t>3442</t>
  </si>
  <si>
    <t>Dichloraniline, Isomerengemisch, fest</t>
  </si>
  <si>
    <t>3443</t>
  </si>
  <si>
    <t>Dinitrobenzol, Isomerengemisch, fest oder geschmolzen</t>
  </si>
  <si>
    <t>3444</t>
  </si>
  <si>
    <t>Nicotinhydrochlorid, fest</t>
  </si>
  <si>
    <t>3445</t>
  </si>
  <si>
    <t>Nicotinsulfat, fest</t>
  </si>
  <si>
    <t>3446</t>
  </si>
  <si>
    <t>Nitrotoluole, Isomerengemisch, fest</t>
  </si>
  <si>
    <t>3447</t>
  </si>
  <si>
    <t>Nitroxylole, Isomerengemisch, fest</t>
  </si>
  <si>
    <t>3448</t>
  </si>
  <si>
    <t>Tränengas, fester Stoff, N.A.G.</t>
  </si>
  <si>
    <t>Tränengas, fester Stoff, N.A.g.</t>
  </si>
  <si>
    <t>3449</t>
  </si>
  <si>
    <t>Brombenzylcyanid, Isomerengemisch, fest</t>
  </si>
  <si>
    <t>3450</t>
  </si>
  <si>
    <t>Diphenylchlorarsin, fest</t>
  </si>
  <si>
    <t>3451</t>
  </si>
  <si>
    <t>Chlortoluidine, Isomerengemisch, fest</t>
  </si>
  <si>
    <t>3452</t>
  </si>
  <si>
    <t>Xylidin, Isomerengemisch, fest</t>
  </si>
  <si>
    <t>3453</t>
  </si>
  <si>
    <t>Phosphorsäure, fest</t>
  </si>
  <si>
    <t>3454</t>
  </si>
  <si>
    <t>Dinitrotoluol, Isomerengemisch, fest</t>
  </si>
  <si>
    <t>3455</t>
  </si>
  <si>
    <t>Nitrocresole, Isomerengemisch, fest</t>
  </si>
  <si>
    <t>3456</t>
  </si>
  <si>
    <t>Nitrosylschwefelsäure, fest</t>
  </si>
  <si>
    <t>3457</t>
  </si>
  <si>
    <t>Chlornitrotoluole, Isomerengemisch, fest</t>
  </si>
  <si>
    <t>3458</t>
  </si>
  <si>
    <t>Nitroanisol, Isomerengemisch, fest</t>
  </si>
  <si>
    <t>3459</t>
  </si>
  <si>
    <t>Nitrobrombenzole, Isomerengemisch, fest</t>
  </si>
  <si>
    <t>3460</t>
  </si>
  <si>
    <t>N-Ethyl-N-benzyltoluidin, Isomerengemisch, fest</t>
  </si>
  <si>
    <t>3461</t>
  </si>
  <si>
    <t>Ethylaluminiumdichlorid, fest, flüssig oder geschmolzen</t>
  </si>
  <si>
    <t>3462</t>
  </si>
  <si>
    <t>3463</t>
  </si>
  <si>
    <t>Propionsäure, mit mindestens 90 Masse-% Säure</t>
  </si>
  <si>
    <t>3464</t>
  </si>
  <si>
    <t>Organische Phosphorverbindung, sehr giftig, fest, N.A.G.</t>
  </si>
  <si>
    <t>3465</t>
  </si>
  <si>
    <t>Organische Arsenverbindung, fest, N.A.G.</t>
  </si>
  <si>
    <t>3466</t>
  </si>
  <si>
    <t>3467</t>
  </si>
  <si>
    <t>Metallorganische Verbindung, fest, N.A.G.</t>
  </si>
  <si>
    <t>3468</t>
  </si>
  <si>
    <t>Wasserstoff, in einem Metallhydrid-Speichersystem</t>
  </si>
  <si>
    <t>3469</t>
  </si>
  <si>
    <t>Farbe, entzündbar Flammpunkt: 60 °C, ätzend</t>
  </si>
  <si>
    <t>3470</t>
  </si>
  <si>
    <t>Farbe, ätzend</t>
  </si>
  <si>
    <t>3471</t>
  </si>
  <si>
    <t>Hydrogendifluoride, wässrige Lösung, N.A.G.</t>
  </si>
  <si>
    <t>3472</t>
  </si>
  <si>
    <t>Crotonsäure, flüssig</t>
  </si>
  <si>
    <t>3473</t>
  </si>
  <si>
    <t>Brennstoffzellenkartuschen oder Brennstoffzellenkartuschen in Ausrüstungen, oder Brennstoffzellenkartuschen, mit Ausrüstungen verpackt, entzündbare flüssige Stoffe enthaltend</t>
  </si>
  <si>
    <t>3474</t>
  </si>
  <si>
    <t>1-Hydroxybenzotriazol-Monohydrat</t>
  </si>
  <si>
    <t>3475</t>
  </si>
  <si>
    <t>Ethanol und Benzin, Gemisch oder Ethanol und Ottokraftstoff, Gemisch mit mehr als 10 % Ethanol</t>
  </si>
  <si>
    <t>3476</t>
  </si>
  <si>
    <t>Brennstoffzellenkartuschen oder Brennstoffzellenkartuschen in Ausrüstungen, oder Brennstoffzellenkartuschen, mit Ausrüstungen verpackt, mit Wasser reagierende Stoffe enthaltend</t>
  </si>
  <si>
    <t>3477</t>
  </si>
  <si>
    <t>Brennstoffzellenkartuschen oder Brennstoffzellenkartuschen in Ausrüstungen, oder Brennstoffzellenkartuschen, mit Ausrüstungen verpackt, ätzende Stoffe enthaltend</t>
  </si>
  <si>
    <t>3478</t>
  </si>
  <si>
    <t>Brennstoffzellenkartuschen oder Brennstoffzellenkartuschen in Ausrüstungen, oder Brennstoffzellenkartuschen, mit Ausrüstungen verpackt, verflüssigtes entzündbares Gas enthaltend</t>
  </si>
  <si>
    <t>3479</t>
  </si>
  <si>
    <t>Brennstoffzellenkartuschen oder Brennstoffzellenkartuschen in Ausrüstungen, oder Brennstoffzellenkartuschen, mit Ausrüstungen verpackt, Wasserstoff in Metallhydrid enthaltend</t>
  </si>
  <si>
    <t>3480</t>
  </si>
  <si>
    <t>Lithium-Ionen-Batterien (einschließlich Lithium-Ionen-Polymer-Batterien)</t>
  </si>
  <si>
    <t>3481</t>
  </si>
  <si>
    <t>Lithium-Ionen-Batterien in Ausrüstungen oder Lithium-Ionen-Batterien, mit Ausrüstungen verpackt (einschließlich Lithium-Ionen-Polymer-Batterien)</t>
  </si>
  <si>
    <t>3482</t>
  </si>
  <si>
    <t>Alkalimetall-Dispersion, entzündbar oder Erdalkalimetall-Dispersion, entzündbar</t>
  </si>
  <si>
    <t>3483</t>
  </si>
  <si>
    <t>Antiklopfmischung für Motorkraftstoff, entzündbar, Flammpunkt &lt;= 60 °C</t>
  </si>
  <si>
    <t>3484</t>
  </si>
  <si>
    <t>Hydrazin, wässrige Lösung, mit mehr als 37 Masse-% Hydrazin</t>
  </si>
  <si>
    <t>3485</t>
  </si>
  <si>
    <t>Calciumhypochlorit, Mischung, trocken, aktives Chlor &gt; 39 % (aktiver Sauerstoff = 8,8 %), oxidierend, ätzend oder schwach ätzend</t>
  </si>
  <si>
    <t>3486</t>
  </si>
  <si>
    <t>Calciumhypochlorit, Mischung, trocken, 10 % &lt; aktives Chlor &lt;= 39 %, schwach ätzend</t>
  </si>
  <si>
    <t>3487</t>
  </si>
  <si>
    <t>Calciumhypochlorit, hydratisiert, 5,5 % &lt;= Wasser &lt;= 16 %, oxidierend, ätzend oder schwach ätzend</t>
  </si>
  <si>
    <t>3488</t>
  </si>
  <si>
    <t>Sehr giftiger flüssiger Stoff (inhal.), entzündbar, Flammpunkt &lt;= 60 °C, stark ätzend, ätzend oder schwach ätzend, N.A.G., mit einer Inhalationstoxizität &lt;= 200 ml/m³ und einer gesättigten Dampfkonzentration &gt;= 500 LC50</t>
  </si>
  <si>
    <t>3489</t>
  </si>
  <si>
    <t>Sehr giftiger flüssiger Stoff (inhal.), entzündbar, Flp. &lt;= 60 °C, stark ätzend, ätzend oder schwach ätzend, N.A.G., mit einer Inhalationstoxizität &lt;= 200 ml/m³ und einer gesättigten Dampfkonzentration &gt;= 500 LC50</t>
  </si>
  <si>
    <t>3490</t>
  </si>
  <si>
    <t>Sehr giftiger flüssiger Stoff (inhal.), heftig, leicht oder langsam mit Wasser reagierend, entzündbar, Flp. &lt;= 60 °C, N.A.G., mit einer Inhalationstoxizität &lt;= 200 ml/m³ und einer gesättigten Dampfkonzentration &gt;= 500 LC50</t>
  </si>
  <si>
    <t>3491</t>
  </si>
  <si>
    <t>Sehr giftiger flüssiger Stoff (inhal.), heftig, leicht oder langsam mit Wasser reagierend, entzündbar, Flp. &lt;= 60 °C, N.A.G., mit einer Inhalationstoxizität &lt;= 1000 ml/m³ und einer gesättigten Dampfkonzentration &gt;= 10 LC50</t>
  </si>
  <si>
    <t>3494</t>
  </si>
  <si>
    <t>Roherdöl, schwefelhaltig, entzündbar, Sdb. &lt;= 35 °C, sehr giftig, giftig oder schwach giftig</t>
  </si>
  <si>
    <t>3495</t>
  </si>
  <si>
    <t>Quecksilberiodid</t>
  </si>
  <si>
    <t>3496</t>
  </si>
  <si>
    <t>Batterien, Nickelmetallhydrid</t>
  </si>
  <si>
    <t>3497</t>
  </si>
  <si>
    <t>Krillmehl</t>
  </si>
  <si>
    <t>3498</t>
  </si>
  <si>
    <t>Iodmonochlorid, flüssig</t>
  </si>
  <si>
    <t>3499</t>
  </si>
  <si>
    <t>Kondensator, elektrische Doppelschicht, mit einer Energiespeicherkapazität von mehr als 0,3 Wh</t>
  </si>
  <si>
    <t>3500</t>
  </si>
  <si>
    <t>Chemikalie unter Druck, N.A.G.</t>
  </si>
  <si>
    <t>3501</t>
  </si>
  <si>
    <t>Chemikalie unter Druck, entzündbar, N.A.G.</t>
  </si>
  <si>
    <t>3502</t>
  </si>
  <si>
    <t>Chemikalie unter Druck, giftig, N.A.G.</t>
  </si>
  <si>
    <t>3503</t>
  </si>
  <si>
    <t>Chemikalie unter Druck, ätzend, N.A.G.</t>
  </si>
  <si>
    <t>3504</t>
  </si>
  <si>
    <t>Chemikalie unter Druck, entzündbar, giftig, N.A.G.</t>
  </si>
  <si>
    <t>3505</t>
  </si>
  <si>
    <t>Chemikalie unter Druck, entzündbar, ätzend, N.A.G.</t>
  </si>
  <si>
    <t>3506</t>
  </si>
  <si>
    <t>Quecksilber in hergestellten Gegenständen</t>
  </si>
  <si>
    <t>3507</t>
  </si>
  <si>
    <t>Uranhexafluorid, radioaktive Stoffe, freigestelltes Versandstück, mit weniger als 0,1 kg je Versandstück, nicht spaltbar oder spaltbar, freigestellt</t>
  </si>
  <si>
    <t>3508</t>
  </si>
  <si>
    <t>Kondensator, asymmetrisch, mit einer Energiespeicherkapazität von mehr als 0,3 Wh</t>
  </si>
  <si>
    <t>3509</t>
  </si>
  <si>
    <t>Altverpackungen, leer, ungereinigt</t>
  </si>
  <si>
    <t>3510</t>
  </si>
  <si>
    <t>Adsorbiertes Gas, entzündbar, N.A.G.</t>
  </si>
  <si>
    <t>3511</t>
  </si>
  <si>
    <t>Adsorbiertes Gas, N.A.G.</t>
  </si>
  <si>
    <t>3512</t>
  </si>
  <si>
    <t>Adsorbiertes Gas, giftig, N.A.G.</t>
  </si>
  <si>
    <t>3513</t>
  </si>
  <si>
    <t>Adsorbiertes Gas, oxidierend, N.A.G.</t>
  </si>
  <si>
    <t>3514</t>
  </si>
  <si>
    <t>Adsorbiertes Gas, giftig, entzündbar, N.A.G.</t>
  </si>
  <si>
    <t>3515</t>
  </si>
  <si>
    <t>3516</t>
  </si>
  <si>
    <t>Adsorbiertes Gas, giftig, ätzend, N.A.G.</t>
  </si>
  <si>
    <t>3517</t>
  </si>
  <si>
    <t>Adsorbiertes Gas, giftig, entzündbar, ätzend, N.A.G.</t>
  </si>
  <si>
    <t>3518</t>
  </si>
  <si>
    <t>Adsorbiertes Gas, giftig, oxidierend, ätzend, N.A.G.</t>
  </si>
  <si>
    <t>3519</t>
  </si>
  <si>
    <t>Bortrifluorid, adsorbiert</t>
  </si>
  <si>
    <t>3520</t>
  </si>
  <si>
    <t>Chlor, adsorbiert</t>
  </si>
  <si>
    <t>3521</t>
  </si>
  <si>
    <t>Siliciumtetrafluorid, adsorbiert</t>
  </si>
  <si>
    <t>3522</t>
  </si>
  <si>
    <t>Arsenwasserstoff (Arsin), adsorbiert</t>
  </si>
  <si>
    <t>3523</t>
  </si>
  <si>
    <t>Germaniumwasserstoff (German), adsorbiert</t>
  </si>
  <si>
    <t>3524</t>
  </si>
  <si>
    <t>Phosphorpentafluorid, adsorbiert</t>
  </si>
  <si>
    <t>3525</t>
  </si>
  <si>
    <t>Phosphorwasserstoff (Phosphin), adsorbiert</t>
  </si>
  <si>
    <t>3526</t>
  </si>
  <si>
    <t>Selenwasserstoff, adsorbiert</t>
  </si>
  <si>
    <t>3527</t>
  </si>
  <si>
    <t>Polyesterharz-Mehrkomponentensysteme, festes Grundprodukt</t>
  </si>
  <si>
    <t>3528</t>
  </si>
  <si>
    <t>Brennstoffzellen-Motor, Maschine mit Brennstoffzellen-Motor, Verbrennungsmaschine, Verbrennungsmotor mit Antrieb durch entzündbare Flüssigkeit</t>
  </si>
  <si>
    <t>3529</t>
  </si>
  <si>
    <t>Brennstoffzellen-Motor, Maschine mit Brennstoffzellen-Motor, Verbrennungsmaschine, Verbrennungsmotor mit Antrieb durch entzündbares Gas</t>
  </si>
  <si>
    <t>3530</t>
  </si>
  <si>
    <t>Verbrennungsmaschine, Verbrennungsmotor</t>
  </si>
  <si>
    <t>3531</t>
  </si>
  <si>
    <t>Polymerisierender Stoff, fest, stabilisiert, N.A.G.</t>
  </si>
  <si>
    <t>3532</t>
  </si>
  <si>
    <t>Polymerisierender Stoff, flüssig, stabilisiert, N.A.G.</t>
  </si>
  <si>
    <t>3533</t>
  </si>
  <si>
    <t>Polymerisierender Stoff, fest, temperaturkontrolliert, stabilisiert, N.A.G.</t>
  </si>
  <si>
    <t>Polymerisierender Stoff, flüssig, temperaturkontrolliert, stabilisiert, N.A.G.</t>
  </si>
  <si>
    <t>8000</t>
  </si>
  <si>
    <t>Konsumgüter</t>
  </si>
  <si>
    <t>9000</t>
  </si>
  <si>
    <t>2.3 (8)</t>
  </si>
  <si>
    <t>Ammoniak, tiefgekühlt</t>
  </si>
  <si>
    <t>9001</t>
  </si>
  <si>
    <t>Stoffe mit einem Flammpunkt über 61 °C, die in einem Grenzbereich von 15 K unterhalb des Flammpunktes erwärmt zur Beförderung aufgegeben oder befördert werden</t>
  </si>
  <si>
    <t>9002</t>
  </si>
  <si>
    <t>Stoffe mit einer Zündtemperatur von höchstens 200 °C und nicht anderweitig aufgeführt</t>
  </si>
  <si>
    <t>9003</t>
  </si>
  <si>
    <t>Stoffe mit einem Flammpunkt über 61 °C und höchstens 100 °C, die nicht anderen Klassen zuzuordnen sind</t>
  </si>
  <si>
    <t>9004</t>
  </si>
  <si>
    <t>Diphenylmethan-4,4’-diisocyanat</t>
  </si>
  <si>
    <t>9005</t>
  </si>
  <si>
    <t>Umweltgefährdende Stoffe, fest, geschmolzen, N.A.G.</t>
  </si>
  <si>
    <t>9006</t>
  </si>
  <si>
    <t>Umweltgefährdende Stoffe, flüssig, N.A.G.</t>
  </si>
  <si>
    <t>Nicht als Gefahrgut eingestuft</t>
  </si>
  <si>
    <t>Gefahrgut / ADR</t>
  </si>
  <si>
    <t>UN Nummer</t>
  </si>
  <si>
    <t>Verpackungs-gruppe</t>
  </si>
  <si>
    <t>Gefahrgut_VG</t>
  </si>
  <si>
    <t>I (hoch)</t>
  </si>
  <si>
    <t>II (mittel)</t>
  </si>
  <si>
    <t>III (gering)</t>
  </si>
  <si>
    <r>
      <t xml:space="preserve">Technisches Datenblatt (TDB)
</t>
    </r>
    <r>
      <rPr>
        <sz val="8"/>
        <rFont val="Arial"/>
        <family val="2"/>
      </rPr>
      <t>(Ausgabedatum)</t>
    </r>
  </si>
  <si>
    <t>Lagermanagement</t>
  </si>
  <si>
    <t>Ansprechpartner</t>
  </si>
  <si>
    <t>Lagerorte (Gefahrstofflager)</t>
  </si>
  <si>
    <t>nicht definiert8</t>
  </si>
  <si>
    <t>davon sind:</t>
  </si>
  <si>
    <t>Lagermanagement nach TRGS 510</t>
  </si>
  <si>
    <t>Bei Überschreitung sind zusätzliche und besondere Schutzmaßnahmen nach TRGS 510 immer zu beachten.</t>
  </si>
  <si>
    <t>n. n.</t>
  </si>
  <si>
    <t>Archiv</t>
  </si>
  <si>
    <t>Auswahl_Bereich</t>
  </si>
  <si>
    <t>l</t>
  </si>
  <si>
    <t>GG
Brand und EX</t>
  </si>
  <si>
    <t>pc-C</t>
  </si>
  <si>
    <t>pc-A</t>
  </si>
  <si>
    <t>pc-B</t>
  </si>
  <si>
    <t>pc-E</t>
  </si>
  <si>
    <t>(ohne H-Sätze)</t>
  </si>
  <si>
    <r>
      <t xml:space="preserve">alle Feststoffe, die nachweislich nicht brennbar </t>
    </r>
    <r>
      <rPr>
        <b/>
        <u/>
        <sz val="11"/>
        <color rgb="FFFF0000"/>
        <rFont val="Calibri"/>
        <family val="2"/>
        <scheme val="minor"/>
      </rPr>
      <t>und</t>
    </r>
    <r>
      <rPr>
        <b/>
        <sz val="11"/>
        <color rgb="FFFF0000"/>
        <rFont val="Calibri"/>
        <family val="2"/>
        <scheme val="minor"/>
      </rPr>
      <t xml:space="preserve"> explosionsfähig sind (vgl. SDB Lagerklasse und 9.1 Explosionsgefahren)</t>
    </r>
  </si>
  <si>
    <t>H226, H252, H280, H281, H290, EUH206, EUH209A</t>
  </si>
  <si>
    <t>H222, H223, H224, H225, H228, H229, H251, EUH018, EUH209</t>
  </si>
  <si>
    <t>Angabe einer Staubexplosionsklasse im SDB, alle übrigen Feststoffe ohne Einstufung</t>
  </si>
  <si>
    <t>pc-D</t>
  </si>
  <si>
    <t>Brennzahl (BZ) - Beschreibt das Entzündungs- und Brennverhalten für Gefahrstoff, die nicht explosionsfähig, aber brennbar sind</t>
  </si>
  <si>
    <t>BZ 1, 2, 3</t>
  </si>
  <si>
    <t>keine Angabe zur Brennzahl, BZ 4, 5, 6</t>
  </si>
  <si>
    <t>explosionsfähige Stäube</t>
  </si>
  <si>
    <t>Freisetzungsgruppe für Flüssigkeiten</t>
  </si>
  <si>
    <t>Freisetzungsgruppe für Feststoffe</t>
  </si>
  <si>
    <t>Staub, der sich nach kurzer Zeit wieder setzt</t>
  </si>
  <si>
    <t>Staubwolken, die einige Mi-nuten in der Luft bleiben können</t>
  </si>
  <si>
    <t>H200, H201, H202, H203, H204, H205, H206, H207, H208, H220, H221, H230, H231, H232, H240, H241, H250, H260, EUH018, EUH019</t>
  </si>
  <si>
    <t>H242, H261, H270, H271, H272, EUH067, EUH014, EUH044</t>
  </si>
  <si>
    <t>nicht definiert10</t>
  </si>
  <si>
    <t>nicht definiert11</t>
  </si>
  <si>
    <t>nicht definiert12</t>
  </si>
  <si>
    <t>nicht definiert13</t>
  </si>
  <si>
    <t>nicht definiert14</t>
  </si>
  <si>
    <t>nicht definiert15</t>
  </si>
  <si>
    <t>nicht definiert16</t>
  </si>
  <si>
    <t>nicht definiert17</t>
  </si>
  <si>
    <t>nicht definiert18</t>
  </si>
  <si>
    <t>nicht definiert19</t>
  </si>
  <si>
    <t>nicht definiert20</t>
  </si>
  <si>
    <t>nicht definiert21</t>
  </si>
  <si>
    <t>nicht definiert22</t>
  </si>
  <si>
    <t>max. Lagermenge</t>
  </si>
  <si>
    <r>
      <t xml:space="preserve">Einheit 
</t>
    </r>
    <r>
      <rPr>
        <sz val="10"/>
        <color theme="1"/>
        <rFont val="Arial"/>
        <family val="2"/>
      </rPr>
      <t>(TRGS 510)</t>
    </r>
  </si>
  <si>
    <t>Farbe</t>
  </si>
  <si>
    <t>Ergebnis der Substitutionsprüfung (Ersatzstoffsuche)</t>
  </si>
  <si>
    <t xml:space="preserve">
1</t>
  </si>
  <si>
    <t xml:space="preserve">
2A</t>
  </si>
  <si>
    <t xml:space="preserve">
2B</t>
  </si>
  <si>
    <t xml:space="preserve">
3</t>
  </si>
  <si>
    <t xml:space="preserve">
4.1A</t>
  </si>
  <si>
    <t xml:space="preserve">
4.1B</t>
  </si>
  <si>
    <t xml:space="preserve">
4.2</t>
  </si>
  <si>
    <t xml:space="preserve">
4.3</t>
  </si>
  <si>
    <t xml:space="preserve">
5.1A</t>
  </si>
  <si>
    <t xml:space="preserve">
5.1B</t>
  </si>
  <si>
    <t xml:space="preserve">
5.1C</t>
  </si>
  <si>
    <t xml:space="preserve">
5.2</t>
  </si>
  <si>
    <t xml:space="preserve">
6.1A</t>
  </si>
  <si>
    <t xml:space="preserve">
6.1B</t>
  </si>
  <si>
    <t xml:space="preserve">
6.1C</t>
  </si>
  <si>
    <t xml:space="preserve">
6.1D</t>
  </si>
  <si>
    <t xml:space="preserve">
6.2</t>
  </si>
  <si>
    <t xml:space="preserve">
7</t>
  </si>
  <si>
    <t xml:space="preserve">
8A</t>
  </si>
  <si>
    <t xml:space="preserve">
8B</t>
  </si>
  <si>
    <t xml:space="preserve">
9</t>
  </si>
  <si>
    <t xml:space="preserve">
10</t>
  </si>
  <si>
    <t xml:space="preserve">
11</t>
  </si>
  <si>
    <t xml:space="preserve">
12</t>
  </si>
  <si>
    <t xml:space="preserve">
13</t>
  </si>
  <si>
    <t xml:space="preserve">
10-13</t>
  </si>
  <si>
    <t>Zusammenlagerungsverbote</t>
  </si>
  <si>
    <r>
      <t xml:space="preserve">Abfallschlüssel
</t>
    </r>
    <r>
      <rPr>
        <sz val="10"/>
        <color theme="1"/>
        <rFont val="Arial"/>
        <family val="2"/>
      </rPr>
      <t>intern / tatsächlich</t>
    </r>
  </si>
  <si>
    <r>
      <rPr>
        <b/>
        <sz val="10"/>
        <color theme="1"/>
        <rFont val="Arial"/>
        <family val="2"/>
      </rPr>
      <t>Schlüsselbezeichnung</t>
    </r>
    <r>
      <rPr>
        <sz val="10"/>
        <color theme="1"/>
        <rFont val="Arial"/>
        <family val="2"/>
      </rPr>
      <t xml:space="preserve">
intern / tatsächlich</t>
    </r>
  </si>
  <si>
    <t>Freie Lüftung</t>
  </si>
  <si>
    <t>Lagerung von Schüttgütern</t>
  </si>
  <si>
    <t>Drucken, Kopieren</t>
  </si>
  <si>
    <t>Örtliche Absaugung (Punktabsaugung)</t>
  </si>
  <si>
    <t>Abzugsschränke</t>
  </si>
  <si>
    <t>Absaugschrank</t>
  </si>
  <si>
    <t>Staubentnahme aus Abscheidesystem</t>
  </si>
  <si>
    <t>Transport über Förderband</t>
  </si>
  <si>
    <t>Befüllen von Säcken</t>
  </si>
  <si>
    <t>Entleeren von Säcken</t>
  </si>
  <si>
    <t>Beschicken von Kesseln aus Säcken oder Kleingebinden</t>
  </si>
  <si>
    <t>Befüllung und Entleerung von Containern (IBC)</t>
  </si>
  <si>
    <t>Befüllen von Fässern</t>
  </si>
  <si>
    <t>Entleeren von Fässern mittels Fasspumpe</t>
  </si>
  <si>
    <t>Wiegen von Feststoffen</t>
  </si>
  <si>
    <t>Mischen von Feststoffen mit anderen Feststoffen oder Flüssigkeiten</t>
  </si>
  <si>
    <t>Mischen von Flüssigkeiten mit anderen Flüssigkeiten oder Feststoffen in Fässern o. ä.</t>
  </si>
  <si>
    <t>Pulverbeschichtung</t>
  </si>
  <si>
    <t>Laminieren (Batch)</t>
  </si>
  <si>
    <t>Trockenschrank (Horden- oder Tellertrockner)</t>
  </si>
  <si>
    <t>Herstellen von Pellets</t>
  </si>
  <si>
    <t>Staubarbeitsplätze (Grundsätze)</t>
  </si>
  <si>
    <t>Wartungs- und Servicearbeiten an Drucker- und Kopiergeräten</t>
  </si>
  <si>
    <t>Erweiterter Maßnahmenbedarf „Haut“</t>
  </si>
  <si>
    <t>Geschlossenes System</t>
  </si>
  <si>
    <t>Handschuhkasten (glove box)</t>
  </si>
  <si>
    <t>Fassbefüllung</t>
  </si>
  <si>
    <t>Fassentleerung</t>
  </si>
  <si>
    <t>Befüllung und Entleerung von IBC-Containern (Feststoffe)</t>
  </si>
  <si>
    <t>Befüllung und Entleerung von IBC-Containern (Flüssigkeiten)</t>
  </si>
  <si>
    <t>Befüllen und Entleeren von Tankfahrzeugen</t>
  </si>
  <si>
    <t>Umpumpen von Flüssigkeiten</t>
  </si>
  <si>
    <t>Brandschutzmaßnahmen</t>
  </si>
  <si>
    <t>Grundanforderungen bei erhöhter Brandgefährdung</t>
  </si>
  <si>
    <t>Lackierarbeiten, Spritz- und Beschichtungsverfahren</t>
  </si>
  <si>
    <t>Grundlegende Explosionsschutzmaßnahmen</t>
  </si>
  <si>
    <t>Brennbare Flüssigkeiten umfüllen und abfüllen</t>
  </si>
  <si>
    <t>Hohe Brandschutzmaßnahmen - Grundanforderungen</t>
  </si>
  <si>
    <t>Bereitstellen und Lagern</t>
  </si>
  <si>
    <t>Vorbeugender Holzschutz: Grundmaßnahmen</t>
  </si>
  <si>
    <t>Beschreibung der Schutzmaßnahmen</t>
  </si>
  <si>
    <t>Schutzleitfäden des EMKG (www.baua.de)</t>
  </si>
  <si>
    <t>Û</t>
  </si>
  <si>
    <t>gemäß TRGS 510</t>
  </si>
  <si>
    <t>Kann die Organe schädigen (alle betroffenen Organe nennen, sofern bekannt) bei längerer oder wiederholter Exposition.</t>
  </si>
  <si>
    <t>(Die Ozonschicht schädigend. Satz wurde ersetzt durch den nachträglich hinzugefügten H420 – mit Verordnung (EU) Nr. 286/2011 (2. ATP der CLP-Verordnung)</t>
  </si>
  <si>
    <t>Bemerkung</t>
  </si>
  <si>
    <t>Zuordnung im PSA-Katalog</t>
  </si>
  <si>
    <t>Persönliche Schutzausrüstung</t>
  </si>
  <si>
    <t>Verbrauch pro Jahr (Gebinde)</t>
  </si>
  <si>
    <t>Anzahl Gefahr- und Gebrauchsstoffe</t>
  </si>
  <si>
    <r>
      <t>Gefährdung durch inhalative Exposition</t>
    </r>
    <r>
      <rPr>
        <sz val="12"/>
        <color rgb="FF000000"/>
        <rFont val="Arial"/>
        <family val="2"/>
      </rPr>
      <t xml:space="preserve"> (EMKG: Gefährlichkeitsgruppe "Einatmen" / TRGS 402)</t>
    </r>
  </si>
  <si>
    <r>
      <t>Gefährdung durch Hautkontakt</t>
    </r>
    <r>
      <rPr>
        <sz val="12"/>
        <color rgb="FF000000"/>
        <rFont val="Arial"/>
        <family val="2"/>
      </rPr>
      <t xml:space="preserve"> (EMKG: Gefährlichkeitsgruppe "Haut" / TRGS 401)</t>
    </r>
  </si>
  <si>
    <t>Brand und Explosion</t>
  </si>
  <si>
    <t>Inhalative Exposition</t>
  </si>
  <si>
    <t>Dermale Exposition</t>
  </si>
  <si>
    <t>Beschäftigungs-beschränkungen</t>
  </si>
  <si>
    <t>Expositions-verzeichnis</t>
  </si>
  <si>
    <t>geringe_Gefährdung</t>
  </si>
  <si>
    <t>Ja, da keine gefährlichen Eigenschaften vorliegen.</t>
  </si>
  <si>
    <t>Ja, da die Verwendung unter haushaltsüblichen Bedingungen erfolgt.</t>
  </si>
  <si>
    <t>Nein, da die Einstufung H314 besteht und ein Hautkontakt nicht ausgeschlossen werden kann.</t>
  </si>
  <si>
    <t>Nein, da Tätigkeiten mit dem Gefahrstoff in engen Räumen und Behältern erfolgen.</t>
  </si>
  <si>
    <t>Nein, da bei Verwendung eine gefährliche explosionsfähige Atmosphäre entstehen kann.</t>
  </si>
  <si>
    <r>
      <t xml:space="preserve">Tätigkeiten mit geringer Gefährdung
</t>
    </r>
    <r>
      <rPr>
        <sz val="10"/>
        <color theme="1"/>
        <rFont val="Arial"/>
        <family val="2"/>
      </rPr>
      <t>(Gefährdungsbeurteilung nach TRGS 400)</t>
    </r>
  </si>
  <si>
    <t>interne Bestellnummer</t>
  </si>
  <si>
    <r>
      <t xml:space="preserve">Arbeitsplatzgrenzwerte 
</t>
    </r>
    <r>
      <rPr>
        <sz val="10"/>
        <color theme="1"/>
        <rFont val="Arial"/>
        <family val="2"/>
      </rPr>
      <t>(TRGS 900, DNEL)</t>
    </r>
  </si>
  <si>
    <t>Vorsorge</t>
  </si>
  <si>
    <t>Pflichtvorsorge</t>
  </si>
  <si>
    <t>Einsatzweck / interne Verwendung</t>
  </si>
  <si>
    <t>EN 166</t>
  </si>
  <si>
    <t>EN 374</t>
  </si>
  <si>
    <t>siehe tätigkeitsspezifische Gefährdungsbeurteilung</t>
  </si>
  <si>
    <t>Organisations- und Hygienemaßnahmen "Einatmen"</t>
  </si>
  <si>
    <t>Organisations- und Hygienemaßnahmen "Haut"</t>
  </si>
  <si>
    <t>Einheit</t>
  </si>
  <si>
    <t>g</t>
  </si>
  <si>
    <t>max. Gebindegröße</t>
  </si>
  <si>
    <r>
      <t xml:space="preserve">ersetzt durch </t>
    </r>
    <r>
      <rPr>
        <sz val="10"/>
        <color theme="1"/>
        <rFont val="Arial"/>
        <family val="2"/>
      </rPr>
      <t>SDB_XXX</t>
    </r>
  </si>
  <si>
    <r>
      <t xml:space="preserve">Substitut / Ersatz </t>
    </r>
    <r>
      <rPr>
        <sz val="10"/>
        <color theme="1"/>
        <rFont val="Arial"/>
        <family val="2"/>
      </rPr>
      <t>für SDB_XXX</t>
    </r>
  </si>
  <si>
    <t>nicht definiert23</t>
  </si>
  <si>
    <t>nicht definiert24</t>
  </si>
  <si>
    <t>nicht definiert25</t>
  </si>
  <si>
    <t>nicht definiert26</t>
  </si>
  <si>
    <t>nicht definiert27</t>
  </si>
  <si>
    <t>nicht definiert28</t>
  </si>
  <si>
    <t>nicht definiert29</t>
  </si>
  <si>
    <t>nicht definiert30</t>
  </si>
  <si>
    <r>
      <rPr>
        <b/>
        <sz val="12"/>
        <color indexed="8"/>
        <rFont val="Arial"/>
        <family val="2"/>
      </rPr>
      <t>Gefährdung durch physikalische Reaktionen</t>
    </r>
    <r>
      <rPr>
        <sz val="12"/>
        <color rgb="FF000000"/>
        <rFont val="Arial"/>
        <family val="2"/>
      </rPr>
      <t xml:space="preserve"> (EMKG:</t>
    </r>
    <r>
      <rPr>
        <b/>
        <sz val="12"/>
        <color indexed="8"/>
        <rFont val="Arial"/>
        <family val="2"/>
      </rPr>
      <t xml:space="preserve"> </t>
    </r>
    <r>
      <rPr>
        <sz val="12"/>
        <color indexed="8"/>
        <rFont val="Arial"/>
        <family val="2"/>
      </rPr>
      <t>Gefährlichkeitsgruppe "Brand und Explosion")</t>
    </r>
  </si>
  <si>
    <t>Mengen-gruppe</t>
  </si>
  <si>
    <t>Beschränkung</t>
  </si>
  <si>
    <t>gemäß JArbSchG</t>
  </si>
  <si>
    <t>gemäß MuSchG</t>
  </si>
  <si>
    <t>PSA_Handschutz</t>
  </si>
  <si>
    <t>PSA_Augenschutz</t>
  </si>
  <si>
    <t>PSA_Atemschutz</t>
  </si>
  <si>
    <t>PSA_Körperschutz</t>
  </si>
  <si>
    <t>Chemikalien-Schutzhandschuhe</t>
  </si>
  <si>
    <t>Dichtschließende Schutzbrille mit Seitenschutz</t>
  </si>
  <si>
    <t>Vollmaske</t>
  </si>
  <si>
    <t>Einwegoverall</t>
  </si>
  <si>
    <t>Halbmaske</t>
  </si>
  <si>
    <t>Arbeitskleidung</t>
  </si>
  <si>
    <t>(nicht erforderlich)</t>
  </si>
  <si>
    <t>Kombinationsfiltergerät</t>
  </si>
  <si>
    <t>(nicht definiert)</t>
  </si>
  <si>
    <t>FFP2-Staubschutzmaske</t>
  </si>
  <si>
    <t>*</t>
  </si>
  <si>
    <t>**</t>
  </si>
  <si>
    <t>Keine Substitution möglich, da eine Ersatzlösung nicht die internen Verfahrens- und Verwendungsbedingungen erfüllt.</t>
  </si>
  <si>
    <t>Keine Substitution möglich, da eine Ersatzlösung die Gefährdung nicht ausreichend verringert.</t>
  </si>
  <si>
    <t>Keine Substitution möglich, da eine Ersatzlösung wirtschaftlich nicht tragbar ist.</t>
  </si>
  <si>
    <t>Keine Substitution notwendig, da keine gefährlichen Eigenschaften vorliegen.</t>
  </si>
  <si>
    <t>Keine Substitution notwendig, da nur geringe Stoffmengen verwendet werden.</t>
  </si>
  <si>
    <t>Keine Substitution notwendig, da nur eine niedrige Exposition besteht.</t>
  </si>
  <si>
    <t>Keine Substitution notwendig, da die Verwendung unter haushaltsüblichen Bedingungen erfolgt.</t>
  </si>
  <si>
    <t>Die Möglichkeit zur Substitution des Produktes ist zu prüfen.</t>
  </si>
  <si>
    <t>Eine Substitution ist möglich, alle Maßnahmen werden eingeleitet.</t>
  </si>
  <si>
    <r>
      <rPr>
        <b/>
        <sz val="11"/>
        <color theme="1"/>
        <rFont val="Calibri"/>
        <family val="2"/>
        <scheme val="minor"/>
      </rPr>
      <t>Hinweis:</t>
    </r>
    <r>
      <rPr>
        <sz val="11"/>
        <color theme="1"/>
        <rFont val="Calibri"/>
        <family val="2"/>
        <scheme val="minor"/>
      </rPr>
      <t xml:space="preserve"> Wenn ein Expositionsweg (verschlucken, einatmen oder Hautkontakt) angegeben ist, kann davon ausgegangen werden, dass Gefahr nur bei den angegebenen Expositionswegen besteht. Entscheidend für die Zuordnung ist die Exposition durch Hautkontakt.</t>
    </r>
  </si>
  <si>
    <r>
      <rPr>
        <b/>
        <sz val="11"/>
        <color theme="1"/>
        <rFont val="Calibri"/>
        <family val="2"/>
        <scheme val="minor"/>
      </rPr>
      <t xml:space="preserve">Hinweis: </t>
    </r>
    <r>
      <rPr>
        <sz val="11"/>
        <color theme="1"/>
        <rFont val="Calibri"/>
        <family val="2"/>
        <scheme val="minor"/>
      </rPr>
      <t>Giftige Stoffe der Kat. 3 können wie ein gesundheitsschädlicher Stoff der Kat. 4 bewertet werden, wenn die 
- LD50 oral in einem Bereich von 200 - 300 mg / kg,
- LD50 dermal in einem Bereich von 400 - 1000 mg / kg,
- LD50 für Dämpfe in einem Bereich von 2 - 10 mg / l angegeben ist. (siehe Kap. 11 im SDB)</t>
    </r>
  </si>
  <si>
    <t>Stoff / Gemisch</t>
  </si>
  <si>
    <t>Stoff_Gemisch</t>
  </si>
  <si>
    <t>Stoff</t>
  </si>
  <si>
    <t>Gemisch</t>
  </si>
  <si>
    <t>PBT</t>
  </si>
  <si>
    <t>vPvB</t>
  </si>
  <si>
    <t>Einstufung nach TRGS 410 / SVHC-Meldepflicht  /  Angaben zu den Bestandteilen (CMR)</t>
  </si>
  <si>
    <t>Einstufung_Weitere</t>
  </si>
  <si>
    <t>Kennzeichnung gemäß 
CLP-VO (EG) 1272/2008</t>
  </si>
  <si>
    <t>frei</t>
  </si>
  <si>
    <t>Abteilungsleiter</t>
  </si>
  <si>
    <t>nicht definiert7</t>
  </si>
  <si>
    <t>Bemerkungen / Ergänzende Dokumente:</t>
  </si>
  <si>
    <r>
      <rPr>
        <i/>
        <sz val="8"/>
        <color rgb="FF00B050"/>
        <rFont val="Arial"/>
        <family val="2"/>
      </rPr>
      <t>grün (1)</t>
    </r>
    <r>
      <rPr>
        <i/>
        <sz val="8"/>
        <rFont val="Arial"/>
        <family val="2"/>
      </rPr>
      <t xml:space="preserve"> = Verbesserung</t>
    </r>
    <r>
      <rPr>
        <i/>
        <sz val="8"/>
        <color rgb="FFFF0000"/>
        <rFont val="Arial"/>
        <family val="2"/>
      </rPr>
      <t xml:space="preserve">
rot (2)</t>
    </r>
    <r>
      <rPr>
        <i/>
        <sz val="8"/>
        <color theme="1"/>
        <rFont val="Arial"/>
        <family val="2"/>
      </rPr>
      <t xml:space="preserve"> = Verschlechterung
grau (leer) = keine Veränderung</t>
    </r>
  </si>
  <si>
    <t>(Sicherheitsdatenblätter, Betriebsanweisungen nach TRGS 555 u. a.)</t>
  </si>
  <si>
    <t>Nein, da gefährliche Einstufungen und Eigenschaften vorliegen (siehe EMKG).</t>
  </si>
  <si>
    <t>Ja, da nur eine niedrige Exposition besteht (siehe EMKG)</t>
  </si>
  <si>
    <t>Ja, da nur geringe Stoffmengen verwendet werden (für analytische Zwecke, Proben, Kleinarbeiten)</t>
  </si>
  <si>
    <t>[optional]</t>
  </si>
  <si>
    <t>Angebotsvorsorge Haut</t>
  </si>
  <si>
    <t>Angebotsvorsorge Isocyanate</t>
  </si>
  <si>
    <t>nicht definiert</t>
  </si>
  <si>
    <t>Arbeitsmedizinische Vorsorge</t>
  </si>
  <si>
    <t>prüfen (Rücksprache Betriebsarzt)</t>
  </si>
  <si>
    <t>SDB freigegeben am</t>
  </si>
  <si>
    <t>Revisionsstand zuletzt geprüft am</t>
  </si>
  <si>
    <t>Format:    XXXXXXX-XX-X</t>
  </si>
  <si>
    <t>CAS 1</t>
  </si>
  <si>
    <t>CAS 2</t>
  </si>
  <si>
    <t>CAS 3</t>
  </si>
  <si>
    <t>CAS 4</t>
  </si>
  <si>
    <t>CAS 5</t>
  </si>
  <si>
    <t>CAS 6</t>
  </si>
  <si>
    <t>CAS 7</t>
  </si>
  <si>
    <t>CAS 8</t>
  </si>
  <si>
    <t>CAS 9</t>
  </si>
  <si>
    <t>CAS 10</t>
  </si>
  <si>
    <t xml:space="preserve">CAS-Nummer </t>
  </si>
  <si>
    <r>
      <rPr>
        <b/>
        <sz val="10"/>
        <color theme="1"/>
        <rFont val="Arial"/>
        <family val="2"/>
      </rPr>
      <t>VOC</t>
    </r>
    <r>
      <rPr>
        <sz val="10"/>
        <color theme="1"/>
        <rFont val="Arial"/>
        <family val="2"/>
      </rPr>
      <t xml:space="preserve">
[%]</t>
    </r>
  </si>
  <si>
    <t>günstiger</t>
  </si>
  <si>
    <t>teurer</t>
  </si>
  <si>
    <t>CAS 11</t>
  </si>
  <si>
    <t>CAS 12</t>
  </si>
  <si>
    <t>nicht definiert1</t>
  </si>
  <si>
    <t>nicht definiert2</t>
  </si>
  <si>
    <t>nicht definiert3</t>
  </si>
  <si>
    <t>nicht definiert4</t>
  </si>
  <si>
    <t>nicht definiert5</t>
  </si>
  <si>
    <t>nicht definiert6</t>
  </si>
  <si>
    <t>Sammelbetriebsanweisung</t>
  </si>
  <si>
    <t>Substitution nach TRGS 600</t>
  </si>
  <si>
    <r>
      <t xml:space="preserve">CAS </t>
    </r>
    <r>
      <rPr>
        <sz val="12.5"/>
        <rFont val="Arial"/>
        <family val="2"/>
      </rPr>
      <t>(engl.: Chemical Abstract Service Registry Number)</t>
    </r>
  </si>
  <si>
    <t>Bild</t>
  </si>
  <si>
    <t>[opt.]</t>
  </si>
  <si>
    <t xml:space="preserve">CARAMBA CHEMIE GMBH &amp; Co.KG </t>
  </si>
  <si>
    <t>hebrochemie GmbH</t>
  </si>
  <si>
    <t xml:space="preserve">MEYER-CHEMIE GmbH &amp; Co KG </t>
  </si>
  <si>
    <t>Bremer &amp; Leguil GmbH</t>
  </si>
  <si>
    <t xml:space="preserve">TECHNO-SERVICE GmbH </t>
  </si>
  <si>
    <t>ITW Chemische Produkte GmbH &amp; Co. KG</t>
  </si>
  <si>
    <t>Divinol Lithogrease 000</t>
  </si>
  <si>
    <t>Zeller+Gmelin GmbH &amp; Co. KG</t>
  </si>
  <si>
    <t xml:space="preserve">Electrolube - WENTWORTH LTD </t>
  </si>
  <si>
    <t>CARAMBA Super Das Original Multifunktions-Spray(Aerosol)</t>
  </si>
  <si>
    <t>DH556-AE2 A7201 Formreiniger</t>
  </si>
  <si>
    <t>ALGOREX Spiritus</t>
  </si>
  <si>
    <t>A.C.S. 3</t>
  </si>
  <si>
    <t>Metaflux 75-17 Citrus-Reiniger (Spray)</t>
  </si>
  <si>
    <t>Cramolin Plastik</t>
  </si>
  <si>
    <t>D555-AE2 Z 263</t>
  </si>
  <si>
    <t>E563-AE2 Z 261</t>
  </si>
  <si>
    <t>E581-AE2 Z 267</t>
  </si>
  <si>
    <t>EEML400D</t>
  </si>
  <si>
    <t>Kunststoff-Flasche</t>
  </si>
  <si>
    <t>KMG Arbeitssicherheit</t>
  </si>
  <si>
    <t>Wolzenburg 2, 58566 Kierspe</t>
  </si>
  <si>
    <t>OKS Spezialschmierstoffe GmbH</t>
  </si>
  <si>
    <t>OKS 250 Schmierstoff</t>
  </si>
  <si>
    <t>GHS 05, GHS 09, Gefahr</t>
  </si>
  <si>
    <t>H315, H318</t>
  </si>
  <si>
    <t>EUH208, EUH212</t>
  </si>
  <si>
    <t>P264, P273, P280</t>
  </si>
  <si>
    <t>P305 + P351 + P338, P310, P332 + P313, P391</t>
  </si>
  <si>
    <t xml:space="preserve">Titandioxid; [in Pulverform mit &lt;1
% Partikel mit aerodynamischem
Durchmesser ≤ 10 μm], Calciumdihydroxid, Destillate (Erdöl),
durch Lösungsmittel
aufbereitete
schwere paraffinhaltige;
Basisöl —
nicht spezifiziert, </t>
  </si>
  <si>
    <t>weiß</t>
  </si>
  <si>
    <t>Büro</t>
  </si>
  <si>
    <t>Lager</t>
  </si>
  <si>
    <t>Produktion / Fertigung</t>
  </si>
  <si>
    <t>Werkstatt</t>
  </si>
  <si>
    <t>…</t>
  </si>
  <si>
    <t>...</t>
  </si>
  <si>
    <t>Schmierstoff von Werkzeugmaschinen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</si>
</sst>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407]mmmm\ yyyy;@"/>
    <numFmt numFmtId="166" formatCode="#,##0.0"/>
    <numFmt numFmtId="167" formatCode="#,##0.000"/>
  </numFmts>
  <fonts count="92" x14ac:knownFonts="1">
    <font>
      <sz val="11"/>
      <color theme="1"/>
      <name val="Calibri"/>
      <family val="2"/>
      <scheme val="minor"/>
    </font>
    <font>
      <sz val="10"/>
      <name val="Arial"/>
      <family val="2"/>
    </font>
    <font>
      <u/>
      <sz val="10"/>
      <color indexed="12"/>
      <name val="Arial"/>
      <family val="2"/>
    </font>
    <font>
      <sz val="10"/>
      <name val="Arial"/>
      <family val="2"/>
    </font>
    <font>
      <sz val="9"/>
      <name val="Arial"/>
      <family val="2"/>
    </font>
    <font>
      <b/>
      <sz val="24"/>
      <color indexed="8"/>
      <name val="Arial"/>
      <family val="2"/>
    </font>
    <font>
      <b/>
      <sz val="28"/>
      <color indexed="8"/>
      <name val="Arial"/>
      <family val="2"/>
    </font>
    <font>
      <sz val="10"/>
      <color indexed="8"/>
      <name val="Arial"/>
      <family val="2"/>
    </font>
    <font>
      <b/>
      <sz val="13"/>
      <color indexed="8"/>
      <name val="Arial"/>
      <family val="2"/>
    </font>
    <font>
      <sz val="13"/>
      <color indexed="8"/>
      <name val="Arial"/>
      <family val="2"/>
    </font>
    <font>
      <b/>
      <sz val="10"/>
      <name val="Arial"/>
      <family val="2"/>
    </font>
    <font>
      <sz val="8"/>
      <color indexed="8"/>
      <name val="Arial"/>
      <family val="2"/>
    </font>
    <font>
      <b/>
      <sz val="11"/>
      <color theme="1"/>
      <name val="Calibri"/>
      <family val="2"/>
      <scheme val="minor"/>
    </font>
    <font>
      <sz val="9"/>
      <color theme="1"/>
      <name val="Arial"/>
      <family val="2"/>
    </font>
    <font>
      <sz val="10"/>
      <color theme="1"/>
      <name val="Arial"/>
      <family val="2"/>
    </font>
    <font>
      <b/>
      <sz val="10"/>
      <color theme="1"/>
      <name val="Arial"/>
      <family val="2"/>
    </font>
    <font>
      <b/>
      <sz val="11"/>
      <color theme="1"/>
      <name val="Arial"/>
      <family val="2"/>
    </font>
    <font>
      <i/>
      <sz val="11"/>
      <color theme="1"/>
      <name val="Calibri"/>
      <family val="2"/>
      <scheme val="minor"/>
    </font>
    <font>
      <sz val="10"/>
      <color theme="1"/>
      <name val="Calibri"/>
      <family val="2"/>
      <scheme val="minor"/>
    </font>
    <font>
      <b/>
      <sz val="11"/>
      <name val="Calibri"/>
      <family val="2"/>
      <scheme val="minor"/>
    </font>
    <font>
      <b/>
      <sz val="12"/>
      <color theme="1"/>
      <name val="Arial"/>
      <family val="2"/>
    </font>
    <font>
      <b/>
      <sz val="20"/>
      <color rgb="FFFF0000"/>
      <name val="Calibri"/>
      <family val="2"/>
      <scheme val="minor"/>
    </font>
    <font>
      <sz val="12"/>
      <color indexed="8"/>
      <name val="Arial"/>
      <family val="2"/>
    </font>
    <font>
      <b/>
      <sz val="14"/>
      <color theme="1"/>
      <name val="Arial"/>
      <family val="2"/>
    </font>
    <font>
      <sz val="11"/>
      <color theme="1"/>
      <name val="Arial"/>
      <family val="2"/>
    </font>
    <font>
      <b/>
      <sz val="8"/>
      <name val="Arial Narrow"/>
      <family val="2"/>
    </font>
    <font>
      <b/>
      <sz val="10"/>
      <color theme="0"/>
      <name val="Arial"/>
      <family val="2"/>
    </font>
    <font>
      <b/>
      <sz val="11"/>
      <name val="Arial"/>
      <family val="2"/>
    </font>
    <font>
      <sz val="14"/>
      <color theme="1"/>
      <name val="Arial"/>
      <family val="2"/>
    </font>
    <font>
      <i/>
      <sz val="10"/>
      <name val="Arial"/>
      <family val="2"/>
    </font>
    <font>
      <u/>
      <sz val="12"/>
      <color indexed="8"/>
      <name val="Arial"/>
      <family val="2"/>
    </font>
    <font>
      <sz val="15"/>
      <color theme="1" tint="0.499984740745262"/>
      <name val="Arial"/>
      <family val="2"/>
    </font>
    <font>
      <b/>
      <sz val="12"/>
      <color indexed="8"/>
      <name val="Arial"/>
      <family val="2"/>
    </font>
    <font>
      <sz val="14"/>
      <color theme="1" tint="0.499984740745262"/>
      <name val="Arial"/>
      <family val="2"/>
    </font>
    <font>
      <b/>
      <sz val="15"/>
      <color theme="1" tint="0.34998626667073579"/>
      <name val="Arial"/>
      <family val="2"/>
    </font>
    <font>
      <sz val="15"/>
      <color theme="1" tint="0.34998626667073579"/>
      <name val="Arial"/>
      <family val="2"/>
    </font>
    <font>
      <b/>
      <sz val="12.5"/>
      <name val="Arial"/>
      <family val="2"/>
    </font>
    <font>
      <i/>
      <sz val="10"/>
      <color theme="1"/>
      <name val="Arial"/>
      <family val="2"/>
    </font>
    <font>
      <sz val="20"/>
      <color indexed="12"/>
      <name val="Wingdings"/>
      <charset val="2"/>
    </font>
    <font>
      <b/>
      <sz val="22"/>
      <color indexed="8"/>
      <name val="Arial"/>
      <family val="2"/>
    </font>
    <font>
      <sz val="20"/>
      <color theme="1"/>
      <name val="Arial"/>
      <family val="2"/>
    </font>
    <font>
      <b/>
      <sz val="10"/>
      <color theme="1" tint="0.249977111117893"/>
      <name val="Arial"/>
      <family val="2"/>
    </font>
    <font>
      <b/>
      <sz val="11"/>
      <color indexed="8"/>
      <name val="Arial"/>
      <family val="2"/>
    </font>
    <font>
      <sz val="16"/>
      <color rgb="FFFF0000"/>
      <name val="Arial"/>
      <family val="2"/>
    </font>
    <font>
      <sz val="8"/>
      <name val="Calibri"/>
      <family val="2"/>
      <scheme val="minor"/>
    </font>
    <font>
      <b/>
      <sz val="12.5"/>
      <color indexed="8"/>
      <name val="Arial"/>
      <family val="2"/>
    </font>
    <font>
      <b/>
      <sz val="10"/>
      <color indexed="8"/>
      <name val="Arial"/>
      <family val="2"/>
    </font>
    <font>
      <b/>
      <sz val="11"/>
      <color theme="1" tint="0.34998626667073579"/>
      <name val="Arial"/>
      <family val="2"/>
    </font>
    <font>
      <b/>
      <sz val="14"/>
      <color theme="1" tint="0.34998626667073579"/>
      <name val="Arial"/>
      <family val="2"/>
    </font>
    <font>
      <sz val="11"/>
      <color theme="1" tint="0.34998626667073579"/>
      <name val="Arial"/>
      <family val="2"/>
    </font>
    <font>
      <sz val="13"/>
      <color theme="1" tint="0.34998626667073579"/>
      <name val="Arial"/>
      <family val="2"/>
    </font>
    <font>
      <sz val="9"/>
      <color theme="1" tint="0.34998626667073579"/>
      <name val="Arial"/>
      <family val="2"/>
    </font>
    <font>
      <sz val="9"/>
      <color rgb="FF000000"/>
      <name val="Arial"/>
      <family val="2"/>
    </font>
    <font>
      <sz val="8"/>
      <name val="Arial"/>
      <family val="2"/>
    </font>
    <font>
      <b/>
      <u/>
      <sz val="22"/>
      <color theme="1"/>
      <name val="Arial"/>
      <family val="2"/>
    </font>
    <font>
      <b/>
      <u/>
      <sz val="20"/>
      <color theme="1"/>
      <name val="Arial"/>
      <family val="2"/>
    </font>
    <font>
      <u/>
      <sz val="10"/>
      <color theme="1"/>
      <name val="Arial"/>
      <family val="2"/>
    </font>
    <font>
      <sz val="8"/>
      <color theme="1"/>
      <name val="Arial"/>
      <family val="2"/>
    </font>
    <font>
      <b/>
      <sz val="18"/>
      <color theme="1"/>
      <name val="Arial"/>
      <family val="2"/>
    </font>
    <font>
      <sz val="16"/>
      <color theme="1"/>
      <name val="Arial"/>
      <family val="2"/>
    </font>
    <font>
      <i/>
      <sz val="8"/>
      <color theme="1"/>
      <name val="Arial"/>
      <family val="2"/>
    </font>
    <font>
      <i/>
      <sz val="8"/>
      <color rgb="FFFF0000"/>
      <name val="Arial"/>
      <family val="2"/>
    </font>
    <font>
      <i/>
      <sz val="8"/>
      <color rgb="FF00B050"/>
      <name val="Arial"/>
      <family val="2"/>
    </font>
    <font>
      <sz val="7"/>
      <color theme="1"/>
      <name val="Arial"/>
      <family val="2"/>
    </font>
    <font>
      <sz val="10"/>
      <color theme="0"/>
      <name val="Arial"/>
      <family val="2"/>
    </font>
    <font>
      <b/>
      <sz val="11"/>
      <color theme="0"/>
      <name val="Arial"/>
      <family val="2"/>
    </font>
    <font>
      <b/>
      <sz val="9"/>
      <color theme="1"/>
      <name val="Arial"/>
      <family val="2"/>
    </font>
    <font>
      <i/>
      <sz val="9"/>
      <color theme="1"/>
      <name val="Arial"/>
      <family val="2"/>
    </font>
    <font>
      <b/>
      <u/>
      <sz val="10"/>
      <color indexed="12"/>
      <name val="Arial"/>
      <family val="2"/>
    </font>
    <font>
      <sz val="13"/>
      <color theme="1"/>
      <name val="Wingdings"/>
      <charset val="2"/>
    </font>
    <font>
      <b/>
      <sz val="11"/>
      <color rgb="FFFF0000"/>
      <name val="Calibri"/>
      <family val="2"/>
      <scheme val="minor"/>
    </font>
    <font>
      <b/>
      <u/>
      <sz val="11"/>
      <color rgb="FFFF0000"/>
      <name val="Calibri"/>
      <family val="2"/>
      <scheme val="minor"/>
    </font>
    <font>
      <sz val="12"/>
      <color rgb="FF000000"/>
      <name val="Arial"/>
      <family val="2"/>
    </font>
    <font>
      <b/>
      <sz val="9"/>
      <name val="Arial"/>
      <family val="2"/>
    </font>
    <font>
      <sz val="9"/>
      <color theme="0"/>
      <name val="Arial"/>
      <family val="2"/>
    </font>
    <font>
      <b/>
      <sz val="12"/>
      <name val="Arial"/>
      <family val="2"/>
    </font>
    <font>
      <b/>
      <u/>
      <sz val="11"/>
      <color theme="1"/>
      <name val="Arial"/>
      <family val="2"/>
    </font>
    <font>
      <sz val="14"/>
      <color indexed="12"/>
      <name val="Wingdings"/>
      <charset val="2"/>
    </font>
    <font>
      <sz val="36"/>
      <color rgb="FF0070C0"/>
      <name val="Wingdings"/>
      <charset val="2"/>
    </font>
    <font>
      <b/>
      <sz val="10"/>
      <color rgb="FF002060"/>
      <name val="Arial"/>
      <family val="2"/>
    </font>
    <font>
      <b/>
      <sz val="8"/>
      <name val="Arial"/>
      <family val="2"/>
    </font>
    <font>
      <b/>
      <u/>
      <sz val="10"/>
      <name val="Arial"/>
      <family val="2"/>
    </font>
    <font>
      <sz val="16"/>
      <color theme="1" tint="0.249977111117893"/>
      <name val="Arial"/>
      <family val="2"/>
    </font>
    <font>
      <sz val="11"/>
      <color theme="1" tint="0.499984740745262"/>
      <name val="Arial"/>
      <family val="2"/>
    </font>
    <font>
      <i/>
      <sz val="10"/>
      <color theme="0"/>
      <name val="Arial"/>
      <family val="2"/>
    </font>
    <font>
      <i/>
      <sz val="8"/>
      <name val="Arial"/>
      <family val="2"/>
    </font>
    <font>
      <sz val="10"/>
      <color theme="1" tint="0.499984740745262"/>
      <name val="Arial"/>
      <family val="2"/>
    </font>
    <font>
      <b/>
      <u/>
      <sz val="9"/>
      <color theme="1"/>
      <name val="Arial"/>
      <family val="2"/>
    </font>
    <font>
      <b/>
      <sz val="9"/>
      <color theme="1" tint="0.499984740745262"/>
      <name val="Arial"/>
      <family val="2"/>
    </font>
    <font>
      <sz val="12.5"/>
      <name val="Arial"/>
      <family val="2"/>
    </font>
    <font>
      <b/>
      <sz val="18"/>
      <name val="Arial"/>
      <family val="2"/>
    </font>
    <font>
      <sz val="16"/>
      <color theme="1" tint="0.499984740745262"/>
      <name val="Wingdings"/>
      <charset val="2"/>
    </font>
  </fonts>
  <fills count="29">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9"/>
        <bgColor indexed="64"/>
      </patternFill>
    </fill>
    <fill>
      <patternFill patternType="solid">
        <fgColor theme="9" tint="0.39997558519241921"/>
        <bgColor indexed="64"/>
      </patternFill>
    </fill>
    <fill>
      <patternFill patternType="solid">
        <fgColor rgb="FFF2F2F2"/>
        <bgColor indexed="64"/>
      </patternFill>
    </fill>
    <fill>
      <patternFill patternType="solid">
        <fgColor theme="9" tint="0.59999389629810485"/>
        <bgColor indexed="64"/>
      </patternFill>
    </fill>
    <fill>
      <patternFill patternType="solid">
        <fgColor theme="0"/>
        <bgColor indexed="64"/>
      </patternFill>
    </fill>
    <fill>
      <patternFill patternType="solid">
        <fgColor theme="7" tint="0.39997558519241921"/>
        <bgColor indexed="64"/>
      </patternFill>
    </fill>
    <fill>
      <patternFill patternType="solid">
        <fgColor rgb="FFFFCC99"/>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lightUp"/>
    </fill>
  </fills>
  <borders count="4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style="medium">
        <color indexed="64"/>
      </top>
      <bottom style="hair">
        <color indexed="64"/>
      </bottom>
      <diagonal/>
    </border>
    <border>
      <left/>
      <right/>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style="double">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hair">
        <color indexed="64"/>
      </right>
      <top style="hair">
        <color indexed="64"/>
      </top>
      <bottom style="double">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double">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theme="1" tint="0.34998626667073579"/>
      </bottom>
      <diagonal/>
    </border>
    <border>
      <left style="thin">
        <color theme="1" tint="0.34998626667073579"/>
      </left>
      <right/>
      <top style="thin">
        <color theme="1" tint="0.34998626667073579"/>
      </top>
      <bottom/>
      <diagonal/>
    </border>
    <border>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top/>
      <bottom style="thin">
        <color theme="1" tint="0.34998626667073579"/>
      </bottom>
      <diagonal/>
    </border>
    <border>
      <left/>
      <right style="thin">
        <color theme="1" tint="0.34998626667073579"/>
      </right>
      <top/>
      <bottom style="thin">
        <color theme="1" tint="0.34998626667073579"/>
      </bottom>
      <diagonal/>
    </border>
    <border>
      <left style="thin">
        <color indexed="64"/>
      </left>
      <right/>
      <top/>
      <bottom style="thin">
        <color indexed="64"/>
      </bottom>
      <diagonal/>
    </border>
    <border>
      <left style="hair">
        <color indexed="64"/>
      </left>
      <right style="hair">
        <color indexed="64"/>
      </right>
      <top style="thin">
        <color indexed="64"/>
      </top>
      <bottom style="hair">
        <color indexed="64"/>
      </bottom>
      <diagonal/>
    </border>
    <border>
      <left style="double">
        <color auto="1"/>
      </left>
      <right/>
      <top/>
      <bottom/>
      <diagonal/>
    </border>
  </borders>
  <cellStyleXfs count="5">
    <xf numFmtId="0" fontId="0" fillId="0" borderId="0"/>
    <xf numFmtId="0" fontId="2" fillId="0" borderId="0" applyNumberFormat="0" applyFill="0" applyBorder="0" applyAlignment="0" applyProtection="0">
      <alignment vertical="top"/>
      <protection locked="0"/>
    </xf>
    <xf numFmtId="0" fontId="1" fillId="0" borderId="0"/>
    <xf numFmtId="0" fontId="3" fillId="0" borderId="0"/>
    <xf numFmtId="0" fontId="1" fillId="0" borderId="0"/>
  </cellStyleXfs>
  <cellXfs count="526">
    <xf numFmtId="0" fontId="0" fillId="0" borderId="0" xfId="0"/>
    <xf numFmtId="0" fontId="13"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vertical="center" wrapText="1"/>
    </xf>
    <xf numFmtId="0" fontId="14" fillId="0" borderId="0" xfId="0" applyFont="1"/>
    <xf numFmtId="0" fontId="14" fillId="0" borderId="0" xfId="0" applyFont="1" applyAlignment="1">
      <alignment horizontal="center"/>
    </xf>
    <xf numFmtId="0" fontId="15" fillId="2" borderId="0" xfId="0" applyFont="1" applyFill="1" applyAlignment="1">
      <alignment horizontal="left"/>
    </xf>
    <xf numFmtId="0" fontId="14" fillId="0" borderId="0" xfId="0" applyFont="1" applyAlignment="1">
      <alignment horizontal="left"/>
    </xf>
    <xf numFmtId="0" fontId="14" fillId="3" borderId="0" xfId="0" applyFont="1" applyFill="1" applyAlignment="1">
      <alignment horizontal="left"/>
    </xf>
    <xf numFmtId="0" fontId="15" fillId="4" borderId="1" xfId="0" applyFont="1" applyFill="1" applyBorder="1" applyAlignment="1">
      <alignment horizontal="center" vertical="center" wrapText="1"/>
    </xf>
    <xf numFmtId="0" fontId="14" fillId="0" borderId="0" xfId="0" applyFont="1" applyAlignment="1">
      <alignment horizontal="center" vertical="center"/>
    </xf>
    <xf numFmtId="0" fontId="14" fillId="6" borderId="0" xfId="0" applyFont="1" applyFill="1" applyAlignment="1">
      <alignment horizontal="left"/>
    </xf>
    <xf numFmtId="0" fontId="4" fillId="0" borderId="1" xfId="0" applyFont="1" applyBorder="1" applyAlignment="1" applyProtection="1">
      <alignment horizontal="center" vertical="center" wrapText="1"/>
      <protection locked="0"/>
    </xf>
    <xf numFmtId="0" fontId="4" fillId="0" borderId="1" xfId="4" applyFont="1" applyBorder="1" applyAlignment="1" applyProtection="1">
      <alignment horizontal="center" vertical="center" wrapText="1"/>
      <protection locked="0"/>
    </xf>
    <xf numFmtId="0" fontId="14" fillId="7" borderId="0" xfId="0" applyFont="1" applyFill="1"/>
    <xf numFmtId="14" fontId="4" fillId="0" borderId="1" xfId="1" applyNumberFormat="1" applyFont="1" applyFill="1" applyBorder="1" applyAlignment="1" applyProtection="1">
      <alignment horizontal="center" vertical="center"/>
      <protection locked="0"/>
    </xf>
    <xf numFmtId="0" fontId="0" fillId="8" borderId="0" xfId="0" applyFill="1" applyAlignment="1">
      <alignment horizontal="center"/>
    </xf>
    <xf numFmtId="0" fontId="17" fillId="9" borderId="0" xfId="0" applyFont="1" applyFill="1"/>
    <xf numFmtId="0" fontId="13" fillId="0" borderId="0" xfId="0" applyFont="1" applyAlignment="1" applyProtection="1">
      <alignment horizontal="center" vertical="center"/>
      <protection locked="0"/>
    </xf>
    <xf numFmtId="0" fontId="15" fillId="3" borderId="3" xfId="0" applyFont="1" applyFill="1" applyBorder="1" applyAlignment="1" applyProtection="1">
      <alignment horizontal="center" vertical="center" wrapText="1"/>
      <protection locked="0"/>
    </xf>
    <xf numFmtId="0" fontId="15" fillId="8" borderId="3" xfId="0" applyFont="1" applyFill="1" applyBorder="1" applyAlignment="1" applyProtection="1">
      <alignment horizontal="center" vertical="center" wrapText="1"/>
      <protection locked="0"/>
    </xf>
    <xf numFmtId="0" fontId="15" fillId="8" borderId="1" xfId="0" applyFont="1" applyFill="1" applyBorder="1" applyAlignment="1" applyProtection="1">
      <alignment horizontal="center" vertical="center" wrapText="1"/>
      <protection locked="0"/>
    </xf>
    <xf numFmtId="0" fontId="15" fillId="10" borderId="3" xfId="0" applyFont="1" applyFill="1" applyBorder="1" applyAlignment="1" applyProtection="1">
      <alignment horizontal="center" vertical="center" wrapText="1"/>
      <protection locked="0"/>
    </xf>
    <xf numFmtId="0" fontId="15" fillId="10" borderId="1" xfId="0" applyFont="1" applyFill="1" applyBorder="1" applyAlignment="1" applyProtection="1">
      <alignment horizontal="center" vertical="center" wrapText="1"/>
      <protection locked="0"/>
    </xf>
    <xf numFmtId="0" fontId="15" fillId="4" borderId="3" xfId="0" applyFont="1" applyFill="1" applyBorder="1" applyAlignment="1" applyProtection="1">
      <alignment horizontal="center" vertical="center" wrapText="1"/>
      <protection locked="0"/>
    </xf>
    <xf numFmtId="0" fontId="15" fillId="5" borderId="1" xfId="0" applyFont="1" applyFill="1" applyBorder="1" applyAlignment="1">
      <alignment horizontal="left" vertical="center" wrapText="1" indent="1"/>
    </xf>
    <xf numFmtId="0" fontId="13" fillId="0" borderId="0" xfId="0" applyFont="1" applyAlignment="1" applyProtection="1">
      <alignment horizontal="center" vertical="center" wrapText="1"/>
      <protection locked="0"/>
    </xf>
    <xf numFmtId="0" fontId="12" fillId="11" borderId="0" xfId="0" applyFont="1" applyFill="1" applyAlignment="1">
      <alignment horizontal="center" vertical="center"/>
    </xf>
    <xf numFmtId="0" fontId="12" fillId="11" borderId="4" xfId="0" applyFont="1" applyFill="1" applyBorder="1" applyAlignment="1">
      <alignment horizontal="center" vertical="center"/>
    </xf>
    <xf numFmtId="0" fontId="18" fillId="0" borderId="4" xfId="0" applyFont="1" applyBorder="1" applyAlignment="1">
      <alignment horizontal="center" vertical="center"/>
    </xf>
    <xf numFmtId="0" fontId="17" fillId="9" borderId="0" xfId="0" applyFont="1" applyFill="1" applyAlignment="1">
      <alignment horizontal="center" vertical="center"/>
    </xf>
    <xf numFmtId="0" fontId="0" fillId="8" borderId="0" xfId="0"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12" fillId="11" borderId="0" xfId="0" applyFont="1" applyFill="1" applyAlignment="1">
      <alignment horizontal="left" vertical="center"/>
    </xf>
    <xf numFmtId="0" fontId="0" fillId="11" borderId="0" xfId="0" applyFill="1" applyAlignment="1">
      <alignment horizontal="center" vertical="center"/>
    </xf>
    <xf numFmtId="0" fontId="18" fillId="8" borderId="4" xfId="0" applyFont="1" applyFill="1" applyBorder="1" applyAlignment="1">
      <alignment horizontal="center" vertical="center"/>
    </xf>
    <xf numFmtId="0" fontId="18" fillId="12" borderId="4" xfId="0" applyFont="1" applyFill="1" applyBorder="1" applyAlignment="1">
      <alignment horizontal="center" vertical="center"/>
    </xf>
    <xf numFmtId="0" fontId="18" fillId="6" borderId="4" xfId="0" applyFont="1" applyFill="1" applyBorder="1" applyAlignment="1">
      <alignment horizontal="center" vertical="center"/>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18" fillId="12" borderId="6" xfId="0" applyFont="1" applyFill="1" applyBorder="1" applyAlignment="1">
      <alignment horizontal="center" vertical="center"/>
    </xf>
    <xf numFmtId="0" fontId="18" fillId="6" borderId="8" xfId="0" applyFont="1" applyFill="1" applyBorder="1" applyAlignment="1">
      <alignment horizontal="center" vertical="center"/>
    </xf>
    <xf numFmtId="0" fontId="18" fillId="8" borderId="6" xfId="0" applyFont="1" applyFill="1" applyBorder="1" applyAlignment="1">
      <alignment horizontal="center" vertical="center"/>
    </xf>
    <xf numFmtId="0" fontId="18" fillId="12" borderId="8" xfId="0" applyFont="1" applyFill="1" applyBorder="1" applyAlignment="1">
      <alignment horizontal="center" vertical="center"/>
    </xf>
    <xf numFmtId="0" fontId="18" fillId="8" borderId="8" xfId="0" applyFont="1" applyFill="1" applyBorder="1" applyAlignment="1">
      <alignment horizontal="center" vertical="center"/>
    </xf>
    <xf numFmtId="0" fontId="0" fillId="5" borderId="9" xfId="0" applyFill="1" applyBorder="1" applyAlignment="1">
      <alignment horizontal="center" vertical="center"/>
    </xf>
    <xf numFmtId="0" fontId="0" fillId="5" borderId="10" xfId="0" applyFill="1" applyBorder="1" applyAlignment="1">
      <alignment horizontal="center" vertical="center"/>
    </xf>
    <xf numFmtId="0" fontId="0" fillId="5" borderId="9" xfId="0" applyFill="1" applyBorder="1" applyAlignment="1">
      <alignment horizontal="left" vertical="center"/>
    </xf>
    <xf numFmtId="0" fontId="0" fillId="5" borderId="10" xfId="0" applyFill="1" applyBorder="1" applyAlignment="1">
      <alignment horizontal="left" vertical="center"/>
    </xf>
    <xf numFmtId="0" fontId="0" fillId="9" borderId="0" xfId="0" applyFill="1"/>
    <xf numFmtId="0" fontId="12" fillId="0" borderId="0" xfId="0" applyFont="1" applyAlignment="1">
      <alignment horizontal="center" vertical="center"/>
    </xf>
    <xf numFmtId="0" fontId="17" fillId="0" borderId="0" xfId="0" applyFont="1" applyAlignment="1">
      <alignment horizontal="center" vertical="center"/>
    </xf>
    <xf numFmtId="0" fontId="12" fillId="9" borderId="4" xfId="0" applyFont="1" applyFill="1" applyBorder="1" applyAlignment="1">
      <alignment horizontal="center" vertical="center"/>
    </xf>
    <xf numFmtId="0" fontId="14" fillId="4" borderId="1" xfId="0" applyFont="1" applyFill="1" applyBorder="1" applyAlignment="1">
      <alignment horizontal="center" vertical="center" textRotation="90" wrapText="1"/>
    </xf>
    <xf numFmtId="0" fontId="14" fillId="10" borderId="1" xfId="0" applyFont="1" applyFill="1" applyBorder="1" applyAlignment="1">
      <alignment horizontal="center" vertical="center" textRotation="90" wrapText="1"/>
    </xf>
    <xf numFmtId="0" fontId="18" fillId="8" borderId="7" xfId="0" applyFont="1" applyFill="1" applyBorder="1" applyAlignment="1">
      <alignment horizontal="center" vertical="center"/>
    </xf>
    <xf numFmtId="0" fontId="18" fillId="6" borderId="5" xfId="0" applyFont="1" applyFill="1" applyBorder="1" applyAlignment="1">
      <alignment horizontal="center" vertical="center"/>
    </xf>
    <xf numFmtId="0" fontId="18" fillId="6" borderId="6" xfId="0" applyFont="1" applyFill="1" applyBorder="1" applyAlignment="1">
      <alignment horizontal="center" vertical="center"/>
    </xf>
    <xf numFmtId="0" fontId="18" fillId="6" borderId="7" xfId="0" applyFont="1" applyFill="1" applyBorder="1" applyAlignment="1">
      <alignment horizontal="center" vertical="center"/>
    </xf>
    <xf numFmtId="0" fontId="0" fillId="11" borderId="0" xfId="0" applyFill="1"/>
    <xf numFmtId="0" fontId="12" fillId="11" borderId="0" xfId="0" applyFont="1" applyFill="1"/>
    <xf numFmtId="0" fontId="12" fillId="9" borderId="0" xfId="0" applyFont="1" applyFill="1" applyAlignment="1">
      <alignment horizontal="center" vertical="center"/>
    </xf>
    <xf numFmtId="0" fontId="17" fillId="9" borderId="4" xfId="0" applyFont="1" applyFill="1" applyBorder="1"/>
    <xf numFmtId="0" fontId="0" fillId="9" borderId="4" xfId="0" applyFill="1" applyBorder="1" applyAlignment="1">
      <alignment horizontal="center" vertical="center"/>
    </xf>
    <xf numFmtId="0" fontId="0" fillId="8" borderId="4" xfId="0" applyFill="1" applyBorder="1"/>
    <xf numFmtId="0" fontId="0" fillId="0" borderId="4" xfId="0" applyBorder="1" applyAlignment="1">
      <alignment horizontal="center" vertical="center"/>
    </xf>
    <xf numFmtId="0" fontId="0" fillId="0" borderId="4" xfId="0" applyBorder="1" applyAlignment="1">
      <alignment horizontal="center"/>
    </xf>
    <xf numFmtId="0" fontId="0" fillId="8" borderId="11" xfId="0" applyFill="1" applyBorder="1" applyAlignment="1">
      <alignment horizontal="center"/>
    </xf>
    <xf numFmtId="0" fontId="12" fillId="11" borderId="4" xfId="0" applyFont="1" applyFill="1" applyBorder="1" applyAlignment="1">
      <alignment horizontal="center"/>
    </xf>
    <xf numFmtId="0" fontId="12" fillId="9" borderId="4" xfId="0" applyFont="1" applyFill="1" applyBorder="1" applyAlignment="1">
      <alignment horizontal="center"/>
    </xf>
    <xf numFmtId="0" fontId="12" fillId="11" borderId="11" xfId="0" applyFont="1" applyFill="1" applyBorder="1" applyAlignment="1">
      <alignment horizontal="center"/>
    </xf>
    <xf numFmtId="0" fontId="12" fillId="9" borderId="11" xfId="0" applyFont="1" applyFill="1" applyBorder="1" applyAlignment="1">
      <alignment horizontal="center"/>
    </xf>
    <xf numFmtId="0" fontId="0" fillId="0" borderId="11" xfId="0" applyBorder="1" applyAlignment="1">
      <alignment horizontal="center"/>
    </xf>
    <xf numFmtId="0" fontId="12" fillId="11" borderId="12" xfId="0" applyFont="1" applyFill="1" applyBorder="1" applyAlignment="1">
      <alignment horizontal="center"/>
    </xf>
    <xf numFmtId="0" fontId="12" fillId="9" borderId="12" xfId="0" applyFont="1" applyFill="1" applyBorder="1" applyAlignment="1">
      <alignment horizontal="center"/>
    </xf>
    <xf numFmtId="0" fontId="0" fillId="0" borderId="12" xfId="0" applyBorder="1" applyAlignment="1">
      <alignment horizontal="center"/>
    </xf>
    <xf numFmtId="0" fontId="0" fillId="13" borderId="0" xfId="0" applyFill="1"/>
    <xf numFmtId="0" fontId="12" fillId="13" borderId="0" xfId="0" applyFont="1" applyFill="1" applyAlignment="1">
      <alignment horizontal="left" vertical="center"/>
    </xf>
    <xf numFmtId="0" fontId="19" fillId="14" borderId="0" xfId="0" applyFont="1" applyFill="1"/>
    <xf numFmtId="0" fontId="0" fillId="14" borderId="0" xfId="0" applyFill="1"/>
    <xf numFmtId="0" fontId="12" fillId="14" borderId="0" xfId="0" applyFont="1" applyFill="1"/>
    <xf numFmtId="0" fontId="12" fillId="11" borderId="13" xfId="0" applyFont="1" applyFill="1" applyBorder="1" applyAlignment="1">
      <alignment horizontal="center"/>
    </xf>
    <xf numFmtId="0" fontId="0" fillId="8" borderId="7" xfId="0" applyFill="1" applyBorder="1"/>
    <xf numFmtId="0" fontId="0" fillId="0" borderId="7" xfId="0" applyBorder="1" applyAlignment="1">
      <alignment horizontal="center" vertical="center"/>
    </xf>
    <xf numFmtId="0" fontId="0" fillId="8" borderId="14" xfId="0" applyFill="1" applyBorder="1"/>
    <xf numFmtId="0" fontId="0" fillId="0" borderId="14" xfId="0" applyBorder="1" applyAlignment="1">
      <alignment horizontal="center" vertical="center"/>
    </xf>
    <xf numFmtId="0" fontId="17" fillId="9" borderId="4" xfId="0" applyFont="1" applyFill="1" applyBorder="1" applyAlignment="1">
      <alignment horizontal="center"/>
    </xf>
    <xf numFmtId="0" fontId="0" fillId="0" borderId="10" xfId="0" applyBorder="1" applyAlignment="1">
      <alignment horizontal="center" vertical="center"/>
    </xf>
    <xf numFmtId="0" fontId="0" fillId="0" borderId="15" xfId="0" applyBorder="1" applyAlignment="1">
      <alignment horizontal="center" vertical="center"/>
    </xf>
    <xf numFmtId="0" fontId="18" fillId="0" borderId="0" xfId="0" applyFont="1" applyAlignment="1">
      <alignment horizontal="center" vertical="center"/>
    </xf>
    <xf numFmtId="0" fontId="18" fillId="6" borderId="0" xfId="0" applyFont="1" applyFill="1" applyAlignment="1">
      <alignment horizontal="center" vertical="center"/>
    </xf>
    <xf numFmtId="0" fontId="18" fillId="7" borderId="5" xfId="0" applyFont="1" applyFill="1" applyBorder="1" applyAlignment="1">
      <alignment horizontal="center" vertical="center"/>
    </xf>
    <xf numFmtId="0" fontId="18" fillId="7" borderId="4" xfId="0" applyFont="1" applyFill="1" applyBorder="1" applyAlignment="1">
      <alignment horizontal="center" vertical="center"/>
    </xf>
    <xf numFmtId="0" fontId="18" fillId="7" borderId="6" xfId="0" applyFont="1" applyFill="1" applyBorder="1" applyAlignment="1">
      <alignment horizontal="center" vertical="center"/>
    </xf>
    <xf numFmtId="0" fontId="18" fillId="7" borderId="8" xfId="0" applyFont="1" applyFill="1" applyBorder="1" applyAlignment="1">
      <alignment horizontal="center" vertical="center"/>
    </xf>
    <xf numFmtId="0" fontId="18" fillId="8" borderId="5" xfId="0" applyFont="1" applyFill="1" applyBorder="1" applyAlignment="1">
      <alignment horizontal="center" vertical="center"/>
    </xf>
    <xf numFmtId="0" fontId="14" fillId="6" borderId="0" xfId="0" applyFont="1" applyFill="1"/>
    <xf numFmtId="0" fontId="14" fillId="3" borderId="0" xfId="0" applyFont="1" applyFill="1"/>
    <xf numFmtId="0" fontId="14" fillId="6" borderId="0" xfId="0" applyFont="1" applyFill="1" applyAlignment="1">
      <alignment horizontal="center"/>
    </xf>
    <xf numFmtId="0" fontId="4" fillId="0" borderId="1" xfId="0" applyFont="1" applyBorder="1" applyAlignment="1" applyProtection="1">
      <alignment horizontal="left" vertical="center" wrapText="1" indent="1"/>
      <protection locked="0"/>
    </xf>
    <xf numFmtId="0" fontId="23" fillId="0" borderId="20" xfId="0" applyFont="1" applyBorder="1"/>
    <xf numFmtId="0" fontId="24" fillId="0" borderId="0" xfId="0" applyFont="1"/>
    <xf numFmtId="0" fontId="10" fillId="15" borderId="23" xfId="0" applyFont="1" applyFill="1" applyBorder="1" applyAlignment="1">
      <alignment horizontal="center" vertical="center" wrapText="1"/>
    </xf>
    <xf numFmtId="0" fontId="10" fillId="15" borderId="24" xfId="0" applyFont="1" applyFill="1" applyBorder="1" applyAlignment="1">
      <alignment horizontal="center" vertical="center" wrapText="1"/>
    </xf>
    <xf numFmtId="0" fontId="24" fillId="9" borderId="0" xfId="0" applyFont="1" applyFill="1"/>
    <xf numFmtId="0" fontId="23" fillId="0" borderId="19" xfId="0" applyFont="1" applyBorder="1" applyAlignment="1">
      <alignment vertical="center"/>
    </xf>
    <xf numFmtId="0" fontId="25" fillId="0" borderId="23" xfId="0" applyFont="1" applyBorder="1" applyAlignment="1">
      <alignment vertical="center" wrapText="1"/>
    </xf>
    <xf numFmtId="0" fontId="25" fillId="0" borderId="24" xfId="0" applyFont="1" applyBorder="1" applyAlignment="1">
      <alignment vertical="top" wrapText="1"/>
    </xf>
    <xf numFmtId="0" fontId="25" fillId="0" borderId="24" xfId="0" applyFont="1" applyBorder="1" applyAlignment="1">
      <alignment vertical="center" wrapText="1"/>
    </xf>
    <xf numFmtId="0" fontId="14" fillId="0" borderId="16" xfId="0" applyFont="1" applyBorder="1" applyAlignment="1">
      <alignment horizontal="center" vertical="center" wrapText="1"/>
    </xf>
    <xf numFmtId="0" fontId="15" fillId="5" borderId="1" xfId="0" applyFont="1" applyFill="1" applyBorder="1" applyAlignment="1">
      <alignment horizontal="center" vertical="center" wrapText="1"/>
    </xf>
    <xf numFmtId="0" fontId="15" fillId="2" borderId="0" xfId="0" applyFont="1" applyFill="1" applyAlignment="1">
      <alignment horizontal="center"/>
    </xf>
    <xf numFmtId="49" fontId="14" fillId="0" borderId="0" xfId="0" applyNumberFormat="1" applyFont="1" applyAlignment="1">
      <alignment horizontal="center"/>
    </xf>
    <xf numFmtId="49" fontId="14" fillId="0" borderId="0" xfId="0" applyNumberFormat="1" applyFont="1" applyAlignment="1">
      <alignment horizontal="left" vertical="center"/>
    </xf>
    <xf numFmtId="1" fontId="14" fillId="0" borderId="1" xfId="0" applyNumberFormat="1" applyFont="1" applyBorder="1" applyAlignment="1">
      <alignment horizontal="left" vertical="center"/>
    </xf>
    <xf numFmtId="0" fontId="26" fillId="0" borderId="0" xfId="0" applyFont="1" applyAlignment="1">
      <alignment horizontal="center" vertical="center"/>
    </xf>
    <xf numFmtId="49" fontId="14" fillId="11" borderId="4" xfId="0" applyNumberFormat="1" applyFont="1" applyFill="1" applyBorder="1" applyAlignment="1">
      <alignment horizontal="left" vertical="center"/>
    </xf>
    <xf numFmtId="49" fontId="16" fillId="11" borderId="4" xfId="0" applyNumberFormat="1" applyFont="1" applyFill="1" applyBorder="1" applyAlignment="1">
      <alignment horizontal="left" vertical="center"/>
    </xf>
    <xf numFmtId="49" fontId="23" fillId="3" borderId="0" xfId="0" applyNumberFormat="1" applyFont="1" applyFill="1" applyAlignment="1">
      <alignment horizontal="left" vertical="center"/>
    </xf>
    <xf numFmtId="49" fontId="28" fillId="3" borderId="0" xfId="0" applyNumberFormat="1" applyFont="1" applyFill="1" applyAlignment="1">
      <alignment horizontal="left" vertical="center"/>
    </xf>
    <xf numFmtId="1" fontId="14" fillId="11" borderId="25" xfId="0" applyNumberFormat="1" applyFont="1" applyFill="1" applyBorder="1" applyAlignment="1">
      <alignment horizontal="left" vertical="center"/>
    </xf>
    <xf numFmtId="1" fontId="14" fillId="11" borderId="3" xfId="0" applyNumberFormat="1" applyFont="1" applyFill="1" applyBorder="1" applyAlignment="1">
      <alignment horizontal="left" vertical="center"/>
    </xf>
    <xf numFmtId="1" fontId="14" fillId="11" borderId="26" xfId="0" applyNumberFormat="1" applyFont="1" applyFill="1" applyBorder="1" applyAlignment="1">
      <alignment horizontal="left" vertical="center"/>
    </xf>
    <xf numFmtId="1" fontId="14" fillId="11" borderId="17" xfId="0" applyNumberFormat="1" applyFont="1" applyFill="1" applyBorder="1" applyAlignment="1">
      <alignment horizontal="left" vertical="center"/>
    </xf>
    <xf numFmtId="1" fontId="14" fillId="11" borderId="18" xfId="0" applyNumberFormat="1" applyFont="1" applyFill="1" applyBorder="1" applyAlignment="1">
      <alignment horizontal="left" vertical="center"/>
    </xf>
    <xf numFmtId="1" fontId="14" fillId="11" borderId="16" xfId="0" applyNumberFormat="1" applyFont="1" applyFill="1" applyBorder="1" applyAlignment="1">
      <alignment horizontal="left" vertical="center"/>
    </xf>
    <xf numFmtId="1" fontId="14" fillId="11" borderId="0" xfId="0" applyNumberFormat="1" applyFont="1" applyFill="1" applyAlignment="1">
      <alignment horizontal="left" vertical="center"/>
    </xf>
    <xf numFmtId="0" fontId="29" fillId="15" borderId="22" xfId="0" applyFont="1" applyFill="1" applyBorder="1" applyAlignment="1">
      <alignment horizontal="center" vertical="center" wrapText="1"/>
    </xf>
    <xf numFmtId="0" fontId="29" fillId="15" borderId="21"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31" fillId="0" borderId="0" xfId="0" applyFont="1" applyAlignment="1">
      <alignment vertical="top" wrapText="1"/>
    </xf>
    <xf numFmtId="0" fontId="33" fillId="0" borderId="0" xfId="0" applyFont="1" applyAlignment="1">
      <alignment vertical="top"/>
    </xf>
    <xf numFmtId="0" fontId="13" fillId="0" borderId="0" xfId="0" applyFont="1" applyAlignment="1">
      <alignment horizontal="center" vertical="top"/>
    </xf>
    <xf numFmtId="0" fontId="30" fillId="0" borderId="0" xfId="0" applyFont="1" applyAlignment="1">
      <alignment horizontal="right" vertical="top" indent="4"/>
    </xf>
    <xf numFmtId="0" fontId="20" fillId="0" borderId="0" xfId="0" applyFont="1" applyAlignment="1" applyProtection="1">
      <alignment horizontal="center" vertical="center"/>
      <protection locked="0"/>
    </xf>
    <xf numFmtId="0" fontId="32" fillId="0" borderId="0" xfId="0" applyFont="1" applyAlignment="1" applyProtection="1">
      <alignment vertical="center" wrapText="1"/>
      <protection locked="0"/>
    </xf>
    <xf numFmtId="0" fontId="32" fillId="0" borderId="0" xfId="0" applyFont="1" applyAlignment="1" applyProtection="1">
      <alignment horizontal="center" vertical="center" wrapText="1"/>
      <protection locked="0"/>
    </xf>
    <xf numFmtId="0" fontId="4" fillId="0" borderId="0" xfId="0" applyFont="1" applyAlignment="1">
      <alignment vertical="top" wrapText="1"/>
    </xf>
    <xf numFmtId="0" fontId="4" fillId="0" borderId="0" xfId="0" applyFont="1" applyAlignment="1">
      <alignment horizontal="center" vertical="center" wrapText="1"/>
    </xf>
    <xf numFmtId="0" fontId="15" fillId="12" borderId="1" xfId="0" applyFont="1" applyFill="1" applyBorder="1" applyAlignment="1">
      <alignment horizontal="center" vertical="center" wrapText="1"/>
    </xf>
    <xf numFmtId="0" fontId="15" fillId="12" borderId="3" xfId="0" applyFont="1" applyFill="1" applyBorder="1" applyAlignment="1" applyProtection="1">
      <alignment horizontal="center" vertical="center" wrapText="1"/>
      <protection locked="0"/>
    </xf>
    <xf numFmtId="0" fontId="13" fillId="0" borderId="0" xfId="0" applyFont="1" applyAlignment="1">
      <alignment horizontal="left" vertical="center" indent="1"/>
    </xf>
    <xf numFmtId="0" fontId="5" fillId="0" borderId="0" xfId="0" applyFont="1" applyAlignment="1">
      <alignment horizontal="left" vertical="center" wrapText="1" indent="1"/>
    </xf>
    <xf numFmtId="0" fontId="4" fillId="9" borderId="1" xfId="0" applyFont="1" applyFill="1" applyBorder="1" applyAlignment="1">
      <alignment horizontal="left" vertical="center" wrapText="1" indent="1"/>
    </xf>
    <xf numFmtId="0" fontId="14" fillId="0" borderId="0" xfId="0" applyFont="1" applyAlignment="1">
      <alignment horizontal="left" vertical="center" indent="1"/>
    </xf>
    <xf numFmtId="0" fontId="14" fillId="0" borderId="1" xfId="0" applyFont="1" applyBorder="1" applyAlignment="1">
      <alignment horizontal="left" vertical="center" indent="1"/>
    </xf>
    <xf numFmtId="0" fontId="0" fillId="0" borderId="0" xfId="0" applyAlignment="1">
      <alignment horizontal="left" vertical="center" indent="1"/>
    </xf>
    <xf numFmtId="0" fontId="14" fillId="0" borderId="17" xfId="0" applyFont="1" applyBorder="1" applyAlignment="1">
      <alignment horizontal="left" vertical="center" indent="1"/>
    </xf>
    <xf numFmtId="0" fontId="14" fillId="0" borderId="16" xfId="0" applyFont="1" applyBorder="1" applyAlignment="1">
      <alignment horizontal="left" vertical="center" indent="1"/>
    </xf>
    <xf numFmtId="0" fontId="37" fillId="0" borderId="1" xfId="0" applyFont="1" applyBorder="1" applyAlignment="1">
      <alignment horizontal="left" vertical="center" indent="1"/>
    </xf>
    <xf numFmtId="1" fontId="4" fillId="0" borderId="1" xfId="4" applyNumberFormat="1" applyFont="1" applyBorder="1" applyAlignment="1" applyProtection="1">
      <alignment horizontal="center" vertical="center" wrapText="1"/>
      <protection locked="0"/>
    </xf>
    <xf numFmtId="0" fontId="34" fillId="0" borderId="0" xfId="0" applyFont="1" applyAlignment="1">
      <alignment horizontal="left" vertical="center"/>
    </xf>
    <xf numFmtId="0" fontId="35" fillId="0" borderId="0" xfId="0" applyFont="1" applyAlignment="1">
      <alignment horizontal="left" vertical="center"/>
    </xf>
    <xf numFmtId="0" fontId="38" fillId="9" borderId="1" xfId="1" applyNumberFormat="1" applyFont="1" applyFill="1" applyBorder="1" applyAlignment="1" applyProtection="1">
      <alignment horizontal="center" vertical="center"/>
    </xf>
    <xf numFmtId="0" fontId="6" fillId="0" borderId="2" xfId="0" applyFont="1" applyBorder="1" applyAlignment="1">
      <alignment vertical="top" wrapText="1"/>
    </xf>
    <xf numFmtId="0" fontId="13" fillId="0" borderId="2" xfId="0" applyFont="1" applyBorder="1" applyAlignment="1">
      <alignment horizontal="center" vertical="center"/>
    </xf>
    <xf numFmtId="14" fontId="22" fillId="0" borderId="0" xfId="0" applyNumberFormat="1" applyFont="1" applyAlignment="1" applyProtection="1">
      <alignment vertical="top"/>
      <protection locked="0"/>
    </xf>
    <xf numFmtId="0" fontId="39" fillId="0" borderId="2" xfId="0" applyFont="1" applyBorder="1" applyAlignment="1">
      <alignment vertical="center"/>
    </xf>
    <xf numFmtId="49" fontId="4" fillId="0" borderId="1" xfId="0" applyNumberFormat="1" applyFont="1" applyBorder="1" applyAlignment="1" applyProtection="1">
      <alignment horizontal="center" vertical="center" wrapText="1"/>
      <protection locked="0"/>
    </xf>
    <xf numFmtId="0" fontId="15" fillId="12" borderId="1" xfId="0" applyFont="1" applyFill="1" applyBorder="1" applyAlignment="1" applyProtection="1">
      <alignment horizontal="center" vertical="center" wrapText="1"/>
      <protection locked="0"/>
    </xf>
    <xf numFmtId="0" fontId="15" fillId="5" borderId="1" xfId="0" applyFont="1" applyFill="1" applyBorder="1" applyAlignment="1" applyProtection="1">
      <alignment horizontal="center" vertical="center" wrapText="1"/>
      <protection locked="0"/>
    </xf>
    <xf numFmtId="0" fontId="40" fillId="0" borderId="16" xfId="0" applyFont="1" applyBorder="1" applyAlignment="1">
      <alignment horizontal="center" vertical="top" wrapText="1"/>
    </xf>
    <xf numFmtId="0" fontId="14" fillId="10" borderId="0" xfId="0" applyFont="1" applyFill="1" applyAlignment="1">
      <alignment horizontal="center"/>
    </xf>
    <xf numFmtId="165" fontId="4" fillId="0" borderId="1" xfId="1" applyNumberFormat="1" applyFont="1" applyFill="1" applyBorder="1" applyAlignment="1" applyProtection="1">
      <alignment horizontal="center" vertical="center"/>
      <protection locked="0"/>
    </xf>
    <xf numFmtId="164" fontId="4" fillId="17" borderId="1" xfId="4" applyNumberFormat="1" applyFont="1" applyFill="1" applyBorder="1" applyAlignment="1" applyProtection="1">
      <alignment horizontal="center" vertical="center" wrapText="1"/>
      <protection locked="0"/>
    </xf>
    <xf numFmtId="0" fontId="43" fillId="9" borderId="1" xfId="1" applyNumberFormat="1" applyFont="1" applyFill="1" applyBorder="1" applyAlignment="1" applyProtection="1">
      <alignment horizontal="center" vertical="center"/>
    </xf>
    <xf numFmtId="0" fontId="14" fillId="3" borderId="0" xfId="0" applyFont="1" applyFill="1" applyAlignment="1">
      <alignment horizontal="center"/>
    </xf>
    <xf numFmtId="0" fontId="35" fillId="0" borderId="0" xfId="0" applyFont="1" applyAlignment="1">
      <alignment horizontal="left" indent="1"/>
    </xf>
    <xf numFmtId="0" fontId="13" fillId="0" borderId="0" xfId="0" applyFont="1" applyAlignment="1" applyProtection="1">
      <alignment horizontal="left" vertical="center" indent="1"/>
      <protection locked="0"/>
    </xf>
    <xf numFmtId="0" fontId="13" fillId="0" borderId="0" xfId="0" applyFont="1" applyAlignment="1">
      <alignment horizontal="left" vertical="center" wrapText="1" indent="1"/>
    </xf>
    <xf numFmtId="0" fontId="45" fillId="0" borderId="28" xfId="0" applyFont="1" applyBorder="1" applyAlignment="1" applyProtection="1">
      <alignment horizontal="left" wrapText="1" indent="1"/>
      <protection locked="0"/>
    </xf>
    <xf numFmtId="0" fontId="45" fillId="0" borderId="0" xfId="0" applyFont="1" applyAlignment="1" applyProtection="1">
      <alignment textRotation="90" wrapText="1"/>
      <protection locked="0"/>
    </xf>
    <xf numFmtId="0" fontId="15" fillId="18" borderId="3" xfId="0" applyFont="1" applyFill="1" applyBorder="1" applyAlignment="1" applyProtection="1">
      <alignment horizontal="center" vertical="center" wrapText="1"/>
      <protection locked="0"/>
    </xf>
    <xf numFmtId="0" fontId="7" fillId="21" borderId="1" xfId="0" applyFont="1" applyFill="1" applyBorder="1" applyAlignment="1" applyProtection="1">
      <alignment horizontal="left" vertical="center" wrapText="1" indent="1"/>
      <protection locked="0"/>
    </xf>
    <xf numFmtId="0" fontId="15" fillId="21" borderId="1" xfId="0" applyFont="1" applyFill="1" applyBorder="1" applyAlignment="1" applyProtection="1">
      <alignment horizontal="center" vertical="center" wrapText="1"/>
      <protection locked="0"/>
    </xf>
    <xf numFmtId="0" fontId="15" fillId="21" borderId="17" xfId="0" applyFont="1" applyFill="1" applyBorder="1" applyAlignment="1" applyProtection="1">
      <alignment horizontal="center" vertical="center" wrapText="1"/>
      <protection locked="0"/>
    </xf>
    <xf numFmtId="0" fontId="7" fillId="7" borderId="29" xfId="0" applyFont="1" applyFill="1" applyBorder="1" applyAlignment="1" applyProtection="1">
      <alignment horizontal="left" vertical="center" wrapText="1" indent="1"/>
      <protection locked="0"/>
    </xf>
    <xf numFmtId="0" fontId="15" fillId="7" borderId="1" xfId="0" applyFont="1" applyFill="1" applyBorder="1" applyAlignment="1" applyProtection="1">
      <alignment horizontal="center" vertical="center" wrapText="1"/>
      <protection locked="0"/>
    </xf>
    <xf numFmtId="0" fontId="7" fillId="21" borderId="29" xfId="0" applyFont="1" applyFill="1" applyBorder="1" applyAlignment="1" applyProtection="1">
      <alignment horizontal="left" vertical="center" wrapText="1" indent="1"/>
      <protection locked="0"/>
    </xf>
    <xf numFmtId="0" fontId="15" fillId="19" borderId="3" xfId="0" applyFont="1" applyFill="1" applyBorder="1" applyAlignment="1" applyProtection="1">
      <alignment horizontal="center" vertical="center" wrapText="1"/>
      <protection locked="0"/>
    </xf>
    <xf numFmtId="0" fontId="15" fillId="8" borderId="1" xfId="0" applyFont="1" applyFill="1" applyBorder="1" applyAlignment="1">
      <alignment horizontal="left" vertical="center" wrapText="1" indent="1"/>
    </xf>
    <xf numFmtId="0" fontId="14" fillId="8" borderId="1" xfId="0" applyFont="1" applyFill="1" applyBorder="1" applyAlignment="1">
      <alignment horizontal="left" vertical="center" wrapText="1" indent="1"/>
    </xf>
    <xf numFmtId="0" fontId="15" fillId="20" borderId="3" xfId="0" applyFont="1" applyFill="1" applyBorder="1" applyAlignment="1" applyProtection="1">
      <alignment horizontal="center" vertical="center" wrapText="1"/>
      <protection locked="0"/>
    </xf>
    <xf numFmtId="0" fontId="15" fillId="22" borderId="1" xfId="0" applyFont="1" applyFill="1" applyBorder="1" applyAlignment="1">
      <alignment horizontal="left" vertical="center" wrapText="1" indent="1"/>
    </xf>
    <xf numFmtId="0" fontId="14" fillId="22" borderId="1" xfId="0" applyFont="1" applyFill="1" applyBorder="1" applyAlignment="1">
      <alignment horizontal="left" vertical="center" wrapText="1" indent="1"/>
    </xf>
    <xf numFmtId="0" fontId="14" fillId="22" borderId="1" xfId="0" applyFont="1" applyFill="1" applyBorder="1" applyAlignment="1">
      <alignment horizontal="center" vertical="center" wrapText="1"/>
    </xf>
    <xf numFmtId="0" fontId="4" fillId="9" borderId="17" xfId="4" applyFont="1" applyFill="1" applyBorder="1" applyAlignment="1">
      <alignment horizontal="left" vertical="center" wrapText="1" indent="1"/>
    </xf>
    <xf numFmtId="0" fontId="4" fillId="9" borderId="1" xfId="4" applyFont="1" applyFill="1" applyBorder="1" applyAlignment="1">
      <alignment horizontal="left" vertical="center" wrapText="1" indent="1"/>
    </xf>
    <xf numFmtId="0" fontId="4" fillId="19" borderId="3" xfId="0" applyFont="1" applyFill="1" applyBorder="1" applyAlignment="1" applyProtection="1">
      <alignment horizontal="center" vertical="center" wrapText="1"/>
      <protection locked="0"/>
    </xf>
    <xf numFmtId="0" fontId="4" fillId="20" borderId="3" xfId="0" applyFont="1" applyFill="1" applyBorder="1" applyAlignment="1" applyProtection="1">
      <alignment horizontal="center" vertical="center" wrapText="1"/>
      <protection locked="0"/>
    </xf>
    <xf numFmtId="0" fontId="13" fillId="0" borderId="1" xfId="0" applyFont="1" applyBorder="1" applyAlignment="1">
      <alignment horizontal="center" vertical="center"/>
    </xf>
    <xf numFmtId="0" fontId="13" fillId="0" borderId="0" xfId="0" applyFont="1" applyAlignment="1">
      <alignment horizontal="center" vertical="center" wrapText="1"/>
    </xf>
    <xf numFmtId="0" fontId="4" fillId="3" borderId="3" xfId="4" applyFont="1" applyFill="1" applyBorder="1" applyAlignment="1" applyProtection="1">
      <alignment horizontal="center" vertical="center" wrapText="1"/>
      <protection locked="0"/>
    </xf>
    <xf numFmtId="0" fontId="4" fillId="8" borderId="3" xfId="0" applyFont="1" applyFill="1" applyBorder="1" applyAlignment="1" applyProtection="1">
      <alignment horizontal="center" vertical="center" wrapText="1"/>
      <protection locked="0"/>
    </xf>
    <xf numFmtId="0" fontId="4" fillId="10" borderId="3" xfId="0" applyFont="1" applyFill="1" applyBorder="1" applyAlignment="1" applyProtection="1">
      <alignment horizontal="center" vertical="center" wrapText="1"/>
      <protection locked="0"/>
    </xf>
    <xf numFmtId="0" fontId="4" fillId="4" borderId="3" xfId="0" applyFont="1" applyFill="1" applyBorder="1" applyAlignment="1" applyProtection="1">
      <alignment horizontal="center" vertical="center" wrapText="1"/>
      <protection locked="0"/>
    </xf>
    <xf numFmtId="0" fontId="4" fillId="12" borderId="3" xfId="0" applyFont="1" applyFill="1" applyBorder="1" applyAlignment="1" applyProtection="1">
      <alignment horizontal="center" vertical="center" wrapText="1"/>
      <protection locked="0"/>
    </xf>
    <xf numFmtId="49" fontId="15" fillId="22" borderId="0" xfId="0" applyNumberFormat="1" applyFont="1" applyFill="1" applyAlignment="1">
      <alignment horizontal="left" indent="1"/>
    </xf>
    <xf numFmtId="49" fontId="14" fillId="0" borderId="0" xfId="0" applyNumberFormat="1" applyFont="1"/>
    <xf numFmtId="49" fontId="14" fillId="9" borderId="0" xfId="0" applyNumberFormat="1" applyFont="1" applyFill="1" applyAlignment="1">
      <alignment horizontal="left" indent="1"/>
    </xf>
    <xf numFmtId="49" fontId="14" fillId="0" borderId="0" xfId="0" applyNumberFormat="1" applyFont="1" applyAlignment="1">
      <alignment horizontal="left" indent="1"/>
    </xf>
    <xf numFmtId="0" fontId="13" fillId="0" borderId="30" xfId="0" applyFont="1" applyBorder="1" applyAlignment="1" applyProtection="1">
      <alignment horizontal="center" vertical="center"/>
      <protection locked="0"/>
    </xf>
    <xf numFmtId="0" fontId="13" fillId="0" borderId="30" xfId="0" applyFont="1" applyBorder="1" applyAlignment="1" applyProtection="1">
      <alignment horizontal="center" vertical="center" wrapText="1"/>
      <protection locked="0"/>
    </xf>
    <xf numFmtId="0" fontId="13" fillId="0" borderId="30" xfId="0" applyFont="1" applyBorder="1" applyAlignment="1">
      <alignment horizontal="center" vertical="center"/>
    </xf>
    <xf numFmtId="0" fontId="13" fillId="0" borderId="30" xfId="0" applyFont="1" applyBorder="1" applyAlignment="1">
      <alignment horizontal="left" vertical="center" indent="1"/>
    </xf>
    <xf numFmtId="0" fontId="20" fillId="0" borderId="0" xfId="0" applyFont="1" applyAlignment="1" applyProtection="1">
      <alignment horizontal="center" vertical="center" wrapText="1"/>
      <protection locked="0"/>
    </xf>
    <xf numFmtId="0" fontId="24" fillId="0" borderId="0" xfId="0" applyFont="1" applyAlignment="1">
      <alignment horizontal="left" vertical="center" indent="1"/>
    </xf>
    <xf numFmtId="0" fontId="24" fillId="0" borderId="0" xfId="0" applyFont="1" applyAlignment="1">
      <alignment horizontal="center" vertical="center"/>
    </xf>
    <xf numFmtId="0" fontId="42" fillId="0" borderId="0" xfId="0" applyFont="1" applyAlignment="1">
      <alignment horizontal="left" vertical="center" wrapText="1" indent="1"/>
    </xf>
    <xf numFmtId="0" fontId="42" fillId="0" borderId="0" xfId="0" applyFont="1" applyAlignment="1">
      <alignment horizontal="center" vertical="center" wrapText="1"/>
    </xf>
    <xf numFmtId="0" fontId="48" fillId="0" borderId="33" xfId="0" applyFont="1" applyBorder="1" applyAlignment="1">
      <alignment vertical="top" wrapText="1"/>
    </xf>
    <xf numFmtId="0" fontId="48" fillId="0" borderId="34" xfId="0" applyFont="1" applyBorder="1" applyAlignment="1">
      <alignment vertical="top" wrapText="1"/>
    </xf>
    <xf numFmtId="0" fontId="49" fillId="0" borderId="34" xfId="0" applyFont="1" applyBorder="1" applyAlignment="1">
      <alignment horizontal="right" vertical="center"/>
    </xf>
    <xf numFmtId="0" fontId="35" fillId="0" borderId="36" xfId="0" applyFont="1" applyBorder="1" applyAlignment="1">
      <alignment vertical="top" wrapText="1"/>
    </xf>
    <xf numFmtId="0" fontId="35" fillId="0" borderId="0" xfId="0" applyFont="1" applyAlignment="1">
      <alignment vertical="top" wrapText="1"/>
    </xf>
    <xf numFmtId="0" fontId="49" fillId="0" borderId="0" xfId="0" applyFont="1" applyAlignment="1">
      <alignment horizontal="right" vertical="center"/>
    </xf>
    <xf numFmtId="0" fontId="51" fillId="0" borderId="38" xfId="0" applyFont="1" applyBorder="1" applyAlignment="1">
      <alignment vertical="top" wrapText="1"/>
    </xf>
    <xf numFmtId="0" fontId="51" fillId="0" borderId="32" xfId="0" applyFont="1" applyBorder="1" applyAlignment="1">
      <alignment vertical="top" wrapText="1"/>
    </xf>
    <xf numFmtId="0" fontId="49" fillId="0" borderId="32" xfId="0" applyFont="1" applyBorder="1" applyAlignment="1">
      <alignment horizontal="right" vertical="center"/>
    </xf>
    <xf numFmtId="0" fontId="51" fillId="0" borderId="0" xfId="0" applyFont="1" applyAlignment="1">
      <alignment horizontal="right" vertical="center"/>
    </xf>
    <xf numFmtId="0" fontId="49" fillId="0" borderId="0" xfId="0" applyFont="1" applyAlignment="1">
      <alignment horizontal="right" vertical="center" indent="1"/>
    </xf>
    <xf numFmtId="0" fontId="4" fillId="17" borderId="1" xfId="4" applyFont="1" applyFill="1" applyBorder="1" applyAlignment="1" applyProtection="1">
      <alignment horizontal="center" vertical="center" wrapText="1"/>
      <protection locked="0"/>
    </xf>
    <xf numFmtId="0" fontId="32" fillId="9" borderId="18" xfId="0" applyFont="1" applyFill="1" applyBorder="1" applyAlignment="1" applyProtection="1">
      <alignment horizontal="center" vertical="center" wrapText="1"/>
      <protection locked="0"/>
    </xf>
    <xf numFmtId="0" fontId="32" fillId="9" borderId="18" xfId="0" applyFont="1" applyFill="1" applyBorder="1" applyAlignment="1" applyProtection="1">
      <alignment vertical="center" wrapText="1"/>
      <protection locked="0"/>
    </xf>
    <xf numFmtId="0" fontId="15" fillId="3" borderId="26" xfId="0" applyFont="1" applyFill="1" applyBorder="1" applyAlignment="1" applyProtection="1">
      <alignment horizontal="left" vertical="center" wrapText="1" indent="1"/>
      <protection locked="0"/>
    </xf>
    <xf numFmtId="0" fontId="32" fillId="9" borderId="17" xfId="0" applyFont="1" applyFill="1" applyBorder="1" applyAlignment="1" applyProtection="1">
      <alignment horizontal="left" vertical="center" indent="1"/>
      <protection locked="0"/>
    </xf>
    <xf numFmtId="0" fontId="8" fillId="9" borderId="18" xfId="0" applyFont="1" applyFill="1" applyBorder="1" applyAlignment="1">
      <alignment vertical="center"/>
    </xf>
    <xf numFmtId="0" fontId="32" fillId="9" borderId="18" xfId="0" applyFont="1" applyFill="1" applyBorder="1" applyAlignment="1" applyProtection="1">
      <alignment vertical="center"/>
      <protection locked="0"/>
    </xf>
    <xf numFmtId="0" fontId="9" fillId="9" borderId="18" xfId="0" applyFont="1" applyFill="1" applyBorder="1" applyAlignment="1">
      <alignment horizontal="left" vertical="center" indent="1"/>
    </xf>
    <xf numFmtId="0" fontId="32" fillId="9" borderId="18" xfId="0" applyFont="1" applyFill="1" applyBorder="1" applyAlignment="1" applyProtection="1">
      <alignment horizontal="left" vertical="center" indent="1"/>
      <protection locked="0"/>
    </xf>
    <xf numFmtId="0" fontId="32" fillId="9" borderId="16" xfId="0" applyFont="1" applyFill="1" applyBorder="1" applyAlignment="1" applyProtection="1">
      <alignment horizontal="left" vertical="center" indent="1"/>
      <protection locked="0"/>
    </xf>
    <xf numFmtId="0" fontId="36" fillId="9" borderId="18" xfId="0" applyFont="1" applyFill="1" applyBorder="1" applyAlignment="1" applyProtection="1">
      <alignment horizontal="left" vertical="center" indent="1"/>
      <protection locked="0"/>
    </xf>
    <xf numFmtId="0" fontId="27" fillId="9" borderId="18" xfId="0" applyFont="1" applyFill="1" applyBorder="1" applyAlignment="1" applyProtection="1">
      <alignment horizontal="left" vertical="center" indent="1"/>
      <protection locked="0"/>
    </xf>
    <xf numFmtId="0" fontId="27" fillId="9" borderId="16" xfId="0" applyFont="1" applyFill="1" applyBorder="1" applyAlignment="1" applyProtection="1">
      <alignment horizontal="left" vertical="center" indent="1"/>
      <protection locked="0"/>
    </xf>
    <xf numFmtId="0" fontId="14" fillId="0" borderId="0" xfId="0" applyFont="1" applyAlignment="1">
      <alignment vertical="center"/>
    </xf>
    <xf numFmtId="0" fontId="14" fillId="0" borderId="25" xfId="0" applyFont="1" applyBorder="1" applyAlignment="1">
      <alignment horizontal="center" vertical="center"/>
    </xf>
    <xf numFmtId="0" fontId="2" fillId="0" borderId="0" xfId="1" applyAlignment="1" applyProtection="1">
      <alignment horizontal="center" vertical="center"/>
    </xf>
    <xf numFmtId="0" fontId="56" fillId="0" borderId="0" xfId="0" applyFont="1" applyAlignment="1">
      <alignment horizontal="center" vertical="center"/>
    </xf>
    <xf numFmtId="0" fontId="15" fillId="0" borderId="26" xfId="0" applyFont="1" applyBorder="1" applyAlignment="1">
      <alignment horizontal="center" vertical="center"/>
    </xf>
    <xf numFmtId="0" fontId="52" fillId="0" borderId="0" xfId="0" applyFont="1"/>
    <xf numFmtId="0" fontId="15" fillId="0" borderId="1" xfId="0" applyFont="1" applyBorder="1" applyAlignment="1">
      <alignment horizontal="left" vertical="center" wrapText="1" indent="1"/>
    </xf>
    <xf numFmtId="0" fontId="15" fillId="0" borderId="1" xfId="0" applyFont="1" applyBorder="1" applyAlignment="1">
      <alignment horizontal="center" vertical="center" wrapText="1"/>
    </xf>
    <xf numFmtId="0" fontId="57" fillId="0" borderId="0" xfId="0" applyFont="1" applyAlignment="1">
      <alignment horizontal="center" vertical="center" wrapText="1"/>
    </xf>
    <xf numFmtId="0" fontId="57" fillId="0" borderId="1" xfId="0" applyFont="1" applyBorder="1" applyAlignment="1">
      <alignment horizontal="center" vertical="center" wrapText="1"/>
    </xf>
    <xf numFmtId="164" fontId="14" fillId="0" borderId="5" xfId="0" applyNumberFormat="1" applyFont="1" applyBorder="1" applyAlignment="1">
      <alignment horizontal="center" vertical="center"/>
    </xf>
    <xf numFmtId="0" fontId="14" fillId="6" borderId="4" xfId="0" applyFont="1" applyFill="1" applyBorder="1" applyAlignment="1">
      <alignment horizontal="center" vertical="center"/>
    </xf>
    <xf numFmtId="0" fontId="14" fillId="9" borderId="4" xfId="0" applyFont="1" applyFill="1" applyBorder="1" applyAlignment="1">
      <alignment horizontal="center" vertical="center"/>
    </xf>
    <xf numFmtId="0" fontId="15" fillId="2" borderId="0" xfId="0" applyFont="1" applyFill="1"/>
    <xf numFmtId="0" fontId="14" fillId="8" borderId="0" xfId="0" applyFont="1" applyFill="1"/>
    <xf numFmtId="0" fontId="14" fillId="9" borderId="0" xfId="0" applyFont="1" applyFill="1"/>
    <xf numFmtId="0" fontId="58" fillId="0" borderId="0" xfId="0" applyFont="1" applyAlignment="1">
      <alignment vertical="top"/>
    </xf>
    <xf numFmtId="0" fontId="14" fillId="0" borderId="0" xfId="0" applyFont="1" applyAlignment="1">
      <alignment horizontal="right" vertical="center" indent="1"/>
    </xf>
    <xf numFmtId="49" fontId="27" fillId="22" borderId="1" xfId="0" applyNumberFormat="1" applyFont="1" applyFill="1" applyBorder="1" applyAlignment="1" applyProtection="1">
      <alignment horizontal="center" vertical="center"/>
      <protection locked="0"/>
    </xf>
    <xf numFmtId="49" fontId="27" fillId="6" borderId="1" xfId="0" applyNumberFormat="1" applyFont="1" applyFill="1" applyBorder="1" applyAlignment="1" applyProtection="1">
      <alignment horizontal="center" vertical="center"/>
      <protection locked="0"/>
    </xf>
    <xf numFmtId="0" fontId="63" fillId="0" borderId="0" xfId="0" applyFont="1" applyAlignment="1">
      <alignment horizontal="right" vertical="center" indent="1"/>
    </xf>
    <xf numFmtId="0" fontId="37" fillId="0" borderId="0" xfId="0" applyFont="1" applyAlignment="1">
      <alignment horizontal="center" vertical="center"/>
    </xf>
    <xf numFmtId="0" fontId="15" fillId="0" borderId="3" xfId="0" applyFont="1" applyBorder="1" applyAlignment="1">
      <alignment horizontal="center" vertical="center"/>
    </xf>
    <xf numFmtId="0" fontId="66" fillId="0" borderId="0" xfId="0" applyFont="1" applyAlignment="1">
      <alignment horizontal="right" vertical="center" indent="1"/>
    </xf>
    <xf numFmtId="0" fontId="14" fillId="9"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9" borderId="1" xfId="0" applyFont="1" applyFill="1" applyBorder="1" applyAlignment="1" applyProtection="1">
      <alignment horizontal="center" vertical="center" wrapText="1"/>
      <protection locked="0"/>
    </xf>
    <xf numFmtId="0" fontId="14" fillId="0" borderId="0" xfId="0" applyFont="1" applyAlignment="1">
      <alignment horizontal="center" vertical="center" wrapText="1"/>
    </xf>
    <xf numFmtId="0" fontId="13" fillId="0" borderId="0" xfId="0" applyFont="1" applyAlignment="1">
      <alignment horizontal="right" vertical="center" indent="1"/>
    </xf>
    <xf numFmtId="0" fontId="67" fillId="0" borderId="0" xfId="0" applyFont="1" applyAlignment="1">
      <alignment horizontal="right" vertical="center" indent="1"/>
    </xf>
    <xf numFmtId="0" fontId="14" fillId="0" borderId="0" xfId="0" applyFont="1" applyAlignment="1" applyProtection="1">
      <alignment vertical="center"/>
      <protection locked="0"/>
    </xf>
    <xf numFmtId="14" fontId="14" fillId="0" borderId="2" xfId="0" applyNumberFormat="1" applyFont="1" applyBorder="1" applyAlignment="1" applyProtection="1">
      <alignment horizontal="left" vertical="center" indent="4"/>
      <protection locked="0"/>
    </xf>
    <xf numFmtId="0" fontId="14" fillId="0" borderId="2" xfId="0" applyFont="1" applyBorder="1" applyAlignment="1" applyProtection="1">
      <alignment horizontal="center" vertical="center"/>
      <protection locked="0"/>
    </xf>
    <xf numFmtId="0" fontId="60" fillId="0" borderId="0" xfId="0" applyFont="1" applyAlignment="1">
      <alignment horizontal="center" vertical="top"/>
    </xf>
    <xf numFmtId="14" fontId="14" fillId="0" borderId="2" xfId="0" applyNumberFormat="1" applyFont="1" applyBorder="1" applyAlignment="1" applyProtection="1">
      <alignment horizontal="left" indent="4"/>
      <protection locked="0"/>
    </xf>
    <xf numFmtId="0" fontId="14" fillId="0" borderId="2" xfId="0" applyFont="1" applyBorder="1" applyAlignment="1" applyProtection="1">
      <alignment horizontal="center"/>
      <protection locked="0"/>
    </xf>
    <xf numFmtId="0" fontId="10" fillId="2" borderId="0" xfId="0" applyFont="1" applyFill="1" applyAlignment="1">
      <alignment vertical="center"/>
    </xf>
    <xf numFmtId="0" fontId="15" fillId="11" borderId="0" xfId="0" applyFont="1" applyFill="1"/>
    <xf numFmtId="0" fontId="14" fillId="6" borderId="0" xfId="0" applyFont="1" applyFill="1" applyAlignment="1">
      <alignment vertical="center"/>
    </xf>
    <xf numFmtId="0" fontId="14" fillId="3" borderId="0" xfId="0" applyFont="1" applyFill="1" applyAlignment="1">
      <alignment vertical="center"/>
    </xf>
    <xf numFmtId="49" fontId="12" fillId="24" borderId="0" xfId="0" applyNumberFormat="1" applyFont="1" applyFill="1" applyAlignment="1">
      <alignment horizontal="left" vertical="center"/>
    </xf>
    <xf numFmtId="49" fontId="12" fillId="24" borderId="0" xfId="0" applyNumberFormat="1" applyFont="1" applyFill="1" applyAlignment="1">
      <alignment horizontal="center" vertical="center"/>
    </xf>
    <xf numFmtId="49" fontId="12" fillId="24" borderId="0" xfId="0" applyNumberFormat="1" applyFont="1" applyFill="1" applyAlignment="1">
      <alignment vertical="center"/>
    </xf>
    <xf numFmtId="0" fontId="0" fillId="0" borderId="0" xfId="0" applyAlignment="1">
      <alignment vertical="center"/>
    </xf>
    <xf numFmtId="49" fontId="0" fillId="9" borderId="0" xfId="0" applyNumberFormat="1" applyFill="1" applyAlignment="1">
      <alignment horizontal="left" vertical="center"/>
    </xf>
    <xf numFmtId="49" fontId="0" fillId="9" borderId="0" xfId="0" applyNumberFormat="1" applyFill="1" applyAlignment="1">
      <alignment horizontal="center" vertical="center"/>
    </xf>
    <xf numFmtId="49" fontId="0" fillId="9" borderId="0" xfId="0" applyNumberFormat="1" applyFill="1" applyAlignment="1">
      <alignment vertical="center"/>
    </xf>
    <xf numFmtId="0" fontId="4" fillId="9" borderId="1" xfId="0" applyFont="1" applyFill="1" applyBorder="1" applyAlignment="1">
      <alignment horizontal="center" vertical="center"/>
    </xf>
    <xf numFmtId="0" fontId="15" fillId="25" borderId="3" xfId="0" applyFont="1" applyFill="1" applyBorder="1" applyAlignment="1" applyProtection="1">
      <alignment horizontal="center" vertical="center" wrapText="1"/>
      <protection locked="0"/>
    </xf>
    <xf numFmtId="0" fontId="4" fillId="25" borderId="3" xfId="0" applyFont="1" applyFill="1" applyBorder="1" applyAlignment="1" applyProtection="1">
      <alignment horizontal="center" vertical="center" wrapText="1"/>
      <protection locked="0"/>
    </xf>
    <xf numFmtId="0" fontId="46" fillId="25" borderId="1" xfId="0" applyFont="1" applyFill="1" applyBorder="1" applyAlignment="1" applyProtection="1">
      <alignment horizontal="left" vertical="center" wrapText="1" indent="1"/>
      <protection locked="0"/>
    </xf>
    <xf numFmtId="0" fontId="46" fillId="25" borderId="1" xfId="0" applyFont="1" applyFill="1" applyBorder="1" applyAlignment="1" applyProtection="1">
      <alignment horizontal="center" vertical="center" wrapText="1"/>
      <protection locked="0"/>
    </xf>
    <xf numFmtId="0" fontId="14" fillId="25" borderId="0" xfId="0" applyFont="1" applyFill="1"/>
    <xf numFmtId="14" fontId="4" fillId="0" borderId="1" xfId="4" applyNumberFormat="1" applyFont="1" applyBorder="1" applyAlignment="1" applyProtection="1">
      <alignment horizontal="center" vertical="center" wrapText="1"/>
      <protection locked="0"/>
    </xf>
    <xf numFmtId="0" fontId="15" fillId="6" borderId="1" xfId="0" applyFont="1" applyFill="1" applyBorder="1" applyAlignment="1" applyProtection="1">
      <alignment horizontal="center" vertical="center" wrapText="1"/>
      <protection locked="0"/>
    </xf>
    <xf numFmtId="0" fontId="15" fillId="6" borderId="26" xfId="0" applyFont="1" applyFill="1" applyBorder="1" applyAlignment="1" applyProtection="1">
      <alignment horizontal="center" vertical="center" wrapText="1"/>
      <protection locked="0"/>
    </xf>
    <xf numFmtId="0" fontId="15" fillId="6" borderId="3" xfId="0" applyFont="1" applyFill="1" applyBorder="1" applyAlignment="1" applyProtection="1">
      <alignment horizontal="center" vertical="center" wrapText="1"/>
      <protection locked="0"/>
    </xf>
    <xf numFmtId="0" fontId="4" fillId="6" borderId="3" xfId="0" applyFont="1" applyFill="1" applyBorder="1" applyAlignment="1" applyProtection="1">
      <alignment horizontal="center" vertical="center" wrapText="1"/>
      <protection locked="0"/>
    </xf>
    <xf numFmtId="0" fontId="13" fillId="0" borderId="30" xfId="0" applyFont="1" applyBorder="1" applyAlignment="1" applyProtection="1">
      <alignment horizontal="left" vertical="center" indent="1"/>
      <protection locked="0"/>
    </xf>
    <xf numFmtId="0" fontId="20" fillId="0" borderId="0" xfId="0" applyFont="1" applyAlignment="1" applyProtection="1">
      <alignment horizontal="left" vertical="center" indent="1"/>
      <protection locked="0"/>
    </xf>
    <xf numFmtId="0" fontId="32" fillId="0" borderId="0" xfId="0" applyFont="1" applyAlignment="1" applyProtection="1">
      <alignment horizontal="left" vertical="center" wrapText="1" indent="1"/>
      <protection locked="0"/>
    </xf>
    <xf numFmtId="0" fontId="32" fillId="9" borderId="18" xfId="0" applyFont="1" applyFill="1" applyBorder="1" applyAlignment="1" applyProtection="1">
      <alignment horizontal="left" vertical="center" wrapText="1" indent="1"/>
      <protection locked="0"/>
    </xf>
    <xf numFmtId="0" fontId="4" fillId="0" borderId="1" xfId="4" applyFont="1" applyBorder="1" applyAlignment="1" applyProtection="1">
      <alignment horizontal="left" vertical="center" wrapText="1" indent="1"/>
      <protection locked="0"/>
    </xf>
    <xf numFmtId="0" fontId="15" fillId="3" borderId="40" xfId="0" applyFont="1" applyFill="1" applyBorder="1" applyAlignment="1" applyProtection="1">
      <alignment horizontal="center" vertical="center" wrapText="1"/>
      <protection locked="0"/>
    </xf>
    <xf numFmtId="0" fontId="14" fillId="11" borderId="0" xfId="0" applyFont="1" applyFill="1" applyAlignment="1">
      <alignment horizontal="left"/>
    </xf>
    <xf numFmtId="0" fontId="14" fillId="9" borderId="0" xfId="0" applyFont="1" applyFill="1" applyAlignment="1">
      <alignment vertical="center"/>
    </xf>
    <xf numFmtId="164" fontId="14" fillId="9" borderId="5" xfId="0" applyNumberFormat="1" applyFont="1" applyFill="1" applyBorder="1" applyAlignment="1">
      <alignment horizontal="center" vertical="center"/>
    </xf>
    <xf numFmtId="0" fontId="14" fillId="6" borderId="5" xfId="0" applyFont="1" applyFill="1" applyBorder="1" applyAlignment="1">
      <alignment horizontal="left" vertical="center" indent="1"/>
    </xf>
    <xf numFmtId="0" fontId="14" fillId="6" borderId="4" xfId="0" applyFont="1" applyFill="1" applyBorder="1" applyAlignment="1">
      <alignment horizontal="left" vertical="center" indent="1"/>
    </xf>
    <xf numFmtId="164" fontId="15" fillId="0" borderId="5" xfId="0" applyNumberFormat="1" applyFont="1" applyBorder="1" applyAlignment="1">
      <alignment horizontal="center" vertical="center"/>
    </xf>
    <xf numFmtId="164" fontId="15" fillId="9" borderId="5" xfId="0" applyNumberFormat="1" applyFont="1" applyFill="1" applyBorder="1" applyAlignment="1">
      <alignment horizontal="center" vertical="center"/>
    </xf>
    <xf numFmtId="49" fontId="17" fillId="9" borderId="0" xfId="0" applyNumberFormat="1" applyFont="1" applyFill="1" applyAlignment="1">
      <alignment horizontal="left" vertical="center"/>
    </xf>
    <xf numFmtId="49" fontId="17" fillId="9" borderId="0" xfId="0" applyNumberFormat="1" applyFont="1" applyFill="1" applyAlignment="1">
      <alignment horizontal="center" vertical="center"/>
    </xf>
    <xf numFmtId="49" fontId="17" fillId="9" borderId="0" xfId="0" applyNumberFormat="1" applyFont="1" applyFill="1" applyAlignment="1">
      <alignment vertical="center"/>
    </xf>
    <xf numFmtId="0" fontId="48" fillId="0" borderId="0" xfId="0" applyFont="1" applyAlignment="1">
      <alignment horizontal="left" indent="1"/>
    </xf>
    <xf numFmtId="0" fontId="7" fillId="0" borderId="0" xfId="0" applyFont="1" applyAlignment="1" applyProtection="1">
      <alignment vertical="center"/>
      <protection locked="0"/>
    </xf>
    <xf numFmtId="0" fontId="15" fillId="11" borderId="0" xfId="0" applyFont="1" applyFill="1" applyAlignment="1">
      <alignment horizontal="left"/>
    </xf>
    <xf numFmtId="49" fontId="69" fillId="17" borderId="1" xfId="0" applyNumberFormat="1" applyFont="1" applyFill="1" applyBorder="1" applyAlignment="1" applyProtection="1">
      <alignment horizontal="center" vertical="center" wrapText="1"/>
      <protection locked="0"/>
    </xf>
    <xf numFmtId="49" fontId="69" fillId="9" borderId="1" xfId="0" applyNumberFormat="1" applyFont="1" applyFill="1" applyBorder="1" applyAlignment="1" applyProtection="1">
      <alignment horizontal="center" vertical="center" wrapText="1"/>
      <protection locked="0"/>
    </xf>
    <xf numFmtId="0" fontId="47" fillId="0" borderId="0" xfId="0" applyFont="1" applyAlignment="1">
      <alignment vertical="center" wrapText="1"/>
    </xf>
    <xf numFmtId="0" fontId="47" fillId="0" borderId="0" xfId="0" applyFont="1" applyAlignment="1">
      <alignment horizontal="left" vertical="center" indent="1"/>
    </xf>
    <xf numFmtId="0" fontId="32" fillId="9" borderId="16" xfId="0" applyFont="1" applyFill="1" applyBorder="1" applyAlignment="1" applyProtection="1">
      <alignment vertical="center"/>
      <protection locked="0"/>
    </xf>
    <xf numFmtId="0" fontId="15" fillId="26" borderId="3" xfId="0" applyFont="1" applyFill="1" applyBorder="1" applyAlignment="1" applyProtection="1">
      <alignment horizontal="center" vertical="center" wrapText="1"/>
      <protection locked="0"/>
    </xf>
    <xf numFmtId="0" fontId="15" fillId="26" borderId="1" xfId="0" applyFont="1" applyFill="1" applyBorder="1" applyAlignment="1">
      <alignment horizontal="center" vertical="center" wrapText="1"/>
    </xf>
    <xf numFmtId="0" fontId="15" fillId="26" borderId="1" xfId="0" applyFont="1" applyFill="1" applyBorder="1" applyAlignment="1" applyProtection="1">
      <alignment horizontal="center" vertical="center" wrapText="1"/>
      <protection locked="0"/>
    </xf>
    <xf numFmtId="0" fontId="14" fillId="26" borderId="1" xfId="0" applyFont="1" applyFill="1" applyBorder="1" applyAlignment="1">
      <alignment horizontal="center" vertical="center" textRotation="90" wrapText="1"/>
    </xf>
    <xf numFmtId="0" fontId="4" fillId="26" borderId="3" xfId="0" applyFont="1" applyFill="1" applyBorder="1" applyAlignment="1" applyProtection="1">
      <alignment horizontal="center" vertical="center" wrapText="1"/>
      <protection locked="0"/>
    </xf>
    <xf numFmtId="0" fontId="12" fillId="26" borderId="0" xfId="0" applyFont="1" applyFill="1" applyAlignment="1">
      <alignment horizontal="left" vertical="center"/>
    </xf>
    <xf numFmtId="0" fontId="0" fillId="26" borderId="0" xfId="0" applyFill="1"/>
    <xf numFmtId="0" fontId="70" fillId="0" borderId="0" xfId="0" applyFont="1"/>
    <xf numFmtId="0" fontId="12" fillId="16" borderId="0" xfId="0" applyFont="1" applyFill="1"/>
    <xf numFmtId="0" fontId="0" fillId="16" borderId="0" xfId="0" applyFill="1"/>
    <xf numFmtId="0" fontId="12" fillId="0" borderId="7" xfId="0" applyFont="1" applyBorder="1" applyAlignment="1">
      <alignment horizontal="center" vertical="center"/>
    </xf>
    <xf numFmtId="0" fontId="12" fillId="0" borderId="15" xfId="0" applyFont="1" applyBorder="1" applyAlignment="1">
      <alignment horizontal="center" vertical="center"/>
    </xf>
    <xf numFmtId="0" fontId="12" fillId="0" borderId="14" xfId="0" applyFont="1" applyBorder="1" applyAlignment="1">
      <alignment horizontal="center" vertical="center"/>
    </xf>
    <xf numFmtId="0" fontId="12" fillId="0" borderId="4" xfId="0" applyFont="1" applyBorder="1" applyAlignment="1">
      <alignment horizontal="center" vertical="center"/>
    </xf>
    <xf numFmtId="0" fontId="0" fillId="0" borderId="4" xfId="0" applyBorder="1" applyAlignment="1">
      <alignment horizontal="left"/>
    </xf>
    <xf numFmtId="14" fontId="41" fillId="0" borderId="0" xfId="0" applyNumberFormat="1" applyFont="1" applyAlignment="1">
      <alignment vertical="center"/>
    </xf>
    <xf numFmtId="0" fontId="8" fillId="9" borderId="16" xfId="0" applyFont="1" applyFill="1" applyBorder="1" applyAlignment="1">
      <alignment vertical="center"/>
    </xf>
    <xf numFmtId="0" fontId="13" fillId="0" borderId="1" xfId="0" applyFont="1" applyBorder="1" applyAlignment="1" applyProtection="1">
      <alignment horizontal="left" vertical="center" indent="1"/>
      <protection locked="0"/>
    </xf>
    <xf numFmtId="0" fontId="4" fillId="18" borderId="28" xfId="0" applyFont="1" applyFill="1" applyBorder="1" applyAlignment="1" applyProtection="1">
      <alignment horizontal="center" vertical="center" wrapText="1"/>
      <protection locked="0"/>
    </xf>
    <xf numFmtId="0" fontId="73" fillId="0" borderId="1" xfId="0" applyFont="1" applyBorder="1" applyAlignment="1" applyProtection="1">
      <alignment horizontal="center" vertical="center" wrapText="1"/>
      <protection locked="0"/>
    </xf>
    <xf numFmtId="0" fontId="68" fillId="4" borderId="1" xfId="1" applyFont="1" applyFill="1" applyBorder="1" applyAlignment="1" applyProtection="1">
      <alignment horizontal="center" vertical="center" wrapText="1"/>
      <protection locked="0"/>
    </xf>
    <xf numFmtId="0" fontId="32" fillId="9" borderId="17" xfId="0" applyFont="1" applyFill="1" applyBorder="1" applyAlignment="1">
      <alignment horizontal="left" vertical="center" indent="1"/>
    </xf>
    <xf numFmtId="0" fontId="75" fillId="9" borderId="17" xfId="0" applyFont="1" applyFill="1" applyBorder="1" applyAlignment="1" applyProtection="1">
      <alignment horizontal="left" vertical="center" indent="1"/>
      <protection locked="0"/>
    </xf>
    <xf numFmtId="0" fontId="22" fillId="9" borderId="17" xfId="0" applyFont="1" applyFill="1" applyBorder="1" applyAlignment="1">
      <alignment horizontal="left" vertical="center" indent="1"/>
    </xf>
    <xf numFmtId="14" fontId="41" fillId="0" borderId="30" xfId="0" applyNumberFormat="1" applyFont="1" applyBorder="1" applyAlignment="1">
      <alignment horizontal="right" vertical="top"/>
    </xf>
    <xf numFmtId="0" fontId="15" fillId="16" borderId="1" xfId="0" applyFont="1" applyFill="1" applyBorder="1" applyAlignment="1">
      <alignment horizontal="left" vertical="center" wrapText="1" indent="1"/>
    </xf>
    <xf numFmtId="0" fontId="14" fillId="16" borderId="1" xfId="0" applyFont="1" applyFill="1" applyBorder="1" applyAlignment="1">
      <alignment horizontal="left" vertical="center" wrapText="1" indent="1"/>
    </xf>
    <xf numFmtId="0" fontId="15" fillId="3" borderId="40" xfId="0" applyFont="1" applyFill="1" applyBorder="1" applyAlignment="1" applyProtection="1">
      <alignment horizontal="left" vertical="center" wrapText="1" indent="1"/>
      <protection locked="0"/>
    </xf>
    <xf numFmtId="166" fontId="4" fillId="0" borderId="1" xfId="0" applyNumberFormat="1" applyFont="1" applyBorder="1" applyAlignment="1" applyProtection="1">
      <alignment horizontal="center" vertical="center" wrapText="1"/>
      <protection locked="0"/>
    </xf>
    <xf numFmtId="167" fontId="4" fillId="0" borderId="1" xfId="0" applyNumberFormat="1" applyFont="1" applyBorder="1" applyAlignment="1" applyProtection="1">
      <alignment horizontal="center" vertical="center" wrapText="1"/>
      <protection locked="0"/>
    </xf>
    <xf numFmtId="0" fontId="15" fillId="10" borderId="1" xfId="0" applyFont="1" applyFill="1" applyBorder="1" applyAlignment="1" applyProtection="1">
      <alignment horizontal="left" vertical="center" wrapText="1" indent="1"/>
      <protection locked="0"/>
    </xf>
    <xf numFmtId="0" fontId="15" fillId="4" borderId="1" xfId="0" applyFont="1" applyFill="1" applyBorder="1" applyAlignment="1" applyProtection="1">
      <alignment horizontal="left" vertical="center" wrapText="1" indent="1"/>
      <protection locked="0"/>
    </xf>
    <xf numFmtId="0" fontId="15" fillId="26" borderId="1" xfId="0" applyFont="1" applyFill="1" applyBorder="1" applyAlignment="1" applyProtection="1">
      <alignment horizontal="left" vertical="center" wrapText="1" indent="1"/>
      <protection locked="0"/>
    </xf>
    <xf numFmtId="0" fontId="77" fillId="9" borderId="1" xfId="1" applyNumberFormat="1" applyFont="1" applyFill="1" applyBorder="1" applyAlignment="1" applyProtection="1">
      <alignment horizontal="center" vertical="center"/>
    </xf>
    <xf numFmtId="0" fontId="77" fillId="9" borderId="1" xfId="1" applyFont="1" applyFill="1" applyBorder="1" applyAlignment="1" applyProtection="1">
      <alignment horizontal="center" vertical="center"/>
    </xf>
    <xf numFmtId="0" fontId="14" fillId="0" borderId="4" xfId="0" applyFont="1" applyBorder="1"/>
    <xf numFmtId="0" fontId="14" fillId="0" borderId="4" xfId="0" applyFont="1" applyBorder="1" applyAlignment="1">
      <alignment horizontal="center"/>
    </xf>
    <xf numFmtId="0" fontId="14" fillId="0" borderId="7" xfId="0" applyFont="1" applyBorder="1"/>
    <xf numFmtId="0" fontId="14" fillId="0" borderId="7" xfId="0" applyFont="1" applyBorder="1" applyAlignment="1">
      <alignment horizontal="center"/>
    </xf>
    <xf numFmtId="0" fontId="14" fillId="0" borderId="41" xfId="0" applyFont="1" applyBorder="1"/>
    <xf numFmtId="0" fontId="14" fillId="0" borderId="41" xfId="0" applyFont="1" applyBorder="1" applyAlignment="1">
      <alignment horizontal="center"/>
    </xf>
    <xf numFmtId="0" fontId="15" fillId="7" borderId="4" xfId="0" applyFont="1" applyFill="1" applyBorder="1"/>
    <xf numFmtId="0" fontId="14" fillId="7" borderId="4" xfId="0" applyFont="1" applyFill="1" applyBorder="1" applyAlignment="1">
      <alignment horizontal="center"/>
    </xf>
    <xf numFmtId="0" fontId="14" fillId="7" borderId="4" xfId="0" applyFont="1" applyFill="1" applyBorder="1" applyAlignment="1">
      <alignment horizontal="left" indent="1"/>
    </xf>
    <xf numFmtId="0" fontId="14" fillId="0" borderId="4" xfId="0" applyFont="1" applyBorder="1" applyAlignment="1">
      <alignment horizontal="left" indent="1"/>
    </xf>
    <xf numFmtId="0" fontId="14" fillId="0" borderId="0" xfId="0" applyFont="1" applyAlignment="1">
      <alignment horizontal="left" indent="1"/>
    </xf>
    <xf numFmtId="0" fontId="14" fillId="0" borderId="7" xfId="0" applyFont="1" applyBorder="1" applyAlignment="1">
      <alignment horizontal="left" indent="1"/>
    </xf>
    <xf numFmtId="0" fontId="14" fillId="0" borderId="41" xfId="0" applyFont="1" applyBorder="1" applyAlignment="1">
      <alignment horizontal="left" indent="1"/>
    </xf>
    <xf numFmtId="0" fontId="64" fillId="0" borderId="42" xfId="0" applyFont="1" applyBorder="1" applyAlignment="1">
      <alignment vertical="center"/>
    </xf>
    <xf numFmtId="0" fontId="14" fillId="0" borderId="42" xfId="0" applyFont="1" applyBorder="1" applyAlignment="1">
      <alignment vertical="center"/>
    </xf>
    <xf numFmtId="0" fontId="79" fillId="0" borderId="42" xfId="0" applyFont="1" applyBorder="1" applyAlignment="1">
      <alignment horizontal="center"/>
    </xf>
    <xf numFmtId="0" fontId="0" fillId="0" borderId="42" xfId="0" applyBorder="1"/>
    <xf numFmtId="49" fontId="14" fillId="0" borderId="42" xfId="0" applyNumberFormat="1" applyFont="1" applyBorder="1" applyAlignment="1">
      <alignment horizontal="left" vertical="center"/>
    </xf>
    <xf numFmtId="49" fontId="66" fillId="9" borderId="1" xfId="0" applyNumberFormat="1" applyFont="1" applyFill="1" applyBorder="1" applyAlignment="1">
      <alignment horizontal="left" vertical="center"/>
    </xf>
    <xf numFmtId="49" fontId="66" fillId="11" borderId="1" xfId="0" applyNumberFormat="1" applyFont="1" applyFill="1" applyBorder="1" applyAlignment="1">
      <alignment horizontal="center" vertical="center"/>
    </xf>
    <xf numFmtId="0" fontId="66" fillId="9" borderId="1" xfId="0" applyFont="1" applyFill="1" applyBorder="1" applyAlignment="1">
      <alignment horizontal="center" vertical="center"/>
    </xf>
    <xf numFmtId="0" fontId="66" fillId="11" borderId="1" xfId="0" applyFont="1" applyFill="1" applyBorder="1" applyAlignment="1">
      <alignment horizontal="center" vertical="center"/>
    </xf>
    <xf numFmtId="49" fontId="66" fillId="11" borderId="1" xfId="0" applyNumberFormat="1" applyFont="1" applyFill="1" applyBorder="1" applyAlignment="1">
      <alignment horizontal="left" vertical="center"/>
    </xf>
    <xf numFmtId="0" fontId="66" fillId="9" borderId="1" xfId="0" applyFont="1" applyFill="1" applyBorder="1" applyAlignment="1">
      <alignment horizontal="center" vertical="center" wrapText="1"/>
    </xf>
    <xf numFmtId="49" fontId="66" fillId="9" borderId="1" xfId="0" applyNumberFormat="1" applyFont="1" applyFill="1" applyBorder="1" applyAlignment="1">
      <alignment horizontal="left" vertical="center" wrapText="1"/>
    </xf>
    <xf numFmtId="49" fontId="28" fillId="3" borderId="0" xfId="0" applyNumberFormat="1" applyFont="1" applyFill="1" applyAlignment="1">
      <alignment horizontal="left" vertical="center" indent="1"/>
    </xf>
    <xf numFmtId="0" fontId="27" fillId="0" borderId="4" xfId="0" applyFont="1" applyBorder="1" applyAlignment="1">
      <alignment horizontal="left" vertical="center" indent="1"/>
    </xf>
    <xf numFmtId="49" fontId="14" fillId="0" borderId="4" xfId="0" applyNumberFormat="1" applyFont="1" applyBorder="1" applyAlignment="1">
      <alignment horizontal="left" vertical="center" indent="1"/>
    </xf>
    <xf numFmtId="49" fontId="14" fillId="0" borderId="0" xfId="0" applyNumberFormat="1" applyFont="1" applyAlignment="1">
      <alignment horizontal="left" vertical="center" indent="1"/>
    </xf>
    <xf numFmtId="0" fontId="54" fillId="0" borderId="0" xfId="0" applyFont="1" applyAlignment="1">
      <alignment vertical="center"/>
    </xf>
    <xf numFmtId="0" fontId="55" fillId="0" borderId="0" xfId="0" applyFont="1" applyAlignment="1">
      <alignment vertical="center"/>
    </xf>
    <xf numFmtId="0" fontId="59" fillId="0" borderId="0" xfId="0" applyFont="1" applyAlignment="1">
      <alignment vertical="center"/>
    </xf>
    <xf numFmtId="0" fontId="79" fillId="0" borderId="0" xfId="0" applyFont="1" applyAlignment="1">
      <alignment horizontal="center"/>
    </xf>
    <xf numFmtId="0" fontId="13" fillId="0" borderId="0" xfId="0" applyFont="1"/>
    <xf numFmtId="0" fontId="67" fillId="0" borderId="0" xfId="0" applyFont="1"/>
    <xf numFmtId="0" fontId="21" fillId="0" borderId="0" xfId="0" applyFont="1" applyAlignment="1">
      <alignment vertical="center"/>
    </xf>
    <xf numFmtId="0" fontId="15" fillId="12" borderId="1" xfId="0" applyFont="1" applyFill="1" applyBorder="1" applyAlignment="1">
      <alignment horizontal="left" vertical="center" wrapText="1" indent="1"/>
    </xf>
    <xf numFmtId="0" fontId="75" fillId="9" borderId="18" xfId="0" applyFont="1" applyFill="1" applyBorder="1" applyAlignment="1" applyProtection="1">
      <alignment horizontal="left" vertical="center" indent="1"/>
      <protection locked="0"/>
    </xf>
    <xf numFmtId="0" fontId="75" fillId="9" borderId="16" xfId="0" applyFont="1" applyFill="1" applyBorder="1" applyAlignment="1" applyProtection="1">
      <alignment horizontal="left" vertical="center" indent="2"/>
      <protection locked="0"/>
    </xf>
    <xf numFmtId="0" fontId="80" fillId="4" borderId="1" xfId="1" applyFont="1" applyFill="1" applyBorder="1" applyAlignment="1" applyProtection="1">
      <alignment horizontal="center" vertical="top" wrapText="1"/>
      <protection locked="0"/>
    </xf>
    <xf numFmtId="0" fontId="15" fillId="0" borderId="2" xfId="0" applyFont="1" applyBorder="1" applyAlignment="1" applyProtection="1">
      <alignment horizontal="left" vertical="center" indent="1"/>
      <protection locked="0"/>
    </xf>
    <xf numFmtId="0" fontId="13" fillId="0" borderId="2" xfId="0" applyFont="1" applyBorder="1" applyAlignment="1" applyProtection="1">
      <alignment horizontal="left" vertical="center" indent="1"/>
      <protection locked="0"/>
    </xf>
    <xf numFmtId="0" fontId="76" fillId="0" borderId="2" xfId="0" applyFont="1" applyBorder="1" applyAlignment="1" applyProtection="1">
      <alignment vertical="center"/>
      <protection locked="0"/>
    </xf>
    <xf numFmtId="0" fontId="81" fillId="26" borderId="1" xfId="1" applyFont="1" applyFill="1" applyBorder="1" applyAlignment="1" applyProtection="1">
      <alignment horizontal="center" vertical="center" wrapText="1"/>
      <protection locked="0"/>
    </xf>
    <xf numFmtId="0" fontId="81" fillId="4" borderId="1" xfId="1" applyFont="1" applyFill="1" applyBorder="1" applyAlignment="1" applyProtection="1">
      <alignment horizontal="center" vertical="center" wrapText="1"/>
      <protection locked="0"/>
    </xf>
    <xf numFmtId="0" fontId="81" fillId="10" borderId="1" xfId="1" applyFont="1" applyFill="1" applyBorder="1" applyAlignment="1" applyProtection="1">
      <alignment horizontal="center" vertical="center" wrapText="1"/>
      <protection locked="0"/>
    </xf>
    <xf numFmtId="0" fontId="46" fillId="14" borderId="1" xfId="0" applyFont="1" applyFill="1" applyBorder="1" applyAlignment="1" applyProtection="1">
      <alignment horizontal="center" vertical="center" wrapText="1"/>
      <protection locked="0"/>
    </xf>
    <xf numFmtId="0" fontId="75" fillId="9" borderId="18" xfId="0" applyFont="1" applyFill="1" applyBorder="1" applyAlignment="1" applyProtection="1">
      <alignment horizontal="center" vertical="center"/>
      <protection locked="0"/>
    </xf>
    <xf numFmtId="0" fontId="14" fillId="16" borderId="0" xfId="0" applyFont="1" applyFill="1"/>
    <xf numFmtId="0" fontId="13" fillId="0" borderId="1" xfId="0" applyFont="1" applyBorder="1" applyAlignment="1" applyProtection="1">
      <alignment horizontal="left" vertical="center" wrapText="1" indent="1"/>
      <protection locked="0"/>
    </xf>
    <xf numFmtId="2" fontId="4" fillId="0" borderId="1" xfId="4" applyNumberFormat="1" applyFont="1" applyBorder="1" applyAlignment="1" applyProtection="1">
      <alignment horizontal="center" vertical="center" wrapText="1"/>
      <protection locked="0"/>
    </xf>
    <xf numFmtId="0" fontId="68" fillId="6" borderId="1" xfId="1" applyFont="1" applyFill="1" applyBorder="1" applyAlignment="1" applyProtection="1">
      <alignment horizontal="left" vertical="center" wrapText="1" indent="1"/>
      <protection locked="0"/>
    </xf>
    <xf numFmtId="0" fontId="68" fillId="12" borderId="1" xfId="1" applyFont="1" applyFill="1" applyBorder="1" applyAlignment="1" applyProtection="1">
      <alignment horizontal="left" vertical="center" wrapText="1" indent="1"/>
    </xf>
    <xf numFmtId="0" fontId="14" fillId="11" borderId="0" xfId="0" applyFont="1" applyFill="1"/>
    <xf numFmtId="49" fontId="14" fillId="27" borderId="0" xfId="0" applyNumberFormat="1" applyFont="1" applyFill="1" applyAlignment="1">
      <alignment horizontal="center"/>
    </xf>
    <xf numFmtId="0" fontId="0" fillId="0" borderId="0" xfId="0" applyAlignment="1">
      <alignment horizontal="right"/>
    </xf>
    <xf numFmtId="0" fontId="0" fillId="0" borderId="2" xfId="0" applyBorder="1" applyAlignment="1">
      <alignment horizontal="left" vertical="center"/>
    </xf>
    <xf numFmtId="0" fontId="0" fillId="0" borderId="2" xfId="0" applyBorder="1" applyAlignment="1">
      <alignment horizontal="center" vertical="center"/>
    </xf>
    <xf numFmtId="0" fontId="0" fillId="0" borderId="18" xfId="0" applyBorder="1" applyAlignment="1">
      <alignment horizontal="left" vertical="center"/>
    </xf>
    <xf numFmtId="0" fontId="0" fillId="0" borderId="18" xfId="0" applyBorder="1" applyAlignment="1">
      <alignment horizontal="center" vertical="center"/>
    </xf>
    <xf numFmtId="0" fontId="17" fillId="0" borderId="18" xfId="0" applyFont="1" applyBorder="1" applyAlignment="1">
      <alignment horizontal="left" vertical="center"/>
    </xf>
    <xf numFmtId="0" fontId="17" fillId="0" borderId="18" xfId="0" applyFont="1" applyBorder="1" applyAlignment="1">
      <alignment horizontal="center" vertical="center"/>
    </xf>
    <xf numFmtId="0" fontId="69" fillId="9" borderId="0" xfId="0" applyFont="1" applyFill="1" applyAlignment="1">
      <alignment horizontal="left"/>
    </xf>
    <xf numFmtId="165" fontId="4" fillId="17" borderId="1" xfId="1" applyNumberFormat="1" applyFont="1" applyFill="1" applyBorder="1" applyAlignment="1" applyProtection="1">
      <alignment horizontal="center" vertical="center"/>
      <protection locked="0"/>
    </xf>
    <xf numFmtId="0" fontId="42" fillId="17" borderId="0" xfId="0" applyFont="1" applyFill="1" applyAlignment="1">
      <alignment horizontal="center" vertical="center" wrapText="1"/>
    </xf>
    <xf numFmtId="49" fontId="4" fillId="9" borderId="1" xfId="0" applyNumberFormat="1" applyFont="1" applyFill="1" applyBorder="1" applyAlignment="1" applyProtection="1">
      <alignment horizontal="center" vertical="center" wrapText="1"/>
      <protection locked="0"/>
    </xf>
    <xf numFmtId="0" fontId="13" fillId="0" borderId="1" xfId="0" applyFont="1" applyBorder="1" applyAlignment="1" applyProtection="1">
      <alignment horizontal="center" vertical="center"/>
      <protection locked="0"/>
    </xf>
    <xf numFmtId="0" fontId="15" fillId="16" borderId="1" xfId="0" applyFont="1" applyFill="1" applyBorder="1" applyAlignment="1" applyProtection="1">
      <alignment horizontal="left" vertical="center" wrapText="1" indent="1"/>
      <protection locked="0"/>
    </xf>
    <xf numFmtId="0" fontId="82" fillId="0" borderId="0" xfId="0" applyFont="1" applyAlignment="1">
      <alignment horizontal="left" vertical="center" indent="1"/>
    </xf>
    <xf numFmtId="0" fontId="80" fillId="11" borderId="1" xfId="1" applyFont="1" applyFill="1" applyBorder="1" applyAlignment="1" applyProtection="1">
      <alignment horizontal="center" vertical="top" wrapText="1"/>
      <protection locked="0"/>
    </xf>
    <xf numFmtId="0" fontId="38" fillId="0" borderId="30" xfId="1" applyFont="1" applyBorder="1" applyAlignment="1" applyProtection="1">
      <alignment horizontal="right" vertical="center" indent="1"/>
    </xf>
    <xf numFmtId="0" fontId="37" fillId="0" borderId="0" xfId="0" applyFont="1" applyAlignment="1">
      <alignment vertical="center"/>
    </xf>
    <xf numFmtId="0" fontId="83" fillId="0" borderId="0" xfId="0" applyFont="1" applyAlignment="1">
      <alignment horizontal="center" vertical="center" wrapText="1"/>
    </xf>
    <xf numFmtId="0" fontId="37" fillId="0" borderId="0" xfId="0" applyFont="1" applyAlignment="1">
      <alignment horizontal="right" vertical="center" indent="1"/>
    </xf>
    <xf numFmtId="0" fontId="84" fillId="0" borderId="42" xfId="0" applyFont="1" applyBorder="1" applyAlignment="1">
      <alignment vertical="center"/>
    </xf>
    <xf numFmtId="0" fontId="37" fillId="0" borderId="3" xfId="0" applyFont="1" applyBorder="1" applyAlignment="1">
      <alignment horizontal="center" vertical="center"/>
    </xf>
    <xf numFmtId="0" fontId="15" fillId="3" borderId="25" xfId="0" applyFont="1" applyFill="1" applyBorder="1" applyAlignment="1">
      <alignment horizontal="center" vertical="center" wrapText="1"/>
    </xf>
    <xf numFmtId="0" fontId="15" fillId="6" borderId="25" xfId="0" applyFont="1" applyFill="1" applyBorder="1" applyAlignment="1">
      <alignment horizontal="center" vertical="center" wrapText="1"/>
    </xf>
    <xf numFmtId="0" fontId="37" fillId="3" borderId="26" xfId="0" applyFont="1" applyFill="1" applyBorder="1" applyAlignment="1">
      <alignment horizontal="center" vertical="center" wrapText="1"/>
    </xf>
    <xf numFmtId="0" fontId="37" fillId="6" borderId="26" xfId="0" applyFont="1" applyFill="1" applyBorder="1" applyAlignment="1">
      <alignment horizontal="center" vertical="center" wrapText="1"/>
    </xf>
    <xf numFmtId="0" fontId="46" fillId="14" borderId="17" xfId="0" applyFont="1" applyFill="1" applyBorder="1" applyAlignment="1" applyProtection="1">
      <alignment horizontal="center" vertical="center" wrapText="1"/>
      <protection locked="0"/>
    </xf>
    <xf numFmtId="0" fontId="46" fillId="18" borderId="29" xfId="0" applyFont="1" applyFill="1" applyBorder="1" applyAlignment="1" applyProtection="1">
      <alignment horizontal="center" vertical="center" wrapText="1"/>
      <protection locked="0"/>
    </xf>
    <xf numFmtId="0" fontId="4" fillId="9" borderId="29" xfId="4" applyFont="1" applyFill="1" applyBorder="1" applyAlignment="1">
      <alignment horizontal="center" vertical="center" wrapText="1"/>
    </xf>
    <xf numFmtId="0" fontId="86" fillId="9" borderId="18" xfId="0" applyFont="1" applyFill="1" applyBorder="1" applyAlignment="1" applyProtection="1">
      <alignment horizontal="center" vertical="center" wrapText="1"/>
      <protection locked="0"/>
    </xf>
    <xf numFmtId="0" fontId="38" fillId="9" borderId="1" xfId="1" applyFont="1" applyFill="1" applyBorder="1" applyAlignment="1" applyProtection="1">
      <alignment horizontal="center" vertical="center" wrapText="1"/>
    </xf>
    <xf numFmtId="2" fontId="4" fillId="9" borderId="1" xfId="4" applyNumberFormat="1" applyFont="1" applyFill="1" applyBorder="1" applyAlignment="1">
      <alignment horizontal="center" vertical="center" wrapText="1"/>
    </xf>
    <xf numFmtId="1" fontId="4" fillId="0" borderId="1" xfId="4" applyNumberFormat="1" applyFont="1" applyBorder="1" applyAlignment="1">
      <alignment horizontal="center" vertical="center" wrapText="1"/>
    </xf>
    <xf numFmtId="1" fontId="74" fillId="28" borderId="1" xfId="4" applyNumberFormat="1" applyFont="1" applyFill="1" applyBorder="1" applyAlignment="1">
      <alignment horizontal="center" vertical="center" wrapText="1"/>
    </xf>
    <xf numFmtId="0" fontId="4" fillId="9" borderId="1" xfId="4" applyFont="1" applyFill="1" applyBorder="1" applyAlignment="1">
      <alignment horizontal="center" vertical="center" wrapText="1"/>
    </xf>
    <xf numFmtId="0" fontId="4" fillId="9" borderId="1" xfId="0" applyFont="1" applyFill="1" applyBorder="1" applyAlignment="1">
      <alignment horizontal="center" vertical="center" wrapText="1"/>
    </xf>
    <xf numFmtId="2" fontId="4" fillId="0" borderId="1" xfId="4" applyNumberFormat="1" applyFont="1" applyBorder="1" applyAlignment="1" applyProtection="1">
      <alignment horizontal="center" vertical="center"/>
      <protection locked="0"/>
    </xf>
    <xf numFmtId="0" fontId="4" fillId="0" borderId="1" xfId="4" applyFont="1" applyBorder="1" applyAlignment="1" applyProtection="1">
      <alignment horizontal="center" vertical="center"/>
      <protection locked="0"/>
    </xf>
    <xf numFmtId="0" fontId="4" fillId="0" borderId="29" xfId="4" applyFont="1" applyBorder="1" applyAlignment="1" applyProtection="1">
      <alignment horizontal="left" vertical="center" indent="1"/>
      <protection locked="0"/>
    </xf>
    <xf numFmtId="0" fontId="4" fillId="0" borderId="17" xfId="4"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3" fillId="9" borderId="1" xfId="0" applyFont="1" applyFill="1" applyBorder="1" applyAlignment="1" applyProtection="1">
      <alignment horizontal="left" vertical="center" wrapText="1" indent="1"/>
      <protection locked="0"/>
    </xf>
    <xf numFmtId="0" fontId="13" fillId="9" borderId="1" xfId="0" applyFont="1" applyFill="1" applyBorder="1" applyAlignment="1" applyProtection="1">
      <alignment horizontal="left" vertical="center" indent="1"/>
      <protection locked="0"/>
    </xf>
    <xf numFmtId="49" fontId="4" fillId="0" borderId="1" xfId="0" applyNumberFormat="1" applyFont="1" applyBorder="1" applyAlignment="1" applyProtection="1">
      <alignment horizontal="left" vertical="center" wrapText="1" indent="1"/>
      <protection locked="0"/>
    </xf>
    <xf numFmtId="49" fontId="4" fillId="0" borderId="1" xfId="0" applyNumberFormat="1" applyFont="1" applyBorder="1" applyAlignment="1" applyProtection="1">
      <alignment horizontal="center" vertical="center"/>
      <protection locked="0"/>
    </xf>
    <xf numFmtId="0" fontId="87" fillId="0" borderId="0" xfId="0" applyFont="1" applyAlignment="1">
      <alignment horizontal="right" vertical="center"/>
    </xf>
    <xf numFmtId="0" fontId="13" fillId="0" borderId="0" xfId="0" applyFont="1" applyAlignment="1">
      <alignment vertical="center" wrapText="1"/>
    </xf>
    <xf numFmtId="0" fontId="88" fillId="0" borderId="0" xfId="0" applyFont="1" applyAlignment="1">
      <alignment horizontal="left" vertical="center" indent="1"/>
    </xf>
    <xf numFmtId="0" fontId="36" fillId="9" borderId="17" xfId="0" applyFont="1" applyFill="1" applyBorder="1" applyAlignment="1" applyProtection="1">
      <alignment horizontal="left" vertical="center" indent="1"/>
      <protection locked="0"/>
    </xf>
    <xf numFmtId="0" fontId="36" fillId="9" borderId="16" xfId="0" applyFont="1" applyFill="1" applyBorder="1" applyAlignment="1" applyProtection="1">
      <alignment horizontal="left" vertical="center" indent="1"/>
      <protection locked="0"/>
    </xf>
    <xf numFmtId="0" fontId="4" fillId="0" borderId="1" xfId="0" applyFont="1" applyBorder="1" applyAlignment="1" applyProtection="1">
      <alignment vertical="center" wrapText="1"/>
      <protection locked="0"/>
    </xf>
    <xf numFmtId="0" fontId="14" fillId="8" borderId="1" xfId="0" applyFont="1" applyFill="1" applyBorder="1" applyAlignment="1" applyProtection="1">
      <alignment horizontal="center" vertical="center" wrapText="1"/>
      <protection locked="0"/>
    </xf>
    <xf numFmtId="0" fontId="64" fillId="0" borderId="0" xfId="0" applyFont="1" applyAlignment="1">
      <alignment vertical="center"/>
    </xf>
    <xf numFmtId="164" fontId="4" fillId="0" borderId="1" xfId="0" applyNumberFormat="1" applyFont="1" applyBorder="1" applyAlignment="1" applyProtection="1">
      <alignment horizontal="center" vertical="center" wrapText="1"/>
      <protection locked="0"/>
    </xf>
    <xf numFmtId="0" fontId="90" fillId="0" borderId="0" xfId="0" applyFont="1" applyAlignment="1">
      <alignment horizontal="left" vertical="center" indent="1"/>
    </xf>
    <xf numFmtId="0" fontId="15" fillId="3" borderId="26" xfId="0" applyFont="1" applyFill="1" applyBorder="1" applyAlignment="1" applyProtection="1">
      <alignment horizontal="center" vertical="center" wrapText="1"/>
      <protection locked="0"/>
    </xf>
    <xf numFmtId="0" fontId="91" fillId="9" borderId="1" xfId="1" applyFont="1" applyFill="1" applyBorder="1" applyAlignment="1" applyProtection="1">
      <alignment horizontal="center" vertical="center" wrapText="1"/>
    </xf>
    <xf numFmtId="0" fontId="42" fillId="12" borderId="31" xfId="0" applyFont="1" applyFill="1" applyBorder="1" applyAlignment="1" applyProtection="1">
      <alignment horizontal="center" textRotation="90" wrapText="1"/>
      <protection locked="0"/>
    </xf>
    <xf numFmtId="0" fontId="42" fillId="12" borderId="27" xfId="0" applyFont="1" applyFill="1" applyBorder="1" applyAlignment="1" applyProtection="1">
      <alignment horizontal="center" textRotation="90" wrapText="1"/>
      <protection locked="0"/>
    </xf>
    <xf numFmtId="0" fontId="42" fillId="4" borderId="31" xfId="0" applyFont="1" applyFill="1" applyBorder="1" applyAlignment="1" applyProtection="1">
      <alignment horizontal="center" textRotation="90" wrapText="1"/>
      <protection locked="0"/>
    </xf>
    <xf numFmtId="0" fontId="42" fillId="4" borderId="27" xfId="0" applyFont="1" applyFill="1" applyBorder="1" applyAlignment="1" applyProtection="1">
      <alignment horizontal="center" textRotation="90" wrapText="1"/>
      <protection locked="0"/>
    </xf>
    <xf numFmtId="0" fontId="42" fillId="10" borderId="31" xfId="0" applyFont="1" applyFill="1" applyBorder="1" applyAlignment="1" applyProtection="1">
      <alignment horizontal="center" textRotation="90" wrapText="1"/>
      <protection locked="0"/>
    </xf>
    <xf numFmtId="0" fontId="42" fillId="10" borderId="27" xfId="0" applyFont="1" applyFill="1" applyBorder="1" applyAlignment="1" applyProtection="1">
      <alignment horizontal="center" textRotation="90" wrapText="1"/>
      <protection locked="0"/>
    </xf>
    <xf numFmtId="0" fontId="42" fillId="8" borderId="31" xfId="0" applyFont="1" applyFill="1" applyBorder="1" applyAlignment="1" applyProtection="1">
      <alignment horizontal="center" textRotation="90" wrapText="1"/>
      <protection locked="0"/>
    </xf>
    <xf numFmtId="0" fontId="42" fillId="8" borderId="27" xfId="0" applyFont="1" applyFill="1" applyBorder="1" applyAlignment="1" applyProtection="1">
      <alignment horizontal="center" textRotation="90" wrapText="1"/>
      <protection locked="0"/>
    </xf>
    <xf numFmtId="0" fontId="27" fillId="12" borderId="31" xfId="0" applyFont="1" applyFill="1" applyBorder="1" applyAlignment="1" applyProtection="1">
      <alignment horizontal="center" textRotation="90" wrapText="1"/>
      <protection locked="0"/>
    </xf>
    <xf numFmtId="0" fontId="27" fillId="12" borderId="27" xfId="0" applyFont="1" applyFill="1" applyBorder="1" applyAlignment="1" applyProtection="1">
      <alignment horizontal="center" textRotation="90" wrapText="1"/>
      <protection locked="0"/>
    </xf>
    <xf numFmtId="0" fontId="42" fillId="19" borderId="31" xfId="0" applyFont="1" applyFill="1" applyBorder="1" applyAlignment="1" applyProtection="1">
      <alignment horizontal="center" textRotation="90" wrapText="1"/>
      <protection locked="0"/>
    </xf>
    <xf numFmtId="0" fontId="42" fillId="19" borderId="27" xfId="0" applyFont="1" applyFill="1" applyBorder="1" applyAlignment="1" applyProtection="1">
      <alignment horizontal="center" textRotation="90" wrapText="1"/>
      <protection locked="0"/>
    </xf>
    <xf numFmtId="0" fontId="42" fillId="18" borderId="31" xfId="0" applyFont="1" applyFill="1" applyBorder="1" applyAlignment="1" applyProtection="1">
      <alignment horizontal="center" textRotation="90" wrapText="1"/>
      <protection locked="0"/>
    </xf>
    <xf numFmtId="0" fontId="42" fillId="18" borderId="27" xfId="0" applyFont="1" applyFill="1" applyBorder="1" applyAlignment="1" applyProtection="1">
      <alignment horizontal="center" textRotation="90" wrapText="1"/>
      <protection locked="0"/>
    </xf>
    <xf numFmtId="0" fontId="27" fillId="20" borderId="31" xfId="0" applyFont="1" applyFill="1" applyBorder="1" applyAlignment="1" applyProtection="1">
      <alignment horizontal="center" textRotation="90" wrapText="1"/>
      <protection locked="0"/>
    </xf>
    <xf numFmtId="0" fontId="27" fillId="20" borderId="27" xfId="0" applyFont="1" applyFill="1" applyBorder="1" applyAlignment="1" applyProtection="1">
      <alignment horizontal="center" textRotation="90" wrapText="1"/>
      <protection locked="0"/>
    </xf>
    <xf numFmtId="0" fontId="27" fillId="25" borderId="31" xfId="0" applyFont="1" applyFill="1" applyBorder="1" applyAlignment="1" applyProtection="1">
      <alignment horizontal="center" textRotation="90" wrapText="1"/>
      <protection locked="0"/>
    </xf>
    <xf numFmtId="0" fontId="27" fillId="25" borderId="27" xfId="0" applyFont="1" applyFill="1" applyBorder="1" applyAlignment="1" applyProtection="1">
      <alignment horizontal="center" textRotation="90" wrapText="1"/>
      <protection locked="0"/>
    </xf>
    <xf numFmtId="0" fontId="42" fillId="26" borderId="27" xfId="0" applyFont="1" applyFill="1" applyBorder="1" applyAlignment="1" applyProtection="1">
      <alignment horizontal="center" textRotation="90"/>
      <protection locked="0"/>
    </xf>
    <xf numFmtId="0" fontId="15" fillId="5" borderId="17" xfId="0" applyFont="1" applyFill="1" applyBorder="1" applyAlignment="1">
      <alignment horizontal="center" vertical="center" wrapText="1"/>
    </xf>
    <xf numFmtId="0" fontId="15" fillId="5" borderId="16" xfId="0" applyFont="1" applyFill="1" applyBorder="1" applyAlignment="1">
      <alignment horizontal="center" vertical="center" wrapText="1"/>
    </xf>
    <xf numFmtId="0" fontId="42" fillId="3" borderId="25" xfId="0" applyFont="1" applyFill="1" applyBorder="1" applyAlignment="1" applyProtection="1">
      <alignment horizontal="center" textRotation="90"/>
      <protection locked="0"/>
    </xf>
    <xf numFmtId="0" fontId="42" fillId="3" borderId="3" xfId="0" applyFont="1" applyFill="1" applyBorder="1" applyAlignment="1" applyProtection="1">
      <alignment horizontal="center" textRotation="90"/>
      <protection locked="0"/>
    </xf>
    <xf numFmtId="0" fontId="50" fillId="0" borderId="34" xfId="0" applyFont="1" applyBorder="1" applyAlignment="1">
      <alignment horizontal="center" vertical="center" wrapText="1"/>
    </xf>
    <xf numFmtId="0" fontId="50" fillId="0" borderId="35" xfId="0" applyFont="1" applyBorder="1" applyAlignment="1">
      <alignment horizontal="center" vertical="center" wrapText="1"/>
    </xf>
    <xf numFmtId="0" fontId="50" fillId="0" borderId="0" xfId="0" applyFont="1" applyAlignment="1">
      <alignment horizontal="center" vertical="center" wrapText="1"/>
    </xf>
    <xf numFmtId="0" fontId="50" fillId="0" borderId="37" xfId="0" applyFont="1" applyBorder="1" applyAlignment="1">
      <alignment horizontal="center" vertical="center" wrapText="1"/>
    </xf>
    <xf numFmtId="49" fontId="50" fillId="0" borderId="32" xfId="0" applyNumberFormat="1" applyFont="1" applyBorder="1" applyAlignment="1">
      <alignment horizontal="center" vertical="center" wrapText="1"/>
    </xf>
    <xf numFmtId="0" fontId="50" fillId="0" borderId="39" xfId="0" applyFont="1" applyBorder="1" applyAlignment="1">
      <alignment horizontal="center" vertical="center" wrapText="1"/>
    </xf>
    <xf numFmtId="0" fontId="10" fillId="3" borderId="17"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42" fillId="6" borderId="31" xfId="0" applyFont="1" applyFill="1" applyBorder="1" applyAlignment="1" applyProtection="1">
      <alignment horizontal="center" textRotation="90" wrapText="1"/>
      <protection locked="0"/>
    </xf>
    <xf numFmtId="0" fontId="42" fillId="6" borderId="27" xfId="0" applyFont="1" applyFill="1" applyBorder="1" applyAlignment="1" applyProtection="1">
      <alignment horizontal="center" textRotation="90" wrapText="1"/>
      <protection locked="0"/>
    </xf>
    <xf numFmtId="0" fontId="16" fillId="9" borderId="3" xfId="0" applyFont="1" applyFill="1" applyBorder="1" applyAlignment="1" applyProtection="1">
      <alignment horizontal="center" vertical="center" textRotation="90"/>
      <protection locked="0"/>
    </xf>
    <xf numFmtId="0" fontId="16" fillId="9" borderId="26" xfId="0" applyFont="1" applyFill="1" applyBorder="1" applyAlignment="1" applyProtection="1">
      <alignment horizontal="center" vertical="center" textRotation="90"/>
      <protection locked="0"/>
    </xf>
    <xf numFmtId="0" fontId="16" fillId="0" borderId="3" xfId="0" applyFont="1" applyBorder="1" applyAlignment="1" applyProtection="1">
      <alignment horizontal="center" vertical="center" textRotation="90"/>
      <protection locked="0"/>
    </xf>
    <xf numFmtId="0" fontId="16" fillId="0" borderId="26" xfId="0" applyFont="1" applyBorder="1" applyAlignment="1" applyProtection="1">
      <alignment horizontal="center" vertical="center" textRotation="90"/>
      <protection locked="0"/>
    </xf>
    <xf numFmtId="0" fontId="78" fillId="0" borderId="42" xfId="1" applyFont="1" applyFill="1" applyBorder="1" applyAlignment="1" applyProtection="1">
      <alignment horizontal="center" vertical="center"/>
      <protection locked="0"/>
    </xf>
    <xf numFmtId="0" fontId="14" fillId="9" borderId="17" xfId="0" applyFont="1" applyFill="1" applyBorder="1" applyAlignment="1" applyProtection="1">
      <alignment horizontal="left" vertical="center" wrapText="1" indent="1"/>
      <protection locked="0"/>
    </xf>
    <xf numFmtId="0" fontId="14" fillId="9" borderId="18" xfId="0" applyFont="1" applyFill="1" applyBorder="1" applyAlignment="1" applyProtection="1">
      <alignment horizontal="left" vertical="center" wrapText="1" indent="1"/>
      <protection locked="0"/>
    </xf>
    <xf numFmtId="0" fontId="14" fillId="9" borderId="16" xfId="0" applyFont="1" applyFill="1" applyBorder="1" applyAlignment="1" applyProtection="1">
      <alignment horizontal="left" vertical="center" wrapText="1" indent="1"/>
      <protection locked="0"/>
    </xf>
    <xf numFmtId="0" fontId="60" fillId="0" borderId="0" xfId="0" applyFont="1" applyAlignment="1">
      <alignment vertical="center"/>
    </xf>
    <xf numFmtId="0" fontId="14" fillId="0" borderId="2" xfId="0" applyFont="1" applyBorder="1" applyAlignment="1" applyProtection="1">
      <alignment horizontal="left" vertical="center"/>
      <protection locked="0"/>
    </xf>
    <xf numFmtId="0" fontId="60" fillId="0" borderId="0" xfId="0" applyFont="1" applyAlignment="1">
      <alignment horizontal="right" vertical="center" wrapText="1"/>
    </xf>
    <xf numFmtId="0" fontId="65" fillId="23" borderId="1" xfId="0" applyFont="1" applyFill="1" applyBorder="1" applyAlignment="1">
      <alignment horizontal="center" vertical="center"/>
    </xf>
    <xf numFmtId="0" fontId="57" fillId="11" borderId="25" xfId="0" applyFont="1" applyFill="1" applyBorder="1" applyAlignment="1">
      <alignment horizontal="center" vertical="center"/>
    </xf>
    <xf numFmtId="0" fontId="57" fillId="11" borderId="26" xfId="0" applyFont="1" applyFill="1" applyBorder="1" applyAlignment="1">
      <alignment horizontal="center" vertical="center"/>
    </xf>
    <xf numFmtId="0" fontId="78" fillId="0" borderId="0" xfId="1" applyFont="1" applyFill="1" applyBorder="1" applyAlignment="1" applyProtection="1">
      <alignment horizontal="center" vertical="center"/>
      <protection locked="0"/>
    </xf>
    <xf numFmtId="0" fontId="78" fillId="0" borderId="2" xfId="1" applyFont="1" applyFill="1" applyBorder="1" applyAlignment="1" applyProtection="1">
      <alignment horizontal="center" vertical="center"/>
      <protection locked="0"/>
    </xf>
    <xf numFmtId="0" fontId="16" fillId="11" borderId="17" xfId="0" applyFont="1" applyFill="1" applyBorder="1" applyAlignment="1">
      <alignment horizontal="left" vertical="center"/>
    </xf>
    <xf numFmtId="0" fontId="16" fillId="11" borderId="16" xfId="0" applyFont="1" applyFill="1" applyBorder="1" applyAlignment="1">
      <alignment horizontal="left" vertical="center"/>
    </xf>
    <xf numFmtId="0" fontId="16" fillId="11" borderId="1" xfId="0" applyFont="1" applyFill="1" applyBorder="1" applyAlignment="1">
      <alignment horizontal="left" vertical="center"/>
    </xf>
    <xf numFmtId="0" fontId="12" fillId="11" borderId="7" xfId="0" applyFont="1" applyFill="1" applyBorder="1" applyAlignment="1">
      <alignment horizontal="center" vertical="center"/>
    </xf>
    <xf numFmtId="0" fontId="12" fillId="11" borderId="5" xfId="0" applyFont="1" applyFill="1" applyBorder="1" applyAlignment="1">
      <alignment horizontal="center" vertical="center"/>
    </xf>
    <xf numFmtId="0" fontId="12" fillId="9" borderId="0" xfId="0" applyFont="1" applyFill="1" applyAlignment="1">
      <alignment horizontal="center" vertical="center"/>
    </xf>
    <xf numFmtId="0" fontId="17" fillId="9" borderId="4" xfId="0" applyFont="1" applyFill="1" applyBorder="1" applyAlignment="1">
      <alignment horizontal="center" vertical="center"/>
    </xf>
    <xf numFmtId="0" fontId="12" fillId="11" borderId="9" xfId="0" applyFont="1" applyFill="1" applyBorder="1" applyAlignment="1">
      <alignment horizontal="center"/>
    </xf>
    <xf numFmtId="0" fontId="0" fillId="0" borderId="0" xfId="0" applyAlignment="1">
      <alignment horizontal="left" wrapText="1"/>
    </xf>
    <xf numFmtId="0" fontId="0" fillId="0" borderId="0" xfId="0" applyAlignment="1">
      <alignment horizontal="left" vertical="top" wrapText="1"/>
    </xf>
    <xf numFmtId="0" fontId="21" fillId="0" borderId="0" xfId="0" applyFont="1" applyAlignment="1">
      <alignment horizontal="left" vertical="top"/>
    </xf>
  </cellXfs>
  <cellStyles count="5">
    <cellStyle name="Link" xfId="1" builtinId="8"/>
    <cellStyle name="Standard" xfId="0" builtinId="0"/>
    <cellStyle name="Standard 2" xfId="2" xr:uid="{00000000-0005-0000-0000-000002000000}"/>
    <cellStyle name="Standard 3" xfId="3" xr:uid="{00000000-0005-0000-0000-000003000000}"/>
    <cellStyle name="Standard 3 2" xfId="4" xr:uid="{00000000-0005-0000-0000-000004000000}"/>
  </cellStyles>
  <dxfs count="28">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b/>
        <i val="0"/>
        <color rgb="FFFF0000"/>
      </font>
    </dxf>
    <dxf>
      <font>
        <b/>
        <i val="0"/>
        <color rgb="FF00B050"/>
      </font>
    </dxf>
    <dxf>
      <font>
        <b val="0"/>
        <i val="0"/>
        <color theme="1"/>
      </font>
    </dxf>
    <dxf>
      <font>
        <b/>
        <i val="0"/>
        <color rgb="FFFF0000"/>
      </font>
    </dxf>
    <dxf>
      <font>
        <b/>
        <i val="0"/>
        <color rgb="FF00B050"/>
      </font>
    </dxf>
    <dxf>
      <font>
        <b val="0"/>
        <i val="0"/>
        <color theme="1"/>
      </font>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5" tint="0.39994506668294322"/>
      </font>
      <fill>
        <patternFill>
          <bgColor theme="5" tint="0.39994506668294322"/>
        </patternFill>
      </fill>
    </dxf>
    <dxf>
      <font>
        <color rgb="FF92D050"/>
      </font>
      <fill>
        <patternFill>
          <bgColor rgb="FF92D050"/>
        </patternFill>
      </fill>
    </dxf>
    <dxf>
      <font>
        <color rgb="FFFFFF00"/>
      </font>
      <fill>
        <patternFill>
          <bgColor rgb="FFFFFF00"/>
        </patternFill>
      </fill>
    </dxf>
    <dxf>
      <font>
        <strike val="0"/>
        <color theme="0" tint="-0.24994659260841701"/>
      </font>
    </dxf>
  </dxfs>
  <tableStyles count="0" defaultTableStyle="TableStyleMedium9" defaultPivotStyle="PivotStyleLight16"/>
  <colors>
    <mruColors>
      <color rgb="FFFFCC99"/>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10" Type="http://schemas.openxmlformats.org/officeDocument/2006/relationships/image" Target="../media/image10.png"/><Relationship Id="rId4" Type="http://schemas.openxmlformats.org/officeDocument/2006/relationships/image" Target="../media/image4.emf"/><Relationship Id="rId9" Type="http://schemas.openxmlformats.org/officeDocument/2006/relationships/image" Target="../media/image9.emf"/></Relationships>
</file>

<file path=xl/drawings/_rels/drawing3.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2.jpeg"/></Relationships>
</file>

<file path=xl/drawings/drawing1.xml><?xml version="1.0" encoding="utf-8"?>
<xdr:wsDr xmlns:xdr="http://schemas.openxmlformats.org/drawingml/2006/spreadsheetDrawing" xmlns:a="http://schemas.openxmlformats.org/drawingml/2006/main">
  <xdr:twoCellAnchor>
    <xdr:from>
      <xdr:col>7</xdr:col>
      <xdr:colOff>10583</xdr:colOff>
      <xdr:row>6</xdr:row>
      <xdr:rowOff>10583</xdr:rowOff>
    </xdr:from>
    <xdr:to>
      <xdr:col>7</xdr:col>
      <xdr:colOff>370583</xdr:colOff>
      <xdr:row>6</xdr:row>
      <xdr:rowOff>370583</xdr:rowOff>
    </xdr:to>
    <xdr:pic>
      <xdr:nvPicPr>
        <xdr:cNvPr id="14" name="Grafik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25833" y="2169583"/>
          <a:ext cx="360000" cy="3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10583</xdr:colOff>
      <xdr:row>6</xdr:row>
      <xdr:rowOff>10583</xdr:rowOff>
    </xdr:from>
    <xdr:to>
      <xdr:col>8</xdr:col>
      <xdr:colOff>370583</xdr:colOff>
      <xdr:row>6</xdr:row>
      <xdr:rowOff>370583</xdr:rowOff>
    </xdr:to>
    <xdr:pic>
      <xdr:nvPicPr>
        <xdr:cNvPr id="15" name="Picture 1145">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6833" y="2169583"/>
          <a:ext cx="360000" cy="3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10583</xdr:colOff>
      <xdr:row>6</xdr:row>
      <xdr:rowOff>10583</xdr:rowOff>
    </xdr:from>
    <xdr:to>
      <xdr:col>9</xdr:col>
      <xdr:colOff>370583</xdr:colOff>
      <xdr:row>6</xdr:row>
      <xdr:rowOff>370583</xdr:rowOff>
    </xdr:to>
    <xdr:pic>
      <xdr:nvPicPr>
        <xdr:cNvPr id="16" name="Picture 1146">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87833" y="2169583"/>
          <a:ext cx="360000" cy="3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10583</xdr:colOff>
      <xdr:row>6</xdr:row>
      <xdr:rowOff>10583</xdr:rowOff>
    </xdr:from>
    <xdr:to>
      <xdr:col>10</xdr:col>
      <xdr:colOff>370583</xdr:colOff>
      <xdr:row>6</xdr:row>
      <xdr:rowOff>370583</xdr:rowOff>
    </xdr:to>
    <xdr:pic>
      <xdr:nvPicPr>
        <xdr:cNvPr id="17" name="Picture 1147">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868833" y="2169583"/>
          <a:ext cx="360000" cy="3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10583</xdr:colOff>
      <xdr:row>6</xdr:row>
      <xdr:rowOff>10583</xdr:rowOff>
    </xdr:from>
    <xdr:to>
      <xdr:col>11</xdr:col>
      <xdr:colOff>370583</xdr:colOff>
      <xdr:row>6</xdr:row>
      <xdr:rowOff>370583</xdr:rowOff>
    </xdr:to>
    <xdr:pic>
      <xdr:nvPicPr>
        <xdr:cNvPr id="18" name="Picture 1148">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249833" y="2169583"/>
          <a:ext cx="360000" cy="3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10583</xdr:colOff>
      <xdr:row>6</xdr:row>
      <xdr:rowOff>10583</xdr:rowOff>
    </xdr:from>
    <xdr:to>
      <xdr:col>12</xdr:col>
      <xdr:colOff>370583</xdr:colOff>
      <xdr:row>6</xdr:row>
      <xdr:rowOff>370583</xdr:rowOff>
    </xdr:to>
    <xdr:pic>
      <xdr:nvPicPr>
        <xdr:cNvPr id="19" name="Picture 1149">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630833" y="2169583"/>
          <a:ext cx="360000" cy="3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10583</xdr:colOff>
      <xdr:row>6</xdr:row>
      <xdr:rowOff>10583</xdr:rowOff>
    </xdr:from>
    <xdr:to>
      <xdr:col>13</xdr:col>
      <xdr:colOff>370583</xdr:colOff>
      <xdr:row>6</xdr:row>
      <xdr:rowOff>370583</xdr:rowOff>
    </xdr:to>
    <xdr:pic>
      <xdr:nvPicPr>
        <xdr:cNvPr id="20" name="Picture 1150">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011833" y="2169583"/>
          <a:ext cx="360000" cy="3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10583</xdr:colOff>
      <xdr:row>6</xdr:row>
      <xdr:rowOff>10583</xdr:rowOff>
    </xdr:from>
    <xdr:to>
      <xdr:col>14</xdr:col>
      <xdr:colOff>370583</xdr:colOff>
      <xdr:row>6</xdr:row>
      <xdr:rowOff>370583</xdr:rowOff>
    </xdr:to>
    <xdr:pic>
      <xdr:nvPicPr>
        <xdr:cNvPr id="21" name="Picture 1151">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392833" y="2169583"/>
          <a:ext cx="360000" cy="3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10583</xdr:colOff>
      <xdr:row>6</xdr:row>
      <xdr:rowOff>10583</xdr:rowOff>
    </xdr:from>
    <xdr:to>
      <xdr:col>15</xdr:col>
      <xdr:colOff>370583</xdr:colOff>
      <xdr:row>6</xdr:row>
      <xdr:rowOff>370583</xdr:rowOff>
    </xdr:to>
    <xdr:pic>
      <xdr:nvPicPr>
        <xdr:cNvPr id="22" name="Picture 1152">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773833" y="2169583"/>
          <a:ext cx="360000" cy="36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0</xdr:colOff>
      <xdr:row>0</xdr:row>
      <xdr:rowOff>45720</xdr:rowOff>
    </xdr:from>
    <xdr:to>
      <xdr:col>19</xdr:col>
      <xdr:colOff>489892</xdr:colOff>
      <xdr:row>2</xdr:row>
      <xdr:rowOff>205740</xdr:rowOff>
    </xdr:to>
    <xdr:pic>
      <xdr:nvPicPr>
        <xdr:cNvPr id="3" name="Grafik 2">
          <a:extLst>
            <a:ext uri="{FF2B5EF4-FFF2-40B4-BE49-F238E27FC236}">
              <a16:creationId xmlns:a16="http://schemas.microsoft.com/office/drawing/2014/main" id="{84F3FC27-C1B2-41CD-A2D9-091110DDDBE7}"/>
            </a:ext>
          </a:extLst>
        </xdr:cNvPr>
        <xdr:cNvPicPr>
          <a:picLocks noChangeAspect="1"/>
        </xdr:cNvPicPr>
      </xdr:nvPicPr>
      <xdr:blipFill>
        <a:blip xmlns:r="http://schemas.openxmlformats.org/officeDocument/2006/relationships" r:embed="rId10"/>
        <a:stretch>
          <a:fillRect/>
        </a:stretch>
      </xdr:blipFill>
      <xdr:spPr>
        <a:xfrm>
          <a:off x="11529060" y="45720"/>
          <a:ext cx="1808152" cy="9067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0</xdr:row>
      <xdr:rowOff>571499</xdr:rowOff>
    </xdr:from>
    <xdr:to>
      <xdr:col>2</xdr:col>
      <xdr:colOff>123825</xdr:colOff>
      <xdr:row>3</xdr:row>
      <xdr:rowOff>76200</xdr:rowOff>
    </xdr:to>
    <xdr:sp macro="" textlink="">
      <xdr:nvSpPr>
        <xdr:cNvPr id="2" name="Rechteck 1">
          <a:extLst>
            <a:ext uri="{FF2B5EF4-FFF2-40B4-BE49-F238E27FC236}">
              <a16:creationId xmlns:a16="http://schemas.microsoft.com/office/drawing/2014/main" id="{D76BA51F-9613-4820-849C-7BECE63C1944}"/>
            </a:ext>
          </a:extLst>
        </xdr:cNvPr>
        <xdr:cNvSpPr/>
      </xdr:nvSpPr>
      <xdr:spPr>
        <a:xfrm>
          <a:off x="285750" y="571499"/>
          <a:ext cx="1685925" cy="647701"/>
        </a:xfrm>
        <a:prstGeom prst="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123825</xdr:colOff>
      <xdr:row>1</xdr:row>
      <xdr:rowOff>123825</xdr:rowOff>
    </xdr:from>
    <xdr:to>
      <xdr:col>5</xdr:col>
      <xdr:colOff>1331850</xdr:colOff>
      <xdr:row>1</xdr:row>
      <xdr:rowOff>123825</xdr:rowOff>
    </xdr:to>
    <xdr:cxnSp macro="">
      <xdr:nvCxnSpPr>
        <xdr:cNvPr id="3" name="Gerade Verbindung 3">
          <a:extLst>
            <a:ext uri="{FF2B5EF4-FFF2-40B4-BE49-F238E27FC236}">
              <a16:creationId xmlns:a16="http://schemas.microsoft.com/office/drawing/2014/main" id="{ACF10E00-E3A7-44BD-AC17-537C3BA26E1B}"/>
            </a:ext>
          </a:extLst>
        </xdr:cNvPr>
        <xdr:cNvCxnSpPr/>
      </xdr:nvCxnSpPr>
      <xdr:spPr>
        <a:xfrm>
          <a:off x="1971675" y="790575"/>
          <a:ext cx="4865625" cy="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1285875</xdr:colOff>
      <xdr:row>1</xdr:row>
      <xdr:rowOff>133350</xdr:rowOff>
    </xdr:from>
    <xdr:to>
      <xdr:col>3</xdr:col>
      <xdr:colOff>1285875</xdr:colOff>
      <xdr:row>2</xdr:row>
      <xdr:rowOff>3225</xdr:rowOff>
    </xdr:to>
    <xdr:cxnSp macro="">
      <xdr:nvCxnSpPr>
        <xdr:cNvPr id="4" name="Gerade Verbindung 5">
          <a:extLst>
            <a:ext uri="{FF2B5EF4-FFF2-40B4-BE49-F238E27FC236}">
              <a16:creationId xmlns:a16="http://schemas.microsoft.com/office/drawing/2014/main" id="{E23041C0-C51E-4322-8091-6C5E14206CCE}"/>
            </a:ext>
          </a:extLst>
        </xdr:cNvPr>
        <xdr:cNvCxnSpPr/>
      </xdr:nvCxnSpPr>
      <xdr:spPr>
        <a:xfrm>
          <a:off x="3790950" y="800100"/>
          <a:ext cx="0" cy="10800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1333500</xdr:colOff>
      <xdr:row>1</xdr:row>
      <xdr:rowOff>133350</xdr:rowOff>
    </xdr:from>
    <xdr:to>
      <xdr:col>5</xdr:col>
      <xdr:colOff>1333500</xdr:colOff>
      <xdr:row>2</xdr:row>
      <xdr:rowOff>3225</xdr:rowOff>
    </xdr:to>
    <xdr:cxnSp macro="">
      <xdr:nvCxnSpPr>
        <xdr:cNvPr id="5" name="Gerade Verbindung 6">
          <a:extLst>
            <a:ext uri="{FF2B5EF4-FFF2-40B4-BE49-F238E27FC236}">
              <a16:creationId xmlns:a16="http://schemas.microsoft.com/office/drawing/2014/main" id="{7AF1ECEE-932B-41AC-A875-26835E4ABAEF}"/>
            </a:ext>
          </a:extLst>
        </xdr:cNvPr>
        <xdr:cNvCxnSpPr/>
      </xdr:nvCxnSpPr>
      <xdr:spPr>
        <a:xfrm>
          <a:off x="6838950" y="800100"/>
          <a:ext cx="0" cy="108000"/>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285750</xdr:colOff>
      <xdr:row>4</xdr:row>
      <xdr:rowOff>114300</xdr:rowOff>
    </xdr:from>
    <xdr:to>
      <xdr:col>8</xdr:col>
      <xdr:colOff>1009650</xdr:colOff>
      <xdr:row>4</xdr:row>
      <xdr:rowOff>838200</xdr:rowOff>
    </xdr:to>
    <xdr:grpSp>
      <xdr:nvGrpSpPr>
        <xdr:cNvPr id="42" name="Gruppieren 41">
          <a:extLst>
            <a:ext uri="{FF2B5EF4-FFF2-40B4-BE49-F238E27FC236}">
              <a16:creationId xmlns:a16="http://schemas.microsoft.com/office/drawing/2014/main" id="{00000000-0008-0000-0100-00002A000000}"/>
            </a:ext>
          </a:extLst>
        </xdr:cNvPr>
        <xdr:cNvGrpSpPr/>
      </xdr:nvGrpSpPr>
      <xdr:grpSpPr>
        <a:xfrm>
          <a:off x="285750" y="1531620"/>
          <a:ext cx="11391900" cy="723900"/>
          <a:chOff x="0" y="552450"/>
          <a:chExt cx="11087100" cy="723900"/>
        </a:xfrm>
      </xdr:grpSpPr>
      <xdr:pic>
        <xdr:nvPicPr>
          <xdr:cNvPr id="43" name="Grafik 42">
            <a:extLst>
              <a:ext uri="{FF2B5EF4-FFF2-40B4-BE49-F238E27FC236}">
                <a16:creationId xmlns:a16="http://schemas.microsoft.com/office/drawing/2014/main" id="{00000000-0008-0000-0100-00002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52450"/>
            <a:ext cx="723900" cy="723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4" name="Picture 1145">
            <a:extLst>
              <a:ext uri="{FF2B5EF4-FFF2-40B4-BE49-F238E27FC236}">
                <a16:creationId xmlns:a16="http://schemas.microsoft.com/office/drawing/2014/main" id="{00000000-0008-0000-0100-00002C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95400" y="552450"/>
            <a:ext cx="723900" cy="723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5" name="Picture 1146">
            <a:extLst>
              <a:ext uri="{FF2B5EF4-FFF2-40B4-BE49-F238E27FC236}">
                <a16:creationId xmlns:a16="http://schemas.microsoft.com/office/drawing/2014/main" id="{00000000-0008-0000-0100-00002D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90800" y="552450"/>
            <a:ext cx="723900" cy="723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6" name="Picture 1147">
            <a:extLst>
              <a:ext uri="{FF2B5EF4-FFF2-40B4-BE49-F238E27FC236}">
                <a16:creationId xmlns:a16="http://schemas.microsoft.com/office/drawing/2014/main" id="{00000000-0008-0000-0100-00002E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886200" y="552450"/>
            <a:ext cx="723900" cy="723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7" name="Picture 1148">
            <a:extLst>
              <a:ext uri="{FF2B5EF4-FFF2-40B4-BE49-F238E27FC236}">
                <a16:creationId xmlns:a16="http://schemas.microsoft.com/office/drawing/2014/main" id="{00000000-0008-0000-0100-00002F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181600" y="552450"/>
            <a:ext cx="723900" cy="723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8" name="Picture 1149">
            <a:extLst>
              <a:ext uri="{FF2B5EF4-FFF2-40B4-BE49-F238E27FC236}">
                <a16:creationId xmlns:a16="http://schemas.microsoft.com/office/drawing/2014/main" id="{00000000-0008-0000-0100-000030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477000" y="552450"/>
            <a:ext cx="723900" cy="723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9" name="Picture 1150">
            <a:extLst>
              <a:ext uri="{FF2B5EF4-FFF2-40B4-BE49-F238E27FC236}">
                <a16:creationId xmlns:a16="http://schemas.microsoft.com/office/drawing/2014/main" id="{00000000-0008-0000-0100-000031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7772400" y="552450"/>
            <a:ext cx="723900" cy="723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0" name="Picture 1151">
            <a:extLst>
              <a:ext uri="{FF2B5EF4-FFF2-40B4-BE49-F238E27FC236}">
                <a16:creationId xmlns:a16="http://schemas.microsoft.com/office/drawing/2014/main" id="{00000000-0008-0000-0100-000032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067800" y="552450"/>
            <a:ext cx="723900" cy="72390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1" name="Picture 1152">
            <a:extLst>
              <a:ext uri="{FF2B5EF4-FFF2-40B4-BE49-F238E27FC236}">
                <a16:creationId xmlns:a16="http://schemas.microsoft.com/office/drawing/2014/main" id="{00000000-0008-0000-0100-000033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363200" y="552450"/>
            <a:ext cx="723900" cy="7239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outlinePr summaryRight="0"/>
  </sheetPr>
  <dimension ref="A1:GN28"/>
  <sheetViews>
    <sheetView showGridLines="0" tabSelected="1" zoomScaleNormal="100" zoomScaleSheetLayoutView="90" workbookViewId="0">
      <selection activeCell="B8" sqref="B8"/>
    </sheetView>
  </sheetViews>
  <sheetFormatPr baseColWidth="10" defaultColWidth="11.44140625" defaultRowHeight="11.4" outlineLevelCol="1" x14ac:dyDescent="0.3"/>
  <cols>
    <col min="1" max="1" width="5.6640625" style="1" customWidth="1"/>
    <col min="2" max="2" width="41.44140625" style="1" customWidth="1"/>
    <col min="3" max="3" width="30" style="1" customWidth="1"/>
    <col min="4" max="4" width="14.33203125" style="1" customWidth="1"/>
    <col min="5" max="5" width="5.6640625" style="1" customWidth="1"/>
    <col min="6" max="6" width="14.33203125" style="1" customWidth="1"/>
    <col min="7" max="7" width="5.6640625" style="1" customWidth="1" collapsed="1"/>
    <col min="8" max="18" width="5.6640625" style="1" customWidth="1"/>
    <col min="19" max="19" width="7.88671875" style="18" customWidth="1"/>
    <col min="20" max="20" width="7.88671875" style="1" customWidth="1"/>
    <col min="21" max="21" width="4.33203125" style="18" customWidth="1"/>
    <col min="22" max="22" width="5.6640625" style="18" customWidth="1" outlineLevel="1"/>
    <col min="23" max="23" width="62" style="172" customWidth="1" outlineLevel="1"/>
    <col min="24" max="32" width="5" style="172" customWidth="1" outlineLevel="1"/>
    <col min="33" max="33" width="23" style="172" customWidth="1" outlineLevel="1"/>
    <col min="34" max="34" width="47.88671875" style="172" customWidth="1" outlineLevel="1"/>
    <col min="35" max="35" width="20" style="18" customWidth="1" outlineLevel="1"/>
    <col min="36" max="39" width="14.33203125" style="18" customWidth="1" outlineLevel="1"/>
    <col min="40" max="40" width="5.6640625" style="18" customWidth="1" outlineLevel="1"/>
    <col min="41" max="41" width="4.33203125" style="18" customWidth="1"/>
    <col min="42" max="42" width="28.5546875" style="172" customWidth="1" outlineLevel="1"/>
    <col min="43" max="45" width="15.6640625" style="18" customWidth="1" outlineLevel="1"/>
    <col min="46" max="46" width="15.6640625" style="26" customWidth="1" outlineLevel="1"/>
    <col min="47" max="47" width="14.33203125" style="26" customWidth="1" outlineLevel="1"/>
    <col min="48" max="48" width="11.44140625" style="26" customWidth="1" outlineLevel="1"/>
    <col min="49" max="49" width="15.6640625" style="18" customWidth="1" outlineLevel="1"/>
    <col min="50" max="50" width="6.44140625" style="26" customWidth="1" outlineLevel="1"/>
    <col min="51" max="76" width="4.33203125" style="26" customWidth="1" outlineLevel="1"/>
    <col min="77" max="77" width="11.44140625" style="26" customWidth="1" outlineLevel="1"/>
    <col min="78" max="78" width="4.33203125" style="18" customWidth="1"/>
    <col min="79" max="79" width="30" style="172" customWidth="1" outlineLevel="1" collapsed="1"/>
    <col min="80" max="88" width="12.88671875" style="18" customWidth="1" outlineLevel="1"/>
    <col min="89" max="89" width="30" style="18" customWidth="1" outlineLevel="1"/>
    <col min="90" max="94" width="12.88671875" style="18" customWidth="1" outlineLevel="1"/>
    <col min="95" max="95" width="10.6640625" style="18" customWidth="1" outlineLevel="1"/>
    <col min="96" max="96" width="15.109375" style="18" customWidth="1" outlineLevel="1"/>
    <col min="97" max="97" width="15.6640625" style="18" customWidth="1" outlineLevel="1"/>
    <col min="98" max="98" width="4.33203125" style="18" customWidth="1"/>
    <col min="99" max="99" width="15.6640625" style="18" customWidth="1" outlineLevel="1" collapsed="1"/>
    <col min="100" max="100" width="15.6640625" style="18" customWidth="1" outlineLevel="1"/>
    <col min="101" max="101" width="14.33203125" style="18" customWidth="1" outlineLevel="1"/>
    <col min="102" max="102" width="15.6640625" style="18" customWidth="1" outlineLevel="1"/>
    <col min="103" max="103" width="18.5546875" style="18" customWidth="1" outlineLevel="1"/>
    <col min="104" max="104" width="14.33203125" style="18" customWidth="1" outlineLevel="1"/>
    <col min="105" max="105" width="21.44140625" style="18" customWidth="1" outlineLevel="1"/>
    <col min="106" max="106" width="22.88671875" style="18" customWidth="1" outlineLevel="1"/>
    <col min="107" max="107" width="5.6640625" style="18" customWidth="1" outlineLevel="1"/>
    <col min="108" max="108" width="28.5546875" style="18" customWidth="1" outlineLevel="1"/>
    <col min="109" max="109" width="4.33203125" style="18" customWidth="1"/>
    <col min="110" max="110" width="15.6640625" style="1" customWidth="1" outlineLevel="1" collapsed="1"/>
    <col min="111" max="111" width="25.6640625" style="1" customWidth="1" outlineLevel="1"/>
    <col min="112" max="112" width="15.6640625" style="1" customWidth="1" outlineLevel="1"/>
    <col min="113" max="113" width="18.5546875" style="1" customWidth="1" outlineLevel="1"/>
    <col min="114" max="115" width="15.6640625" style="1" customWidth="1" outlineLevel="1"/>
    <col min="116" max="116" width="22.88671875" style="1" customWidth="1" outlineLevel="1"/>
    <col min="117" max="117" width="5.6640625" style="1" customWidth="1" outlineLevel="1"/>
    <col min="118" max="118" width="28.5546875" style="1" customWidth="1" outlineLevel="1"/>
    <col min="119" max="119" width="4.44140625" style="18" customWidth="1"/>
    <col min="120" max="120" width="15.5546875" style="1" customWidth="1" outlineLevel="1" collapsed="1"/>
    <col min="121" max="121" width="15.5546875" style="18" customWidth="1" outlineLevel="1"/>
    <col min="122" max="122" width="14.33203125" style="18" customWidth="1" outlineLevel="1"/>
    <col min="123" max="123" width="15.5546875" style="18" customWidth="1" outlineLevel="1"/>
    <col min="124" max="124" width="18.5546875" style="18" customWidth="1" outlineLevel="1"/>
    <col min="125" max="125" width="14.33203125" style="18" customWidth="1" outlineLevel="1"/>
    <col min="126" max="126" width="21.44140625" style="18" customWidth="1" outlineLevel="1"/>
    <col min="127" max="127" width="25.5546875" style="18" customWidth="1" outlineLevel="1"/>
    <col min="128" max="128" width="5.5546875" style="18" customWidth="1" outlineLevel="1"/>
    <col min="129" max="129" width="28.5546875" style="18" customWidth="1" outlineLevel="1"/>
    <col min="130" max="130" width="4.33203125" style="18" customWidth="1"/>
    <col min="131" max="131" width="57.6640625" style="145" customWidth="1" outlineLevel="1" collapsed="1"/>
    <col min="132" max="133" width="17.109375" style="1" customWidth="1" outlineLevel="1"/>
    <col min="134" max="134" width="37.109375" style="145" customWidth="1" outlineLevel="1"/>
    <col min="135" max="135" width="4.33203125" style="18" customWidth="1"/>
    <col min="136" max="136" width="19.6640625" style="1" customWidth="1" outlineLevel="1"/>
    <col min="137" max="137" width="22.88671875" style="1" customWidth="1" outlineLevel="1"/>
    <col min="138" max="139" width="10.88671875" style="1" customWidth="1" outlineLevel="1"/>
    <col min="140" max="140" width="14.33203125" style="1" customWidth="1" outlineLevel="1"/>
    <col min="141" max="141" width="25.5546875" style="145" customWidth="1" outlineLevel="1"/>
    <col min="142" max="142" width="9.33203125" style="1" customWidth="1" outlineLevel="1"/>
    <col min="143" max="143" width="10.6640625" style="1" customWidth="1" outlineLevel="1"/>
    <col min="144" max="144" width="11.5546875" style="1" customWidth="1" outlineLevel="1"/>
    <col min="145" max="145" width="30.6640625" style="1" customWidth="1" outlineLevel="1"/>
    <col min="146" max="146" width="25.5546875" style="145" customWidth="1" outlineLevel="1"/>
    <col min="147" max="147" width="9.33203125" style="1" customWidth="1" outlineLevel="1"/>
    <col min="148" max="148" width="10.6640625" style="1" customWidth="1" outlineLevel="1"/>
    <col min="149" max="149" width="11.5546875" style="1" customWidth="1" outlineLevel="1"/>
    <col min="150" max="150" width="30.6640625" style="1" customWidth="1" outlineLevel="1"/>
    <col min="151" max="151" width="25.5546875" style="145" customWidth="1" outlineLevel="1"/>
    <col min="152" max="152" width="9.33203125" style="1" customWidth="1" outlineLevel="1"/>
    <col min="153" max="153" width="10.6640625" style="1" customWidth="1" outlineLevel="1"/>
    <col min="154" max="154" width="11.5546875" style="1" customWidth="1" outlineLevel="1"/>
    <col min="155" max="155" width="30.6640625" style="1" customWidth="1" outlineLevel="1"/>
    <col min="156" max="156" width="4.33203125" style="18" customWidth="1"/>
    <col min="157" max="157" width="18.5546875" style="145" customWidth="1" outlineLevel="1" collapsed="1"/>
    <col min="158" max="158" width="50" style="145" customWidth="1" outlineLevel="1"/>
    <col min="159" max="159" width="18.5546875" style="1" customWidth="1" outlineLevel="1"/>
    <col min="160" max="160" width="50" style="1" customWidth="1" outlineLevel="1"/>
    <col min="161" max="161" width="18.5546875" style="1" customWidth="1" outlineLevel="1"/>
    <col min="162" max="162" width="50" style="1" customWidth="1" outlineLevel="1"/>
    <col min="163" max="163" width="4.33203125" style="18" customWidth="1"/>
    <col min="164" max="164" width="25.5546875" style="145" customWidth="1" outlineLevel="1" collapsed="1"/>
    <col min="165" max="165" width="11.44140625" style="1" customWidth="1" outlineLevel="1"/>
    <col min="166" max="166" width="20.5546875" style="195" customWidth="1" outlineLevel="1"/>
    <col min="167" max="167" width="16" style="1" customWidth="1" outlineLevel="1"/>
    <col min="168" max="168" width="19.109375" style="1" customWidth="1" outlineLevel="1"/>
    <col min="169" max="169" width="14.33203125" style="1" customWidth="1" outlineLevel="1"/>
    <col min="170" max="170" width="25.5546875" style="173" customWidth="1" outlineLevel="1"/>
    <col min="171" max="171" width="11.44140625" style="1" customWidth="1" outlineLevel="1"/>
    <col min="172" max="172" width="25.5546875" style="145" customWidth="1" outlineLevel="1"/>
    <col min="173" max="173" width="11.44140625" style="1" customWidth="1" outlineLevel="1"/>
    <col min="174" max="174" width="17.5546875" style="1" customWidth="1" outlineLevel="1"/>
    <col min="175" max="175" width="25.5546875" style="145" customWidth="1" outlineLevel="1"/>
    <col min="176" max="177" width="16" style="1" customWidth="1" outlineLevel="1"/>
    <col min="178" max="178" width="4.33203125" style="18" customWidth="1"/>
    <col min="179" max="181" width="15.6640625" style="1" customWidth="1" outlineLevel="1"/>
    <col min="182" max="182" width="74.5546875" style="1" customWidth="1" outlineLevel="1"/>
    <col min="183" max="183" width="15.6640625" style="1" customWidth="1" outlineLevel="1"/>
    <col min="184" max="184" width="4.33203125" style="1" customWidth="1"/>
    <col min="185" max="196" width="14.33203125" style="1" customWidth="1" outlineLevel="1"/>
    <col min="197" max="197" width="4.33203125" style="1" customWidth="1"/>
    <col min="198" max="16384" width="11.44140625" style="1"/>
  </cols>
  <sheetData>
    <row r="1" spans="1:196" ht="36.75" customHeight="1" x14ac:dyDescent="0.3">
      <c r="A1" s="161" t="s">
        <v>510</v>
      </c>
      <c r="B1" s="161"/>
      <c r="C1" s="158"/>
      <c r="D1" s="159"/>
      <c r="H1" s="318" t="s">
        <v>7405</v>
      </c>
      <c r="J1" s="318"/>
      <c r="K1" s="317"/>
      <c r="L1" s="317"/>
      <c r="M1" s="317"/>
      <c r="N1" s="317"/>
      <c r="O1" s="317"/>
      <c r="P1" s="317"/>
      <c r="U1" s="487" t="s">
        <v>169</v>
      </c>
      <c r="V1" s="205"/>
      <c r="W1" s="296"/>
      <c r="X1" s="396"/>
      <c r="Y1" s="397"/>
      <c r="Z1" s="397"/>
      <c r="AA1" s="397"/>
      <c r="AB1" s="397"/>
      <c r="AC1" s="395"/>
      <c r="AD1" s="396"/>
      <c r="AE1" s="397"/>
      <c r="AF1" s="397"/>
      <c r="AG1" s="296"/>
      <c r="AH1" s="296"/>
      <c r="AI1" s="205"/>
      <c r="AJ1" s="205"/>
      <c r="AK1" s="205"/>
      <c r="AL1" s="205"/>
      <c r="AM1" s="205"/>
      <c r="AN1" s="205"/>
      <c r="AO1" s="497" t="s">
        <v>7277</v>
      </c>
      <c r="AP1" s="296"/>
      <c r="AQ1" s="205"/>
      <c r="AR1" s="205"/>
      <c r="AS1" s="205"/>
      <c r="AT1" s="206"/>
      <c r="AU1" s="206"/>
      <c r="AV1" s="206"/>
      <c r="AW1" s="205"/>
      <c r="AX1" s="206"/>
      <c r="AY1" s="206"/>
      <c r="AZ1" s="206"/>
      <c r="BA1" s="206"/>
      <c r="BB1" s="206"/>
      <c r="BC1" s="206"/>
      <c r="BD1" s="206"/>
      <c r="BE1" s="206"/>
      <c r="BF1" s="206"/>
      <c r="BG1" s="206"/>
      <c r="BH1" s="206"/>
      <c r="BI1" s="206"/>
      <c r="BJ1" s="206"/>
      <c r="BK1" s="206"/>
      <c r="BL1" s="206"/>
      <c r="BM1" s="206"/>
      <c r="BN1" s="206"/>
      <c r="BO1" s="206"/>
      <c r="BP1" s="206"/>
      <c r="BQ1" s="206"/>
      <c r="BR1" s="206"/>
      <c r="BS1" s="206"/>
      <c r="BT1" s="206"/>
      <c r="BU1" s="206"/>
      <c r="BV1" s="206"/>
      <c r="BW1" s="206"/>
      <c r="BX1" s="206"/>
      <c r="BY1" s="206"/>
      <c r="BZ1" s="472" t="s">
        <v>168</v>
      </c>
      <c r="CA1" s="296"/>
      <c r="CB1" s="205"/>
      <c r="CC1" s="205"/>
      <c r="CD1" s="205"/>
      <c r="CE1" s="205"/>
      <c r="CF1" s="205"/>
      <c r="CG1" s="205"/>
      <c r="CH1" s="205"/>
      <c r="CI1" s="205"/>
      <c r="CJ1" s="205"/>
      <c r="CK1" s="205"/>
      <c r="CL1" s="205"/>
      <c r="CM1" s="205"/>
      <c r="CN1" s="205"/>
      <c r="CO1" s="205"/>
      <c r="CP1" s="205"/>
      <c r="CR1" s="205"/>
      <c r="CS1" s="205"/>
      <c r="CT1" s="470" t="s">
        <v>7409</v>
      </c>
      <c r="CU1" s="205"/>
      <c r="CV1" s="205"/>
      <c r="CW1" s="205"/>
      <c r="CX1" s="205"/>
      <c r="CY1" s="205"/>
      <c r="CZ1" s="205"/>
      <c r="DA1" s="205"/>
      <c r="DB1" s="205"/>
      <c r="DC1" s="205"/>
      <c r="DD1" s="205"/>
      <c r="DE1" s="468" t="s">
        <v>7410</v>
      </c>
      <c r="DF1" s="207"/>
      <c r="DG1" s="207"/>
      <c r="DH1" s="207"/>
      <c r="DI1" s="207"/>
      <c r="DJ1" s="207"/>
      <c r="DK1" s="207"/>
      <c r="DL1" s="207"/>
      <c r="DM1" s="207"/>
      <c r="DN1" s="207"/>
      <c r="DO1" s="484" t="s">
        <v>7408</v>
      </c>
      <c r="DZ1" s="466" t="s">
        <v>512</v>
      </c>
      <c r="EA1" s="208"/>
      <c r="EB1" s="207"/>
      <c r="EC1" s="207"/>
      <c r="ED1" s="425" t="str">
        <f>HYPERLINK(CONCATENATE("Substitutionsprüfungen"),"1")</f>
        <v>1</v>
      </c>
      <c r="EE1" s="478" t="s">
        <v>845</v>
      </c>
      <c r="EF1" s="207"/>
      <c r="EG1" s="207"/>
      <c r="EH1" s="207"/>
      <c r="EI1" s="207"/>
      <c r="EJ1" s="207"/>
      <c r="EK1" s="208"/>
      <c r="EL1" s="207"/>
      <c r="EM1" s="207"/>
      <c r="EN1" s="207"/>
      <c r="EO1" s="207"/>
      <c r="EP1" s="208"/>
      <c r="EQ1" s="207"/>
      <c r="ER1" s="207"/>
      <c r="ES1" s="207"/>
      <c r="ET1" s="207"/>
      <c r="EU1" s="208"/>
      <c r="EV1" s="207"/>
      <c r="EW1" s="207"/>
      <c r="EX1" s="207"/>
      <c r="EY1" s="207"/>
      <c r="EZ1" s="476" t="s">
        <v>846</v>
      </c>
      <c r="FA1" s="208"/>
      <c r="FB1" s="208"/>
      <c r="FC1" s="207"/>
      <c r="FD1" s="207"/>
      <c r="FE1" s="207"/>
      <c r="FF1" s="207"/>
      <c r="FG1" s="480" t="s">
        <v>847</v>
      </c>
      <c r="FH1" s="172"/>
      <c r="FI1" s="18"/>
      <c r="FJ1" s="26"/>
      <c r="FK1" s="18"/>
      <c r="FL1" s="18"/>
      <c r="FM1" s="18"/>
      <c r="FO1" s="18"/>
      <c r="FQ1" s="18"/>
      <c r="FR1" s="18"/>
      <c r="FT1" s="18"/>
      <c r="FU1" s="18"/>
      <c r="FV1" s="482" t="s">
        <v>7269</v>
      </c>
      <c r="GB1" s="474" t="s">
        <v>7512</v>
      </c>
    </row>
    <row r="2" spans="1:196" ht="22.5" customHeight="1" x14ac:dyDescent="0.3">
      <c r="A2" s="312"/>
      <c r="B2" s="155"/>
      <c r="C2" s="135"/>
      <c r="D2" s="344">
        <v>45714</v>
      </c>
      <c r="E2" s="335"/>
      <c r="H2" s="214"/>
      <c r="I2" s="215"/>
      <c r="J2" s="215"/>
      <c r="K2" s="215"/>
      <c r="L2" s="216" t="s">
        <v>2590</v>
      </c>
      <c r="M2" s="489">
        <f>COUNTIF(Q8:Q20,"A")+COUNTIF(R8:R20,"G")</f>
        <v>1</v>
      </c>
      <c r="N2" s="490"/>
      <c r="Q2" s="134"/>
      <c r="R2" s="134"/>
      <c r="S2" s="138"/>
      <c r="U2" s="488"/>
      <c r="V2" s="138"/>
      <c r="W2" s="297"/>
      <c r="X2" s="499" t="s">
        <v>7560</v>
      </c>
      <c r="Y2" s="501" t="s">
        <v>7561</v>
      </c>
      <c r="Z2" s="499" t="s">
        <v>7562</v>
      </c>
      <c r="AA2" s="501" t="s">
        <v>7563</v>
      </c>
      <c r="AB2" s="499" t="s">
        <v>7565</v>
      </c>
      <c r="AC2" s="501" t="s">
        <v>7564</v>
      </c>
      <c r="AD2" s="499" t="s">
        <v>7565</v>
      </c>
      <c r="AE2" s="501" t="s">
        <v>7564</v>
      </c>
      <c r="AF2" s="499" t="s">
        <v>7564</v>
      </c>
      <c r="AG2" s="297"/>
      <c r="AH2" s="297"/>
      <c r="AI2" s="138"/>
      <c r="AJ2" s="138"/>
      <c r="AK2" s="138"/>
      <c r="AL2" s="138"/>
      <c r="AM2" s="138"/>
      <c r="AN2" s="138"/>
      <c r="AO2" s="498"/>
      <c r="AP2" s="297"/>
      <c r="AQ2" s="138"/>
      <c r="AR2" s="138"/>
      <c r="AS2" s="138"/>
      <c r="AT2" s="209"/>
      <c r="AU2" s="209"/>
      <c r="AV2" s="209"/>
      <c r="AW2" s="138"/>
      <c r="AX2" s="209"/>
      <c r="AY2" s="209"/>
      <c r="AZ2" s="209"/>
      <c r="BA2" s="209"/>
      <c r="BB2" s="209"/>
      <c r="BC2" s="209"/>
      <c r="BD2" s="209"/>
      <c r="BE2" s="209"/>
      <c r="BF2" s="209"/>
      <c r="BG2" s="209"/>
      <c r="BH2" s="209"/>
      <c r="BI2" s="209"/>
      <c r="BJ2" s="209"/>
      <c r="BK2" s="209"/>
      <c r="BL2" s="209"/>
      <c r="BM2" s="209"/>
      <c r="BN2" s="209"/>
      <c r="BO2" s="209"/>
      <c r="BP2" s="209"/>
      <c r="BQ2" s="209"/>
      <c r="BR2" s="209"/>
      <c r="BS2" s="209"/>
      <c r="BT2" s="209"/>
      <c r="BU2" s="209"/>
      <c r="BV2" s="209"/>
      <c r="BW2" s="209"/>
      <c r="BX2" s="209"/>
      <c r="BY2" s="209"/>
      <c r="BZ2" s="473"/>
      <c r="CA2" s="297"/>
      <c r="CB2" s="138"/>
      <c r="CC2" s="138"/>
      <c r="CD2" s="138"/>
      <c r="CE2" s="138"/>
      <c r="CF2" s="138"/>
      <c r="CG2" s="138"/>
      <c r="CH2" s="138"/>
      <c r="CI2" s="138"/>
      <c r="CJ2" s="138"/>
      <c r="CK2" s="138"/>
      <c r="CL2" s="138"/>
      <c r="CM2" s="138"/>
      <c r="CN2" s="138"/>
      <c r="CO2" s="138"/>
      <c r="CP2" s="138"/>
      <c r="CQ2" s="138"/>
      <c r="CR2" s="138"/>
      <c r="CS2" s="138"/>
      <c r="CT2" s="471"/>
      <c r="CU2" s="138"/>
      <c r="CV2" s="138"/>
      <c r="CW2" s="138"/>
      <c r="CX2" s="138"/>
      <c r="CY2" s="138"/>
      <c r="CZ2" s="138"/>
      <c r="DA2" s="138"/>
      <c r="DB2" s="138"/>
      <c r="DC2" s="138"/>
      <c r="DD2" s="138"/>
      <c r="DE2" s="469"/>
      <c r="DO2" s="484"/>
      <c r="DQ2" s="138"/>
      <c r="DR2" s="138"/>
      <c r="DS2" s="138"/>
      <c r="DT2" s="138"/>
      <c r="DU2" s="138"/>
      <c r="DV2" s="138"/>
      <c r="DW2" s="138"/>
      <c r="DX2" s="138"/>
      <c r="DY2" s="138"/>
      <c r="DZ2" s="467"/>
      <c r="EE2" s="479"/>
      <c r="EF2" s="211"/>
      <c r="EG2" s="211"/>
      <c r="EH2" s="211"/>
      <c r="EI2" s="211"/>
      <c r="EJ2" s="211"/>
      <c r="EK2" s="210"/>
      <c r="EL2" s="211"/>
      <c r="EM2" s="211"/>
      <c r="EN2" s="211"/>
      <c r="EO2" s="211"/>
      <c r="EP2" s="210"/>
      <c r="EQ2" s="211"/>
      <c r="ER2" s="211"/>
      <c r="ES2" s="211"/>
      <c r="ET2" s="211"/>
      <c r="EU2" s="210"/>
      <c r="EV2" s="211"/>
      <c r="EW2" s="211"/>
      <c r="EX2" s="211"/>
      <c r="EY2" s="211"/>
      <c r="EZ2" s="477"/>
      <c r="FA2" s="210"/>
      <c r="FB2" s="210"/>
      <c r="FC2" s="211"/>
      <c r="FD2" s="211"/>
      <c r="FE2" s="211"/>
      <c r="FF2" s="211"/>
      <c r="FG2" s="481"/>
      <c r="FH2" s="174"/>
      <c r="FI2" s="175"/>
      <c r="FJ2" s="175"/>
      <c r="FK2" s="175"/>
      <c r="FL2" s="175"/>
      <c r="FM2" s="175"/>
      <c r="FO2" s="175"/>
      <c r="FQ2" s="175"/>
      <c r="FR2" s="175"/>
      <c r="FT2" s="175"/>
      <c r="FU2" s="175"/>
      <c r="FV2" s="483"/>
      <c r="GB2" s="475"/>
      <c r="GC2" s="454"/>
      <c r="GD2" s="455"/>
      <c r="GE2" s="455"/>
      <c r="GF2" s="455"/>
      <c r="GG2" s="455"/>
      <c r="GH2" s="455"/>
    </row>
    <row r="3" spans="1:196" ht="22.5" customHeight="1" x14ac:dyDescent="0.3">
      <c r="A3" s="463" t="s">
        <v>7549</v>
      </c>
      <c r="B3" s="156"/>
      <c r="C3" s="136"/>
      <c r="D3" s="137"/>
      <c r="E3" s="160"/>
      <c r="F3" s="160"/>
      <c r="G3" s="160"/>
      <c r="H3" s="217"/>
      <c r="I3" s="218"/>
      <c r="J3" s="218"/>
      <c r="K3" s="218"/>
      <c r="L3" s="219" t="s">
        <v>2591</v>
      </c>
      <c r="M3" s="491">
        <f>COUNTIF(CA8:CA20,"nicht als gefährlich eingestuft")</f>
        <v>0</v>
      </c>
      <c r="N3" s="492"/>
      <c r="Q3" s="141"/>
      <c r="R3" s="141"/>
      <c r="S3" s="139"/>
      <c r="T3" s="142"/>
      <c r="U3" s="488"/>
      <c r="V3" s="139"/>
      <c r="W3" s="298"/>
      <c r="X3" s="499"/>
      <c r="Y3" s="501"/>
      <c r="Z3" s="499"/>
      <c r="AA3" s="501"/>
      <c r="AB3" s="499"/>
      <c r="AC3" s="501"/>
      <c r="AD3" s="499"/>
      <c r="AE3" s="501"/>
      <c r="AF3" s="499"/>
      <c r="AG3" s="298"/>
      <c r="AH3" s="298"/>
      <c r="AI3" s="140"/>
      <c r="AJ3" s="140"/>
      <c r="AK3" s="140"/>
      <c r="AL3" s="140"/>
      <c r="AM3" s="139"/>
      <c r="AN3" s="139"/>
      <c r="AO3" s="498"/>
      <c r="AP3" s="298"/>
      <c r="AQ3" s="139"/>
      <c r="AR3" s="139"/>
      <c r="AS3" s="139"/>
      <c r="AT3" s="139"/>
      <c r="AU3" s="139"/>
      <c r="AV3" s="139"/>
      <c r="AW3" s="139"/>
      <c r="AX3" s="139"/>
      <c r="AY3" s="139"/>
      <c r="AZ3" s="139"/>
      <c r="BA3" s="139"/>
      <c r="BB3" s="139"/>
      <c r="BC3" s="139"/>
      <c r="BD3" s="139"/>
      <c r="BE3" s="139"/>
      <c r="BF3" s="139"/>
      <c r="BG3" s="139"/>
      <c r="BH3" s="139"/>
      <c r="BI3" s="139"/>
      <c r="BJ3" s="139"/>
      <c r="BK3" s="139"/>
      <c r="BL3" s="139"/>
      <c r="BM3" s="139"/>
      <c r="BN3" s="139"/>
      <c r="BO3" s="139"/>
      <c r="BP3" s="139"/>
      <c r="BQ3" s="139"/>
      <c r="BR3" s="139"/>
      <c r="BS3" s="139"/>
      <c r="BT3" s="139"/>
      <c r="BU3" s="139"/>
      <c r="BV3" s="139"/>
      <c r="BW3" s="139"/>
      <c r="BX3" s="139"/>
      <c r="BY3" s="313"/>
      <c r="BZ3" s="473"/>
      <c r="CA3" s="298"/>
      <c r="CB3" s="139"/>
      <c r="CC3" s="139"/>
      <c r="CD3" s="139"/>
      <c r="CE3" s="139"/>
      <c r="CF3" s="139"/>
      <c r="CG3" s="139"/>
      <c r="CH3" s="139"/>
      <c r="CI3" s="139"/>
      <c r="CJ3" s="139"/>
      <c r="CK3" s="139"/>
      <c r="CL3" s="139"/>
      <c r="CM3" s="139"/>
      <c r="CN3" s="139"/>
      <c r="CO3" s="139"/>
      <c r="CP3" s="139"/>
      <c r="CQ3" s="139"/>
      <c r="CR3" s="139"/>
      <c r="CS3" s="139"/>
      <c r="CT3" s="471"/>
      <c r="CU3" s="139"/>
      <c r="CV3" s="139"/>
      <c r="CW3" s="140"/>
      <c r="CX3" s="140"/>
      <c r="CY3" s="140"/>
      <c r="CZ3" s="140"/>
      <c r="DA3" s="140"/>
      <c r="DB3" s="140"/>
      <c r="DC3" s="140"/>
      <c r="DD3" s="140"/>
      <c r="DE3" s="469"/>
      <c r="DF3" s="2"/>
      <c r="DG3" s="2"/>
      <c r="DH3" s="2"/>
      <c r="DI3" s="2"/>
      <c r="DJ3" s="2"/>
      <c r="DK3" s="2"/>
      <c r="DL3" s="2"/>
      <c r="DM3" s="2"/>
      <c r="DN3" s="2"/>
      <c r="DO3" s="484"/>
      <c r="DQ3" s="138"/>
      <c r="DR3" s="138"/>
      <c r="DS3" s="138"/>
      <c r="DT3" s="138"/>
      <c r="DU3" s="138"/>
      <c r="DV3" s="138"/>
      <c r="DW3" s="138"/>
      <c r="DX3" s="138"/>
      <c r="DY3" s="138"/>
      <c r="DZ3" s="467"/>
      <c r="EA3" s="146"/>
      <c r="EB3" s="2"/>
      <c r="EC3" s="2"/>
      <c r="ED3" s="146"/>
      <c r="EE3" s="479"/>
      <c r="EF3" s="211"/>
      <c r="EG3" s="211"/>
      <c r="EH3" s="211"/>
      <c r="EI3" s="211"/>
      <c r="EJ3" s="211"/>
      <c r="EK3" s="210"/>
      <c r="EL3" s="211"/>
      <c r="EM3" s="211"/>
      <c r="EN3" s="211"/>
      <c r="EO3" s="211"/>
      <c r="EP3" s="210"/>
      <c r="EQ3" s="211"/>
      <c r="ER3" s="211"/>
      <c r="ES3" s="211"/>
      <c r="ET3" s="211"/>
      <c r="EU3" s="210"/>
      <c r="EV3" s="211"/>
      <c r="EW3" s="211"/>
      <c r="EX3" s="211"/>
      <c r="EY3" s="211"/>
      <c r="EZ3" s="477"/>
      <c r="FA3" s="210"/>
      <c r="FB3" s="210"/>
      <c r="FC3" s="211"/>
      <c r="FD3" s="211"/>
      <c r="FE3" s="211"/>
      <c r="FF3" s="211"/>
      <c r="FG3" s="481"/>
      <c r="FH3" s="174"/>
      <c r="FI3" s="175"/>
      <c r="FJ3" s="175"/>
      <c r="FK3" s="175"/>
      <c r="FL3" s="175"/>
      <c r="FM3" s="175"/>
      <c r="FO3" s="175"/>
      <c r="FQ3" s="175"/>
      <c r="FR3" s="175"/>
      <c r="FT3" s="175"/>
      <c r="FU3" s="175"/>
      <c r="FV3" s="483"/>
      <c r="GB3" s="475"/>
      <c r="GD3" s="455"/>
      <c r="GE3" s="455"/>
      <c r="GF3" s="455"/>
      <c r="GG3" s="455"/>
      <c r="GH3" s="455"/>
      <c r="GI3" s="455"/>
      <c r="GJ3" s="455"/>
      <c r="GK3" s="455"/>
      <c r="GL3" s="455"/>
      <c r="GM3" s="455"/>
      <c r="GN3" s="455"/>
    </row>
    <row r="4" spans="1:196" ht="22.5" customHeight="1" x14ac:dyDescent="0.3">
      <c r="A4" s="423" t="s">
        <v>7550</v>
      </c>
      <c r="B4" s="156"/>
      <c r="C4" s="224"/>
      <c r="D4" s="160"/>
      <c r="E4" s="160"/>
      <c r="F4" s="160"/>
      <c r="G4" s="160"/>
      <c r="H4" s="220"/>
      <c r="I4" s="221"/>
      <c r="J4" s="221"/>
      <c r="K4" s="221"/>
      <c r="L4" s="222" t="s">
        <v>2592</v>
      </c>
      <c r="M4" s="493">
        <f>M2+M3</f>
        <v>1</v>
      </c>
      <c r="N4" s="494"/>
      <c r="Q4" s="141"/>
      <c r="R4" s="141"/>
      <c r="S4" s="139"/>
      <c r="T4" s="142"/>
      <c r="U4" s="488"/>
      <c r="V4" s="139"/>
      <c r="W4" s="298"/>
      <c r="X4" s="499"/>
      <c r="Y4" s="501"/>
      <c r="Z4" s="499"/>
      <c r="AA4" s="501"/>
      <c r="AB4" s="499"/>
      <c r="AC4" s="501"/>
      <c r="AD4" s="499"/>
      <c r="AE4" s="501"/>
      <c r="AF4" s="499"/>
      <c r="AG4" s="298"/>
      <c r="AH4" s="297"/>
      <c r="AI4" s="140"/>
      <c r="AJ4" s="140"/>
      <c r="AK4" s="140"/>
      <c r="AL4" s="140"/>
      <c r="AM4" s="139"/>
      <c r="AN4" s="139"/>
      <c r="AO4" s="498"/>
      <c r="AP4" s="298"/>
      <c r="AQ4" s="139"/>
      <c r="AR4" s="139"/>
      <c r="AS4" s="139"/>
      <c r="AT4" s="139"/>
      <c r="AU4" s="139"/>
      <c r="AV4" s="139"/>
      <c r="AW4" s="139"/>
      <c r="AX4" s="139"/>
      <c r="AY4" s="139"/>
      <c r="AZ4" s="139"/>
      <c r="BA4" s="139"/>
      <c r="BB4" s="139"/>
      <c r="BC4" s="139"/>
      <c r="BD4" s="139"/>
      <c r="BE4" s="139"/>
      <c r="BF4" s="139"/>
      <c r="BG4" s="139"/>
      <c r="BH4" s="139"/>
      <c r="BI4" s="139"/>
      <c r="BJ4" s="139"/>
      <c r="BK4" s="139"/>
      <c r="BL4" s="139"/>
      <c r="BM4" s="139"/>
      <c r="BN4" s="139"/>
      <c r="BO4" s="139"/>
      <c r="BP4" s="139"/>
      <c r="BQ4" s="139"/>
      <c r="BR4" s="139"/>
      <c r="BS4" s="139"/>
      <c r="BT4" s="139"/>
      <c r="BU4" s="139"/>
      <c r="BV4" s="139"/>
      <c r="BW4" s="139"/>
      <c r="BX4" s="139"/>
      <c r="BY4" s="139"/>
      <c r="BZ4" s="473"/>
      <c r="CA4" s="298"/>
      <c r="CB4" s="139"/>
      <c r="CC4" s="139"/>
      <c r="CD4" s="139"/>
      <c r="CE4" s="139"/>
      <c r="CF4" s="139"/>
      <c r="CG4" s="139"/>
      <c r="CH4" s="139"/>
      <c r="CI4" s="139"/>
      <c r="CJ4" s="139"/>
      <c r="CK4" s="139"/>
      <c r="CL4" s="139"/>
      <c r="CM4" s="139"/>
      <c r="CN4" s="139"/>
      <c r="CO4" s="139"/>
      <c r="CP4" s="139"/>
      <c r="CQ4" s="139"/>
      <c r="CR4" s="139"/>
      <c r="CS4" s="139"/>
      <c r="CT4" s="471"/>
      <c r="CU4" s="139"/>
      <c r="CV4" s="139"/>
      <c r="CW4" s="140"/>
      <c r="CX4" s="140"/>
      <c r="CY4" s="140"/>
      <c r="CZ4" s="140"/>
      <c r="DA4" s="140"/>
      <c r="DB4" s="140"/>
      <c r="DC4" s="140"/>
      <c r="DD4" s="140"/>
      <c r="DE4" s="469"/>
      <c r="DF4" s="2"/>
      <c r="DG4" s="2"/>
      <c r="DH4" s="2"/>
      <c r="DI4" s="2"/>
      <c r="DJ4" s="2"/>
      <c r="DK4" s="2"/>
      <c r="DL4" s="2"/>
      <c r="DM4" s="2"/>
      <c r="DN4" s="2"/>
      <c r="DO4" s="484"/>
      <c r="DP4" s="2"/>
      <c r="DQ4" s="139"/>
      <c r="DR4" s="140"/>
      <c r="DS4" s="140"/>
      <c r="DT4" s="140"/>
      <c r="DU4" s="140"/>
      <c r="DV4" s="140"/>
      <c r="DW4" s="140"/>
      <c r="DX4" s="140"/>
      <c r="DY4" s="140"/>
      <c r="DZ4" s="467"/>
      <c r="EA4" s="146"/>
      <c r="EB4" s="2"/>
      <c r="EC4" s="2"/>
      <c r="ED4" s="146"/>
      <c r="EE4" s="479"/>
      <c r="EF4" s="213"/>
      <c r="EG4" s="213"/>
      <c r="EH4" s="213"/>
      <c r="EI4" s="213"/>
      <c r="EJ4" s="213"/>
      <c r="EK4" s="212"/>
      <c r="EL4" s="213"/>
      <c r="EM4" s="213"/>
      <c r="EN4" s="213"/>
      <c r="EO4" s="213"/>
      <c r="EP4" s="212"/>
      <c r="EQ4" s="213"/>
      <c r="ER4" s="213"/>
      <c r="ES4" s="213"/>
      <c r="ET4" s="213"/>
      <c r="EU4" s="212"/>
      <c r="EV4" s="213"/>
      <c r="EW4" s="213"/>
      <c r="EX4" s="213"/>
      <c r="EY4" s="213"/>
      <c r="EZ4" s="477"/>
      <c r="FA4" s="212"/>
      <c r="FB4" s="212"/>
      <c r="FC4" s="213"/>
      <c r="FD4" s="213"/>
      <c r="FE4" s="213"/>
      <c r="FF4" s="213"/>
      <c r="FG4" s="481"/>
      <c r="FH4" s="174"/>
      <c r="FI4" s="175"/>
      <c r="FJ4" s="175"/>
      <c r="FK4" s="175"/>
      <c r="FL4" s="175"/>
      <c r="FM4" s="175"/>
      <c r="FO4" s="175"/>
      <c r="FQ4" s="175"/>
      <c r="FR4" s="175"/>
      <c r="FT4" s="175"/>
      <c r="FU4" s="175"/>
      <c r="FV4" s="483"/>
      <c r="GB4" s="475"/>
      <c r="GD4" s="455"/>
      <c r="GE4" s="455"/>
      <c r="GF4" s="455"/>
      <c r="GG4" s="455"/>
      <c r="GH4" s="455"/>
      <c r="GI4" s="455"/>
      <c r="GJ4" s="455"/>
      <c r="GK4" s="455"/>
      <c r="GL4" s="455"/>
      <c r="GM4" s="455"/>
      <c r="GN4" s="455"/>
    </row>
    <row r="5" spans="1:196" ht="15" customHeight="1" x14ac:dyDescent="0.3">
      <c r="A5" s="171"/>
      <c r="B5" s="156"/>
      <c r="C5" s="136"/>
      <c r="D5" s="223"/>
      <c r="E5" s="160"/>
      <c r="F5" s="160"/>
      <c r="G5" s="160"/>
      <c r="H5" s="3"/>
      <c r="I5" s="3"/>
      <c r="Q5" s="141"/>
      <c r="R5" s="141"/>
      <c r="S5" s="139"/>
      <c r="T5" s="142"/>
      <c r="U5" s="488"/>
      <c r="V5" s="139"/>
      <c r="W5" s="298"/>
      <c r="X5" s="499"/>
      <c r="Y5" s="501"/>
      <c r="Z5" s="499"/>
      <c r="AA5" s="501"/>
      <c r="AB5" s="499"/>
      <c r="AC5" s="501"/>
      <c r="AD5" s="499"/>
      <c r="AE5" s="501"/>
      <c r="AF5" s="499"/>
      <c r="AG5" s="298"/>
      <c r="AH5" s="298"/>
      <c r="AI5" s="140"/>
      <c r="AJ5" s="140"/>
      <c r="AK5" s="140"/>
      <c r="AL5" s="140"/>
      <c r="AM5" s="139"/>
      <c r="AN5" s="139"/>
      <c r="AO5" s="498"/>
      <c r="AP5" s="298"/>
      <c r="AQ5" s="139"/>
      <c r="AR5" s="139"/>
      <c r="AS5" s="139"/>
      <c r="AT5" s="139"/>
      <c r="AU5" s="139"/>
      <c r="AV5" s="139"/>
      <c r="AW5" s="139"/>
      <c r="AX5" s="139"/>
      <c r="AY5" s="139"/>
      <c r="AZ5" s="139"/>
      <c r="BA5" s="139"/>
      <c r="BB5" s="139"/>
      <c r="BC5" s="139"/>
      <c r="BD5" s="139"/>
      <c r="BE5" s="139"/>
      <c r="BF5" s="139"/>
      <c r="BG5" s="139"/>
      <c r="BH5" s="139"/>
      <c r="BI5" s="139"/>
      <c r="BJ5" s="139"/>
      <c r="BK5" s="139"/>
      <c r="BL5" s="139"/>
      <c r="BM5" s="139"/>
      <c r="BN5" s="139"/>
      <c r="BO5" s="139"/>
      <c r="BP5" s="139"/>
      <c r="BQ5" s="139"/>
      <c r="BR5" s="139"/>
      <c r="BS5" s="139"/>
      <c r="BT5" s="139"/>
      <c r="BU5" s="139"/>
      <c r="BV5" s="139"/>
      <c r="BW5" s="139"/>
      <c r="BX5" s="139"/>
      <c r="BY5" s="139"/>
      <c r="BZ5" s="473"/>
      <c r="CA5" s="298"/>
      <c r="CB5" s="139"/>
      <c r="CC5" s="139"/>
      <c r="CD5" s="139"/>
      <c r="CE5" s="139"/>
      <c r="CF5" s="139"/>
      <c r="CG5" s="139"/>
      <c r="CH5" s="139"/>
      <c r="CI5" s="139"/>
      <c r="CJ5" s="139"/>
      <c r="CK5" s="139"/>
      <c r="CL5" s="139"/>
      <c r="CM5" s="139"/>
      <c r="CN5" s="139"/>
      <c r="CO5" s="139"/>
      <c r="CP5" s="139"/>
      <c r="CQ5" s="139"/>
      <c r="CR5" s="139"/>
      <c r="CS5" s="139"/>
      <c r="CT5" s="471"/>
      <c r="CU5" s="139"/>
      <c r="CV5" s="139"/>
      <c r="CW5" s="140"/>
      <c r="CX5" s="140"/>
      <c r="CY5" s="140"/>
      <c r="CZ5" s="140"/>
      <c r="DA5" s="140"/>
      <c r="DB5" s="140"/>
      <c r="DC5" s="140"/>
      <c r="DD5" s="140"/>
      <c r="DE5" s="469"/>
      <c r="DF5" s="2"/>
      <c r="DG5" s="2"/>
      <c r="DH5" s="2"/>
      <c r="DI5" s="2"/>
      <c r="DJ5" s="2"/>
      <c r="DK5" s="2"/>
      <c r="DL5" s="2"/>
      <c r="DM5" s="2"/>
      <c r="DN5" s="2"/>
      <c r="DO5" s="484"/>
      <c r="DP5" s="2"/>
      <c r="DQ5" s="140"/>
      <c r="DR5" s="140"/>
      <c r="DS5" s="140"/>
      <c r="DT5" s="140"/>
      <c r="DU5" s="140"/>
      <c r="DV5" s="140"/>
      <c r="DW5" s="140"/>
      <c r="DX5" s="140"/>
      <c r="DY5" s="140"/>
      <c r="DZ5" s="467"/>
      <c r="EA5" s="146"/>
      <c r="EB5" s="2"/>
      <c r="EC5" s="2"/>
      <c r="ED5" s="146"/>
      <c r="EE5" s="479"/>
      <c r="EF5" s="213"/>
      <c r="EG5" s="213"/>
      <c r="EI5" s="419"/>
      <c r="EJ5" s="213"/>
      <c r="EK5" s="212"/>
      <c r="EL5" s="213"/>
      <c r="EM5" s="213"/>
      <c r="EN5" s="213"/>
      <c r="EO5" s="213"/>
      <c r="EP5" s="212"/>
      <c r="EQ5" s="213"/>
      <c r="ER5" s="213"/>
      <c r="ES5" s="213"/>
      <c r="ET5" s="213"/>
      <c r="EU5" s="212"/>
      <c r="EV5" s="213"/>
      <c r="EW5" s="213"/>
      <c r="EX5" s="213"/>
      <c r="EY5" s="213"/>
      <c r="EZ5" s="477"/>
      <c r="FA5" s="212"/>
      <c r="FB5" s="212"/>
      <c r="FC5" s="213"/>
      <c r="FD5" s="213"/>
      <c r="FE5" s="427"/>
      <c r="FF5" s="213"/>
      <c r="FG5" s="481"/>
      <c r="FH5" s="174"/>
      <c r="FI5" s="175"/>
      <c r="FJ5" s="175"/>
      <c r="FK5" s="175"/>
      <c r="FL5" s="175"/>
      <c r="FM5" s="175"/>
      <c r="FO5" s="175"/>
      <c r="FQ5" s="175"/>
      <c r="FR5" s="175"/>
      <c r="FT5" s="175"/>
      <c r="FU5" s="175"/>
      <c r="FV5" s="483"/>
      <c r="GB5" s="475"/>
      <c r="GC5" s="456" t="s">
        <v>7501</v>
      </c>
      <c r="GD5" s="456"/>
    </row>
    <row r="6" spans="1:196" ht="22.5" customHeight="1" x14ac:dyDescent="0.3">
      <c r="A6" s="341" t="s">
        <v>191</v>
      </c>
      <c r="B6" s="230"/>
      <c r="C6" s="230"/>
      <c r="D6" s="230"/>
      <c r="E6" s="230"/>
      <c r="F6" s="230"/>
      <c r="G6" s="230"/>
      <c r="H6" s="230"/>
      <c r="I6" s="230"/>
      <c r="J6" s="230"/>
      <c r="K6" s="230"/>
      <c r="L6" s="230"/>
      <c r="M6" s="230"/>
      <c r="N6" s="230"/>
      <c r="O6" s="230"/>
      <c r="P6" s="230"/>
      <c r="Q6" s="230"/>
      <c r="R6" s="230"/>
      <c r="S6" s="230"/>
      <c r="T6" s="230"/>
      <c r="U6" s="488"/>
      <c r="V6" s="438" t="s">
        <v>7528</v>
      </c>
      <c r="W6" s="299"/>
      <c r="X6" s="499"/>
      <c r="Y6" s="501"/>
      <c r="Z6" s="499"/>
      <c r="AA6" s="501"/>
      <c r="AB6" s="499"/>
      <c r="AC6" s="501"/>
      <c r="AD6" s="499"/>
      <c r="AE6" s="501"/>
      <c r="AF6" s="499"/>
      <c r="AG6" s="299"/>
      <c r="AH6" s="299"/>
      <c r="AI6" s="438" t="s">
        <v>7493</v>
      </c>
      <c r="AJ6" s="438" t="s">
        <v>7493</v>
      </c>
      <c r="AK6" s="438"/>
      <c r="AL6" s="226"/>
      <c r="AM6" s="438" t="s">
        <v>7493</v>
      </c>
      <c r="AN6" s="227"/>
      <c r="AO6" s="498"/>
      <c r="AP6" s="233" t="s">
        <v>7282</v>
      </c>
      <c r="AQ6" s="227"/>
      <c r="AR6" s="227"/>
      <c r="AS6" s="227"/>
      <c r="AT6" s="227"/>
      <c r="AU6" s="227"/>
      <c r="AV6" s="227"/>
      <c r="AW6" s="438" t="s">
        <v>7493</v>
      </c>
      <c r="AX6" s="229" t="s">
        <v>7352</v>
      </c>
      <c r="AY6" s="233"/>
      <c r="AZ6" s="233"/>
      <c r="BA6" s="233"/>
      <c r="BB6" s="233"/>
      <c r="BC6" s="233"/>
      <c r="BD6" s="233"/>
      <c r="BE6" s="233"/>
      <c r="BF6" s="233"/>
      <c r="BG6" s="233"/>
      <c r="BH6" s="233"/>
      <c r="BI6" s="233"/>
      <c r="BJ6" s="233"/>
      <c r="BK6" s="233"/>
      <c r="BL6" s="233"/>
      <c r="BM6" s="233"/>
      <c r="BN6" s="233"/>
      <c r="BO6" s="233"/>
      <c r="BP6" s="233"/>
      <c r="BQ6" s="233"/>
      <c r="BR6" s="233"/>
      <c r="BS6" s="233"/>
      <c r="BT6" s="233"/>
      <c r="BU6" s="233"/>
      <c r="BV6" s="233"/>
      <c r="BW6" s="233"/>
      <c r="BX6" s="233"/>
      <c r="BY6" s="227"/>
      <c r="BZ6" s="473"/>
      <c r="CA6" s="229" t="s">
        <v>168</v>
      </c>
      <c r="CB6" s="231"/>
      <c r="CC6" s="231"/>
      <c r="CD6" s="231"/>
      <c r="CE6" s="231"/>
      <c r="CF6" s="231"/>
      <c r="CG6" s="231"/>
      <c r="CH6" s="231"/>
      <c r="CI6" s="231"/>
      <c r="CJ6" s="231"/>
      <c r="CK6" s="231"/>
      <c r="CL6" s="231"/>
      <c r="CM6" s="231"/>
      <c r="CN6" s="231"/>
      <c r="CO6" s="231"/>
      <c r="CP6" s="438" t="s">
        <v>7493</v>
      </c>
      <c r="CQ6" s="230"/>
      <c r="CR6" s="227"/>
      <c r="CS6" s="438"/>
      <c r="CT6" s="471"/>
      <c r="CU6" s="229" t="s">
        <v>7406</v>
      </c>
      <c r="CV6" s="233"/>
      <c r="CW6" s="233"/>
      <c r="CX6" s="233"/>
      <c r="CY6" s="233"/>
      <c r="CZ6" s="233"/>
      <c r="DA6" s="233"/>
      <c r="DB6" s="233"/>
      <c r="DC6" s="233"/>
      <c r="DD6" s="234"/>
      <c r="DE6" s="469"/>
      <c r="DF6" s="341" t="s">
        <v>7407</v>
      </c>
      <c r="DG6" s="232"/>
      <c r="DH6" s="232"/>
      <c r="DI6" s="232"/>
      <c r="DJ6" s="232"/>
      <c r="DK6" s="232"/>
      <c r="DL6" s="232"/>
      <c r="DM6" s="232"/>
      <c r="DN6" s="232"/>
      <c r="DO6" s="484"/>
      <c r="DP6" s="343" t="s">
        <v>7443</v>
      </c>
      <c r="DQ6" s="231"/>
      <c r="DR6" s="231"/>
      <c r="DS6" s="231"/>
      <c r="DT6" s="231"/>
      <c r="DU6" s="231"/>
      <c r="DV6" s="231"/>
      <c r="DW6" s="231"/>
      <c r="DX6" s="231"/>
      <c r="DY6" s="319"/>
      <c r="DZ6" s="467"/>
      <c r="EA6" s="342" t="s">
        <v>7525</v>
      </c>
      <c r="EB6" s="392"/>
      <c r="EC6" s="392"/>
      <c r="ED6" s="393"/>
      <c r="EE6" s="479"/>
      <c r="EF6" s="342" t="s">
        <v>7481</v>
      </c>
      <c r="EG6" s="402"/>
      <c r="EH6" s="402"/>
      <c r="EI6" s="402"/>
      <c r="EJ6" s="402"/>
      <c r="EK6" s="392"/>
      <c r="EL6" s="236"/>
      <c r="EM6" s="236"/>
      <c r="EN6" s="236"/>
      <c r="EO6" s="236"/>
      <c r="EP6" s="236"/>
      <c r="EQ6" s="236"/>
      <c r="ER6" s="236"/>
      <c r="ES6" s="236"/>
      <c r="ET6" s="236"/>
      <c r="EU6" s="236"/>
      <c r="EV6" s="236"/>
      <c r="EW6" s="236"/>
      <c r="EX6" s="236"/>
      <c r="EY6" s="237"/>
      <c r="EZ6" s="477"/>
      <c r="FA6" s="342" t="s">
        <v>846</v>
      </c>
      <c r="FB6" s="236"/>
      <c r="FC6" s="236"/>
      <c r="FD6" s="236"/>
      <c r="FE6" s="438" t="s">
        <v>7493</v>
      </c>
      <c r="FF6" s="237"/>
      <c r="FG6" s="481"/>
      <c r="FH6" s="342" t="s">
        <v>7403</v>
      </c>
      <c r="FI6" s="235"/>
      <c r="FJ6" s="438" t="s">
        <v>7493</v>
      </c>
      <c r="FK6" s="438" t="s">
        <v>7493</v>
      </c>
      <c r="FL6" s="438" t="s">
        <v>7493</v>
      </c>
      <c r="FM6" s="438" t="s">
        <v>7493</v>
      </c>
      <c r="FN6" s="235"/>
      <c r="FO6" s="235"/>
      <c r="FP6" s="235"/>
      <c r="FQ6" s="235"/>
      <c r="FR6" s="438" t="s">
        <v>7493</v>
      </c>
      <c r="FS6" s="235"/>
      <c r="FT6" s="235"/>
      <c r="FU6" s="438" t="s">
        <v>7493</v>
      </c>
      <c r="FV6" s="483"/>
      <c r="FW6" s="341" t="s">
        <v>7269</v>
      </c>
      <c r="FX6" s="230"/>
      <c r="FY6" s="230"/>
      <c r="FZ6" s="230"/>
      <c r="GA6" s="336"/>
      <c r="GB6" s="475"/>
      <c r="GC6" s="457" t="s">
        <v>7526</v>
      </c>
      <c r="GD6" s="235"/>
      <c r="GE6" s="235"/>
      <c r="GF6" s="235"/>
      <c r="GG6" s="235"/>
      <c r="GH6" s="235"/>
      <c r="GI6" s="235"/>
      <c r="GJ6" s="235"/>
      <c r="GK6" s="235"/>
      <c r="GL6" s="235"/>
      <c r="GM6" s="235"/>
      <c r="GN6" s="458"/>
    </row>
    <row r="7" spans="1:196" s="10" customFormat="1" ht="41.25" customHeight="1" x14ac:dyDescent="0.3">
      <c r="A7" s="25" t="s">
        <v>826</v>
      </c>
      <c r="B7" s="25" t="s">
        <v>461</v>
      </c>
      <c r="C7" s="25" t="s">
        <v>2</v>
      </c>
      <c r="D7" s="485" t="s">
        <v>815</v>
      </c>
      <c r="E7" s="486"/>
      <c r="F7" s="485" t="s">
        <v>814</v>
      </c>
      <c r="G7" s="486"/>
      <c r="H7" s="112"/>
      <c r="I7" s="112"/>
      <c r="J7" s="112"/>
      <c r="K7" s="112"/>
      <c r="L7" s="112"/>
      <c r="M7" s="112"/>
      <c r="N7" s="112"/>
      <c r="O7" s="112"/>
      <c r="P7" s="112"/>
      <c r="Q7" s="165" t="s">
        <v>111</v>
      </c>
      <c r="R7" s="165" t="s">
        <v>795</v>
      </c>
      <c r="S7" s="164" t="s">
        <v>1</v>
      </c>
      <c r="T7" s="113" t="s">
        <v>30</v>
      </c>
      <c r="U7" s="19" t="s">
        <v>170</v>
      </c>
      <c r="V7" s="464" t="s">
        <v>7527</v>
      </c>
      <c r="W7" s="228" t="s">
        <v>7424</v>
      </c>
      <c r="X7" s="500"/>
      <c r="Y7" s="502"/>
      <c r="Z7" s="500"/>
      <c r="AA7" s="502"/>
      <c r="AB7" s="500"/>
      <c r="AC7" s="502"/>
      <c r="AD7" s="500"/>
      <c r="AE7" s="502"/>
      <c r="AF7" s="500"/>
      <c r="AG7" s="347" t="s">
        <v>7278</v>
      </c>
      <c r="AH7" s="347" t="s">
        <v>7419</v>
      </c>
      <c r="AI7" s="301" t="s">
        <v>7420</v>
      </c>
      <c r="AJ7" s="301" t="s">
        <v>7524</v>
      </c>
      <c r="AK7" s="301" t="s">
        <v>7500</v>
      </c>
      <c r="AL7" s="301" t="s">
        <v>7499</v>
      </c>
      <c r="AM7" s="495" t="s">
        <v>7276</v>
      </c>
      <c r="AN7" s="496"/>
      <c r="AO7" s="294" t="s">
        <v>170</v>
      </c>
      <c r="AP7" s="406" t="s">
        <v>0</v>
      </c>
      <c r="AQ7" s="293" t="s">
        <v>460</v>
      </c>
      <c r="AR7" s="293" t="s">
        <v>7432</v>
      </c>
      <c r="AS7" s="293" t="s">
        <v>2658</v>
      </c>
      <c r="AT7" s="293" t="s">
        <v>2657</v>
      </c>
      <c r="AU7" s="293" t="s">
        <v>7322</v>
      </c>
      <c r="AV7" s="293" t="s">
        <v>7430</v>
      </c>
      <c r="AW7" s="293" t="s">
        <v>7404</v>
      </c>
      <c r="AX7" s="340" t="s">
        <v>419</v>
      </c>
      <c r="AY7" s="394" t="s">
        <v>7326</v>
      </c>
      <c r="AZ7" s="394" t="s">
        <v>7327</v>
      </c>
      <c r="BA7" s="394" t="s">
        <v>7328</v>
      </c>
      <c r="BB7" s="394" t="s">
        <v>7329</v>
      </c>
      <c r="BC7" s="394" t="s">
        <v>7330</v>
      </c>
      <c r="BD7" s="394" t="s">
        <v>7331</v>
      </c>
      <c r="BE7" s="394" t="s">
        <v>7332</v>
      </c>
      <c r="BF7" s="394" t="s">
        <v>7333</v>
      </c>
      <c r="BG7" s="394" t="s">
        <v>7334</v>
      </c>
      <c r="BH7" s="394" t="s">
        <v>7335</v>
      </c>
      <c r="BI7" s="394" t="s">
        <v>7336</v>
      </c>
      <c r="BJ7" s="394" t="s">
        <v>7337</v>
      </c>
      <c r="BK7" s="394" t="s">
        <v>7338</v>
      </c>
      <c r="BL7" s="394" t="s">
        <v>7339</v>
      </c>
      <c r="BM7" s="394" t="s">
        <v>7340</v>
      </c>
      <c r="BN7" s="394" t="s">
        <v>7341</v>
      </c>
      <c r="BO7" s="394" t="s">
        <v>7342</v>
      </c>
      <c r="BP7" s="394" t="s">
        <v>7343</v>
      </c>
      <c r="BQ7" s="394" t="s">
        <v>7344</v>
      </c>
      <c r="BR7" s="394" t="s">
        <v>7345</v>
      </c>
      <c r="BS7" s="424" t="s">
        <v>7346</v>
      </c>
      <c r="BT7" s="394" t="s">
        <v>7347</v>
      </c>
      <c r="BU7" s="394" t="s">
        <v>7348</v>
      </c>
      <c r="BV7" s="394" t="s">
        <v>7349</v>
      </c>
      <c r="BW7" s="394" t="s">
        <v>7350</v>
      </c>
      <c r="BX7" s="394" t="s">
        <v>7351</v>
      </c>
      <c r="BY7" s="292" t="s">
        <v>7323</v>
      </c>
      <c r="BZ7" s="20" t="s">
        <v>170</v>
      </c>
      <c r="CA7" s="422" t="s">
        <v>7483</v>
      </c>
      <c r="CB7" s="21" t="s">
        <v>291</v>
      </c>
      <c r="CC7" s="21" t="s">
        <v>292</v>
      </c>
      <c r="CD7" s="21" t="s">
        <v>293</v>
      </c>
      <c r="CE7" s="21" t="s">
        <v>193</v>
      </c>
      <c r="CF7" s="163" t="s">
        <v>790</v>
      </c>
      <c r="CG7" s="163" t="s">
        <v>791</v>
      </c>
      <c r="CH7" s="163" t="s">
        <v>792</v>
      </c>
      <c r="CI7" s="163" t="s">
        <v>793</v>
      </c>
      <c r="CJ7" s="163" t="s">
        <v>794</v>
      </c>
      <c r="CK7" s="21" t="s">
        <v>7421</v>
      </c>
      <c r="CL7" s="21" t="s">
        <v>171</v>
      </c>
      <c r="CM7" s="21" t="s">
        <v>244</v>
      </c>
      <c r="CN7" s="21" t="s">
        <v>173</v>
      </c>
      <c r="CO7" s="21" t="s">
        <v>172</v>
      </c>
      <c r="CP7" s="460" t="s">
        <v>7513</v>
      </c>
      <c r="CQ7" s="292" t="s">
        <v>7475</v>
      </c>
      <c r="CR7" s="293" t="s">
        <v>236</v>
      </c>
      <c r="CS7" s="293" t="s">
        <v>7324</v>
      </c>
      <c r="CT7" s="22" t="s">
        <v>170</v>
      </c>
      <c r="CU7" s="23" t="s">
        <v>103</v>
      </c>
      <c r="CV7" s="23" t="s">
        <v>236</v>
      </c>
      <c r="CW7" s="23" t="s">
        <v>7444</v>
      </c>
      <c r="CX7" s="23" t="s">
        <v>212</v>
      </c>
      <c r="CY7" s="23" t="s">
        <v>248</v>
      </c>
      <c r="CZ7" s="23" t="s">
        <v>167</v>
      </c>
      <c r="DA7" s="23" t="s">
        <v>249</v>
      </c>
      <c r="DB7" s="400" t="s">
        <v>166</v>
      </c>
      <c r="DC7" s="57" t="s">
        <v>217</v>
      </c>
      <c r="DD7" s="350" t="s">
        <v>7395</v>
      </c>
      <c r="DE7" s="24" t="s">
        <v>170</v>
      </c>
      <c r="DF7" s="9" t="s">
        <v>104</v>
      </c>
      <c r="DG7" s="9" t="s">
        <v>154</v>
      </c>
      <c r="DH7" s="9" t="s">
        <v>212</v>
      </c>
      <c r="DI7" s="9" t="s">
        <v>161</v>
      </c>
      <c r="DJ7" s="9" t="s">
        <v>212</v>
      </c>
      <c r="DK7" s="9" t="s">
        <v>213</v>
      </c>
      <c r="DL7" s="399" t="s">
        <v>166</v>
      </c>
      <c r="DM7" s="56" t="s">
        <v>217</v>
      </c>
      <c r="DN7" s="351" t="s">
        <v>7395</v>
      </c>
      <c r="DO7" s="320" t="s">
        <v>170</v>
      </c>
      <c r="DP7" s="321" t="s">
        <v>7288</v>
      </c>
      <c r="DQ7" s="322" t="s">
        <v>236</v>
      </c>
      <c r="DR7" s="322" t="s">
        <v>7444</v>
      </c>
      <c r="DS7" s="322" t="s">
        <v>212</v>
      </c>
      <c r="DT7" s="322" t="s">
        <v>248</v>
      </c>
      <c r="DU7" s="322" t="s">
        <v>167</v>
      </c>
      <c r="DV7" s="322" t="s">
        <v>249</v>
      </c>
      <c r="DW7" s="398" t="s">
        <v>166</v>
      </c>
      <c r="DX7" s="323" t="s">
        <v>217</v>
      </c>
      <c r="DY7" s="352" t="s">
        <v>7395</v>
      </c>
      <c r="DZ7" s="144" t="s">
        <v>170</v>
      </c>
      <c r="EA7" s="407" t="s">
        <v>7325</v>
      </c>
      <c r="EB7" s="143" t="s">
        <v>7433</v>
      </c>
      <c r="EC7" s="143" t="s">
        <v>7434</v>
      </c>
      <c r="ED7" s="391" t="s">
        <v>7401</v>
      </c>
      <c r="EE7" s="176" t="s">
        <v>170</v>
      </c>
      <c r="EF7" s="401" t="s">
        <v>7411</v>
      </c>
      <c r="EG7" s="401" t="s">
        <v>7497</v>
      </c>
      <c r="EH7" s="401" t="s">
        <v>7479</v>
      </c>
      <c r="EI7" s="435" t="s">
        <v>7480</v>
      </c>
      <c r="EJ7" s="436" t="s">
        <v>7412</v>
      </c>
      <c r="EK7" s="177" t="s">
        <v>848</v>
      </c>
      <c r="EL7" s="178" t="s">
        <v>849</v>
      </c>
      <c r="EM7" s="178" t="s">
        <v>850</v>
      </c>
      <c r="EN7" s="178" t="s">
        <v>851</v>
      </c>
      <c r="EO7" s="179" t="s">
        <v>852</v>
      </c>
      <c r="EP7" s="180" t="s">
        <v>853</v>
      </c>
      <c r="EQ7" s="181" t="s">
        <v>849</v>
      </c>
      <c r="ER7" s="181" t="s">
        <v>850</v>
      </c>
      <c r="ES7" s="181" t="s">
        <v>851</v>
      </c>
      <c r="ET7" s="181" t="s">
        <v>852</v>
      </c>
      <c r="EU7" s="182" t="s">
        <v>854</v>
      </c>
      <c r="EV7" s="178" t="s">
        <v>849</v>
      </c>
      <c r="EW7" s="178" t="s">
        <v>850</v>
      </c>
      <c r="EX7" s="178" t="s">
        <v>851</v>
      </c>
      <c r="EY7" s="178" t="s">
        <v>852</v>
      </c>
      <c r="EZ7" s="183" t="s">
        <v>170</v>
      </c>
      <c r="FA7" s="184" t="s">
        <v>855</v>
      </c>
      <c r="FB7" s="185" t="s">
        <v>856</v>
      </c>
      <c r="FC7" s="184" t="s">
        <v>857</v>
      </c>
      <c r="FD7" s="185" t="s">
        <v>858</v>
      </c>
      <c r="FE7" s="345" t="s">
        <v>7353</v>
      </c>
      <c r="FF7" s="346" t="s">
        <v>7354</v>
      </c>
      <c r="FG7" s="186" t="s">
        <v>170</v>
      </c>
      <c r="FH7" s="187" t="s">
        <v>859</v>
      </c>
      <c r="FI7" s="188" t="s">
        <v>860</v>
      </c>
      <c r="FJ7" s="189" t="s">
        <v>861</v>
      </c>
      <c r="FK7" s="188" t="s">
        <v>862</v>
      </c>
      <c r="FL7" s="188" t="s">
        <v>863</v>
      </c>
      <c r="FM7" s="188" t="s">
        <v>7402</v>
      </c>
      <c r="FN7" s="187" t="s">
        <v>864</v>
      </c>
      <c r="FO7" s="188" t="s">
        <v>860</v>
      </c>
      <c r="FP7" s="187" t="s">
        <v>865</v>
      </c>
      <c r="FQ7" s="188" t="s">
        <v>860</v>
      </c>
      <c r="FR7" s="188" t="s">
        <v>861</v>
      </c>
      <c r="FS7" s="187" t="s">
        <v>866</v>
      </c>
      <c r="FT7" s="188" t="s">
        <v>860</v>
      </c>
      <c r="FU7" s="188" t="s">
        <v>867</v>
      </c>
      <c r="FV7" s="286" t="s">
        <v>170</v>
      </c>
      <c r="FW7" s="288" t="s">
        <v>7270</v>
      </c>
      <c r="FX7" s="289" t="s">
        <v>2704</v>
      </c>
      <c r="FY7" s="289" t="s">
        <v>2705</v>
      </c>
      <c r="FZ7" s="288" t="s">
        <v>2706</v>
      </c>
      <c r="GA7" s="289" t="s">
        <v>7271</v>
      </c>
      <c r="GB7" s="144" t="s">
        <v>170</v>
      </c>
      <c r="GC7" s="391" t="s">
        <v>7502</v>
      </c>
      <c r="GD7" s="391" t="s">
        <v>7503</v>
      </c>
      <c r="GE7" s="391" t="s">
        <v>7504</v>
      </c>
      <c r="GF7" s="391" t="s">
        <v>7505</v>
      </c>
      <c r="GG7" s="391" t="s">
        <v>7506</v>
      </c>
      <c r="GH7" s="391" t="s">
        <v>7507</v>
      </c>
      <c r="GI7" s="391" t="s">
        <v>7508</v>
      </c>
      <c r="GJ7" s="391" t="s">
        <v>7509</v>
      </c>
      <c r="GK7" s="391" t="s">
        <v>7510</v>
      </c>
      <c r="GL7" s="391" t="s">
        <v>7511</v>
      </c>
      <c r="GM7" s="391" t="s">
        <v>7516</v>
      </c>
      <c r="GN7" s="391" t="s">
        <v>7517</v>
      </c>
    </row>
    <row r="8" spans="1:196" ht="30" customHeight="1" x14ac:dyDescent="0.3">
      <c r="A8" s="420" t="s">
        <v>827</v>
      </c>
      <c r="B8" s="102" t="s">
        <v>7552</v>
      </c>
      <c r="C8" s="102" t="s">
        <v>7551</v>
      </c>
      <c r="D8" s="15">
        <v>44732</v>
      </c>
      <c r="E8" s="157" t="str">
        <f>HYPERLINK(CONCATENATE("SDB\SDB_",A8,".pdf"),"2")</f>
        <v>2</v>
      </c>
      <c r="F8" s="418">
        <v>45714</v>
      </c>
      <c r="G8" s="157" t="str">
        <f>IF(AJ8&lt;&gt;"",HYPERLINK(CONCATENATE("BAG\",AJ8,".pdf"),"2"),HYPERLINK(CONCATENATE("BAG\BAG_",A8,".pdf"),"2"))</f>
        <v>2</v>
      </c>
      <c r="H8" s="169" t="str">
        <f t="shared" ref="H8:H20" si="0">IF(ISERROR(FIND("GHS 01",$CA8)),"","●")</f>
        <v/>
      </c>
      <c r="I8" s="169" t="str">
        <f>IF(ISERROR(FIND("GHS 02",$CA8)),"","●")</f>
        <v/>
      </c>
      <c r="J8" s="169" t="str">
        <f>IF(ISERROR(FIND("GHS 03",$CA8)),"","●")</f>
        <v/>
      </c>
      <c r="K8" s="169" t="str">
        <f>IF(ISERROR(FIND("GHS 04",$CA8)),"","●")</f>
        <v/>
      </c>
      <c r="L8" s="169" t="str">
        <f>IF(ISERROR(FIND("GHS 05",$CA8)),"","●")</f>
        <v>●</v>
      </c>
      <c r="M8" s="169" t="str">
        <f>IF(ISERROR(FIND("GHS 06",$CA8)),"","●")</f>
        <v/>
      </c>
      <c r="N8" s="169" t="str">
        <f>IF(ISERROR(FIND("GHS 07",$CA8)),"","●")</f>
        <v/>
      </c>
      <c r="O8" s="169" t="str">
        <f>IF(ISERROR(FIND("GHS 08",$CA8)),"","●")</f>
        <v/>
      </c>
      <c r="P8" s="169" t="str">
        <f>IF(ISERROR(FIND("GHS 09",$CA8)),"","●")</f>
        <v>●</v>
      </c>
      <c r="Q8" s="169" t="str">
        <f t="shared" ref="Q8:Q20" si="1">IF(ISERROR(FIND("Achtung",$CA8)),"","A")</f>
        <v/>
      </c>
      <c r="R8" s="169" t="str">
        <f t="shared" ref="R8:R20" si="2">IF(ISERROR(FIND("Gefahr",$CA8)),"","G")</f>
        <v>G</v>
      </c>
      <c r="S8" s="12">
        <v>1</v>
      </c>
      <c r="T8" s="12" t="s">
        <v>31</v>
      </c>
      <c r="U8" s="196"/>
      <c r="V8" s="465" t="str">
        <f>HYPERLINK(CONCATENATE("Bilder\",A8,".jpg"),"y")</f>
        <v>y</v>
      </c>
      <c r="W8" s="337" t="s">
        <v>7566</v>
      </c>
      <c r="X8" s="316"/>
      <c r="Y8" s="315"/>
      <c r="Z8" s="316"/>
      <c r="AA8" s="315"/>
      <c r="AB8" s="316"/>
      <c r="AC8" s="315"/>
      <c r="AD8" s="316"/>
      <c r="AE8" s="315"/>
      <c r="AF8" s="316"/>
      <c r="AG8" s="300" t="s">
        <v>7485</v>
      </c>
      <c r="AH8" s="404"/>
      <c r="AI8" s="13"/>
      <c r="AJ8" s="291"/>
      <c r="AK8" s="291"/>
      <c r="AL8" s="291"/>
      <c r="AM8" s="291"/>
      <c r="AN8" s="439" t="str">
        <f>HYPERLINK(CONCATENATE("TDB\TDB_",A8,".pdf"),"2")</f>
        <v>2</v>
      </c>
      <c r="AO8" s="295"/>
      <c r="AP8" s="300"/>
      <c r="AQ8" s="225" t="s">
        <v>798</v>
      </c>
      <c r="AR8" s="13">
        <v>500</v>
      </c>
      <c r="AS8" s="13" t="s">
        <v>499</v>
      </c>
      <c r="AT8" s="154"/>
      <c r="AU8" s="440">
        <f>IF(AS8="","",(IF(AS8="ml",(AR8/1000)*AT8,IF(AS8="Liter",AR8*AT8,IF(AS8="g",(AR8/1000)*AT8,IF(AS8="kg",AR8*AT8))))))</f>
        <v>0</v>
      </c>
      <c r="AV8" s="440" t="str">
        <f>IF(AS8="","",(IF(AS8="ml","Liter",IF(AS8="Liter","Liter",IF(AS8="g","kg",IF(AS8="kg","kg"))))))</f>
        <v>Liter</v>
      </c>
      <c r="AW8" s="405"/>
      <c r="AX8" s="339"/>
      <c r="AY8" s="441" t="str">
        <f>IFERROR(VLOOKUP($AX8,Zusammenlagerung!$A$3:$AA$28,2,FALSE),"")</f>
        <v/>
      </c>
      <c r="AZ8" s="441" t="str">
        <f>IFERROR(VLOOKUP($AX8,Zusammenlagerung!$A$3:$AA$28,3,FALSE),"")</f>
        <v/>
      </c>
      <c r="BA8" s="441" t="str">
        <f>IFERROR(VLOOKUP($AX8,Zusammenlagerung!$A$3:$AA$28,4,FALSE),"")</f>
        <v/>
      </c>
      <c r="BB8" s="441" t="str">
        <f>IFERROR(VLOOKUP($AX8,Zusammenlagerung!$A$3:$AA$28,5,FALSE),"")</f>
        <v/>
      </c>
      <c r="BC8" s="441" t="str">
        <f>IFERROR(VLOOKUP($AX8,Zusammenlagerung!$A$3:$AA$28,6,FALSE),"")</f>
        <v/>
      </c>
      <c r="BD8" s="441" t="str">
        <f>IFERROR(VLOOKUP($AX8,Zusammenlagerung!$A$3:$AA$28,7,FALSE),"")</f>
        <v/>
      </c>
      <c r="BE8" s="441" t="str">
        <f>IFERROR(VLOOKUP($AX8,Zusammenlagerung!$A$3:$AA$28,8,FALSE),"")</f>
        <v/>
      </c>
      <c r="BF8" s="441" t="str">
        <f>IFERROR(VLOOKUP($AX8,Zusammenlagerung!$A$3:$AA$28,9,FALSE),"")</f>
        <v/>
      </c>
      <c r="BG8" s="441" t="str">
        <f>IFERROR(VLOOKUP($AX8,Zusammenlagerung!$A$3:$AA$28,10,FALSE),"")</f>
        <v/>
      </c>
      <c r="BH8" s="441" t="str">
        <f>IFERROR(VLOOKUP($AX8,Zusammenlagerung!$A$3:$AA$28,11,FALSE),"")</f>
        <v/>
      </c>
      <c r="BI8" s="441" t="str">
        <f>IFERROR(VLOOKUP($AX8,Zusammenlagerung!$A$3:$AA$28,12,FALSE),"")</f>
        <v/>
      </c>
      <c r="BJ8" s="441" t="str">
        <f>IFERROR(VLOOKUP($AX8,Zusammenlagerung!$A$3:$AA$28,13,FALSE),"")</f>
        <v/>
      </c>
      <c r="BK8" s="441" t="str">
        <f>IFERROR(VLOOKUP($AX8,Zusammenlagerung!$A$3:$AA$28,14,FALSE),"")</f>
        <v/>
      </c>
      <c r="BL8" s="441" t="str">
        <f>IFERROR(VLOOKUP($AX8,Zusammenlagerung!$A$3:$AA$28,15,FALSE),"")</f>
        <v/>
      </c>
      <c r="BM8" s="441" t="str">
        <f>IFERROR(VLOOKUP($AX8,Zusammenlagerung!$A$3:$AA$28,16,FALSE),"")</f>
        <v/>
      </c>
      <c r="BN8" s="441" t="str">
        <f>IFERROR(VLOOKUP($AX8,Zusammenlagerung!$A$3:$AA$28,17,FALSE),"")</f>
        <v/>
      </c>
      <c r="BO8" s="441" t="str">
        <f>IFERROR(VLOOKUP($AX8,Zusammenlagerung!$A$3:$AA$28,18,FALSE),"")</f>
        <v/>
      </c>
      <c r="BP8" s="441" t="str">
        <f>IFERROR(VLOOKUP($AX8,Zusammenlagerung!$A$3:$AA$28,19,FALSE),"")</f>
        <v/>
      </c>
      <c r="BQ8" s="441" t="str">
        <f>IFERROR(VLOOKUP($AX8,Zusammenlagerung!$A$3:$AA$28,20,FALSE),"")</f>
        <v/>
      </c>
      <c r="BR8" s="441" t="str">
        <f>IFERROR(VLOOKUP($AX8,Zusammenlagerung!$A$3:$AA$28,21,FALSE),"")</f>
        <v/>
      </c>
      <c r="BS8" s="442"/>
      <c r="BT8" s="441" t="str">
        <f>IFERROR(VLOOKUP($AX8,Zusammenlagerung!$A$3:$AA$28,23,FALSE),"")</f>
        <v/>
      </c>
      <c r="BU8" s="441" t="str">
        <f>IFERROR(VLOOKUP($AX8,Zusammenlagerung!$A$3:$AA$28,24,FALSE),"")</f>
        <v/>
      </c>
      <c r="BV8" s="441" t="str">
        <f>IFERROR(VLOOKUP($AX8,Zusammenlagerung!$A$3:$AA$28,25,FALSE),"")</f>
        <v/>
      </c>
      <c r="BW8" s="441" t="str">
        <f>IFERROR(VLOOKUP($AX8,Zusammenlagerung!$A$3:$AA$28,26,FALSE),"")</f>
        <v/>
      </c>
      <c r="BX8" s="441" t="str">
        <f>IFERROR(VLOOKUP($AX8,Zusammenlagerung!$A$3:$AA$28,27,FALSE),"")</f>
        <v/>
      </c>
      <c r="BY8" s="443" t="str">
        <f t="shared" ref="BY8" si="3">IF(CB8&lt;&gt;"",(IF(COUNTIFS(CB8,"*H220*")&gt;0,"Liter",(IF(COUNTIFS(CB8,"*H221*")&gt;0,"Liter",IF(COUNTIFS(CB8,"*H270*")&gt;0,"Liter",IF(COUNTIFS(CB8,"*H280*")&gt;0,"Liter",IF(COUNTIFS(CB8,"*H281*")&gt;0,"Liter","kg"))))))),"")</f>
        <v>kg</v>
      </c>
      <c r="BZ8" s="197"/>
      <c r="CA8" s="102" t="s">
        <v>7553</v>
      </c>
      <c r="CB8" s="12" t="s">
        <v>511</v>
      </c>
      <c r="CC8" s="12" t="s">
        <v>7554</v>
      </c>
      <c r="CD8" s="12" t="s">
        <v>302</v>
      </c>
      <c r="CE8" s="12" t="s">
        <v>7555</v>
      </c>
      <c r="CF8" s="12" t="s">
        <v>511</v>
      </c>
      <c r="CG8" s="12" t="s">
        <v>7556</v>
      </c>
      <c r="CH8" s="12" t="s">
        <v>7557</v>
      </c>
      <c r="CI8" s="12" t="s">
        <v>511</v>
      </c>
      <c r="CJ8" s="12" t="s">
        <v>511</v>
      </c>
      <c r="CK8" s="12" t="s">
        <v>7558</v>
      </c>
      <c r="CL8" s="348" t="s">
        <v>511</v>
      </c>
      <c r="CM8" s="348" t="s">
        <v>511</v>
      </c>
      <c r="CN8" s="349">
        <v>0</v>
      </c>
      <c r="CO8" s="162" t="s">
        <v>3186</v>
      </c>
      <c r="CP8" s="462">
        <v>0</v>
      </c>
      <c r="CQ8" s="12" t="s">
        <v>7478</v>
      </c>
      <c r="CR8" s="168" t="s">
        <v>825</v>
      </c>
      <c r="CS8" s="154" t="s">
        <v>7559</v>
      </c>
      <c r="CT8" s="198"/>
      <c r="CU8" s="12"/>
      <c r="CV8" s="12"/>
      <c r="CW8" s="12"/>
      <c r="CX8" s="444" t="e" cm="1">
        <f t="array" ref="CX8">INDEX(Einatmen!$A$21:$A$26,MATCH(CV8&amp;CW8,Einatmen!$C$21:$C$26&amp;Einatmen!$B$21:$B$26,0))</f>
        <v>#N/A</v>
      </c>
      <c r="CY8" s="12"/>
      <c r="CZ8" s="444" t="e">
        <f t="array" ref="CZ8">INDEX(Einatmen!$A$38:$A$49,MATCH(CV8&amp;CY8,Einatmen!$C$38:$C$49&amp;Einatmen!$B$38:$B$49,0))</f>
        <v>#N/A</v>
      </c>
      <c r="DA8" s="444" t="e">
        <f t="array" ref="DA8">INDEX(Einatmen!$D$52:$D$159,MATCH(CU8&amp;CX8&amp;CZ8&amp;CV8,Einatmen!$A$52:$A$159&amp;Einatmen!$B$52:$B$159&amp;Einatmen!$C$52:$C$159&amp;Einatmen!$E$52:$E$159,0))</f>
        <v>#N/A</v>
      </c>
      <c r="DB8" s="12"/>
      <c r="DC8" s="353" t="str">
        <f t="shared" ref="DC8" si="4">IF(ISNA(DA8),"",(IF(DB8="","",(HYPERLINK(CONCATENATE("Schutzleitfäden\",DB8,".pdf"),"1")))))</f>
        <v/>
      </c>
      <c r="DD8" s="147" t="str">
        <f>IFERROR(VLOOKUP(DB8,Schutzleitfäden!$A$3:$C$46,3,FALSE),"")</f>
        <v/>
      </c>
      <c r="DE8" s="199"/>
      <c r="DF8" s="12"/>
      <c r="DG8" s="12"/>
      <c r="DH8" s="444" t="str">
        <f>IF(DG8=Haut!$A$12,Haut!$B$12,(IF(DG8=Haut!$A$13,Haut!$B$13,"")))</f>
        <v/>
      </c>
      <c r="DI8" s="12"/>
      <c r="DJ8" s="444" t="str">
        <f>IF(DI8=Haut!$A$18,Haut!$C$18,(IF(DI8=Haut!$A$19,Haut!$C$19,"")))</f>
        <v/>
      </c>
      <c r="DK8" s="444" t="e">
        <f t="array" ref="DK8">INDEX(Haut!$D$22:$D$45,MATCH(DF8&amp;DH8&amp;DJ8,Haut!$A$22:$A$45&amp;Haut!$B$22:$B$45&amp;Haut!$C$22:$C$45,0))</f>
        <v>#N/A</v>
      </c>
      <c r="DL8" s="444" t="str">
        <f>IF(ISNA(DK8),"",(IF(DK8=Haut!$D$49,Haut!$E$49,(IF(DK8=Haut!$D$50,Haut!$E$50,(IF(DK8=Haut!$D$51,Haut!$E$51,(IF(DK8=Haut!$D$52,Haut!$E$52,(IF(DK8=Haut!$D$53,Haut!$E$53,"")))))))))))</f>
        <v/>
      </c>
      <c r="DM8" s="353" t="str">
        <f t="shared" ref="DM8" si="5">IF(ISNA(DK8),"",(HYPERLINK(CONCATENATE("Schutzleitfäden\",DL8,".pdf"),"1")))</f>
        <v/>
      </c>
      <c r="DN8" s="147" t="str">
        <f>IFERROR(VLOOKUP(DL8,Schutzleitfäden!$A$3:$C$46,3,FALSE),"")</f>
        <v/>
      </c>
      <c r="DO8" s="324"/>
      <c r="DP8" s="194"/>
      <c r="DQ8" s="444">
        <f>CV8</f>
        <v>0</v>
      </c>
      <c r="DR8" s="444">
        <f>CW8</f>
        <v>0</v>
      </c>
      <c r="DS8" s="444" t="e">
        <f t="array" ref="DS8">INDEX(Brand_EX!$A$15:$A$20,MATCH(DQ8&amp;DR8,Brand_EX!$C$15:$C$20&amp;Brand_EX!$B$15:$B$20,0))</f>
        <v>#N/A</v>
      </c>
      <c r="DT8" s="444">
        <f>CY8</f>
        <v>0</v>
      </c>
      <c r="DU8" s="444" t="e">
        <f t="array" ref="DU8">INDEX(Brand_EX!$A$31:$A$41,MATCH(DQ8&amp;DT8,Brand_EX!$C$31:$C$41&amp;Brand_EX!$B$31:$B$41,0))</f>
        <v>#N/A</v>
      </c>
      <c r="DV8" s="444" t="e">
        <f t="array" ref="DV8">INDEX(Brand_EX!$D$44:$D$133,MATCH(DP8&amp;DS8&amp;DU8&amp;DQ8,Brand_EX!$A$44:$A$133&amp;Brand_EX!$B$44:$B$133&amp;Brand_EX!$C$44:$C$133&amp;Brand_EX!$E$44:$E$133,0))</f>
        <v>#N/A</v>
      </c>
      <c r="DW8" s="12"/>
      <c r="DX8" s="354" t="str">
        <f>IF(ISNA(DV8),"",(IF(DW8="","",(HYPERLINK(CONCATENATE("Schutzleitfäden\",DW8,".pdf"),"1")))))</f>
        <v/>
      </c>
      <c r="DY8" s="147" t="str">
        <f>IFERROR(VLOOKUP(DW8,Schutzleitfäden!$A$3:$C$46,3,FALSE),"")</f>
        <v/>
      </c>
      <c r="DZ8" s="200"/>
      <c r="EA8" s="102" t="s">
        <v>7471</v>
      </c>
      <c r="EB8" s="12"/>
      <c r="EC8" s="12"/>
      <c r="ED8" s="102"/>
      <c r="EE8" s="338"/>
      <c r="EF8" s="13"/>
      <c r="EG8" s="13"/>
      <c r="EH8" s="13"/>
      <c r="EI8" s="448"/>
      <c r="EJ8" s="437" t="str">
        <f>IF(EM8="Kat. 1A","ja",IF(EM8="Kat. 1B","ja",IF(ER8="Kat. 1A","ja",IF(ER8="Kat. 1B","ja",IF(EW8="Kat. 1A","ja",IF(EW8="Kat. 1B","ja","nein"))))))</f>
        <v>nein</v>
      </c>
      <c r="EK8" s="300"/>
      <c r="EL8" s="445"/>
      <c r="EM8" s="446"/>
      <c r="EN8" s="446"/>
      <c r="EO8" s="190" t="e">
        <f>VLOOKUP(EN8,Daten!$M$2:$N$18,2,FALSE)</f>
        <v>#N/A</v>
      </c>
      <c r="EP8" s="447" t="s">
        <v>511</v>
      </c>
      <c r="EQ8" s="445">
        <v>0</v>
      </c>
      <c r="ER8" s="446" t="s">
        <v>511</v>
      </c>
      <c r="ES8" s="446" t="s">
        <v>117</v>
      </c>
      <c r="ET8" s="191" t="str">
        <f>VLOOKUP(ES8,Daten!$M$2:$N$18,2,FALSE)</f>
        <v>entfällt</v>
      </c>
      <c r="EU8" s="447" t="s">
        <v>511</v>
      </c>
      <c r="EV8" s="445">
        <v>0</v>
      </c>
      <c r="EW8" s="446" t="s">
        <v>511</v>
      </c>
      <c r="EX8" s="446" t="s">
        <v>117</v>
      </c>
      <c r="EY8" s="191" t="str">
        <f>VLOOKUP(EX8,Daten!$M$2:$N$18,2,FALSE)</f>
        <v>entfällt</v>
      </c>
      <c r="EZ8" s="192"/>
      <c r="FA8" s="102"/>
      <c r="FB8" s="147" t="str">
        <f t="shared" ref="FB8" si="6">IF(ISERROR(VLOOKUP(FA8,Entsorgung,2,FALSE)),"",VLOOKUP(FA8,Entsorgung,2,FALSE))</f>
        <v/>
      </c>
      <c r="FC8" s="102"/>
      <c r="FD8" s="147" t="str">
        <f t="shared" ref="FD8" si="7">IF(ISERROR(VLOOKUP(FC8,Entsorgung,2,FALSE)),"",VLOOKUP(FC8,Entsorgung,2,FALSE))</f>
        <v/>
      </c>
      <c r="FE8" s="102"/>
      <c r="FF8" s="147" t="str">
        <f t="shared" ref="FF8" si="8">IF(ISERROR(VLOOKUP(FE8,Entsorgung,2,FALSE)),"",VLOOKUP(FE8,Entsorgung,2,FALSE))</f>
        <v/>
      </c>
      <c r="FG8" s="193"/>
      <c r="FH8" s="450" t="s">
        <v>7452</v>
      </c>
      <c r="FI8" s="421" t="s">
        <v>7426</v>
      </c>
      <c r="FJ8" s="449"/>
      <c r="FK8" s="421"/>
      <c r="FL8" s="421"/>
      <c r="FM8" s="421"/>
      <c r="FN8" s="450" t="s">
        <v>7453</v>
      </c>
      <c r="FO8" s="421" t="s">
        <v>7425</v>
      </c>
      <c r="FP8" s="451" t="s">
        <v>7460</v>
      </c>
      <c r="FQ8" s="421"/>
      <c r="FR8" s="421"/>
      <c r="FS8" s="451" t="s">
        <v>7460</v>
      </c>
      <c r="FT8" s="421"/>
      <c r="FU8" s="421"/>
      <c r="FV8" s="287"/>
      <c r="FW8" s="452"/>
      <c r="FX8" s="285" t="str">
        <f t="shared" ref="FX8" si="9">IF(ISERROR(VLOOKUP(FW8,Gefahrgut,2,FALSE)),"",VLOOKUP(FW8,Gefahrgut,2,FALSE))</f>
        <v/>
      </c>
      <c r="FY8" s="285" t="str">
        <f t="shared" ref="FY8" si="10">IF(ISERROR(VLOOKUP(FW8,Gefahrgut,3,FALSE)),"",VLOOKUP(FW8,Gefahrgut,3,FALSE))</f>
        <v/>
      </c>
      <c r="FZ8" s="147" t="str">
        <f t="shared" ref="FZ8" si="11">IF(ISERROR(VLOOKUP(FW8,Gefahrgut,4,FALSE)),"",VLOOKUP(FW8,Gefahrgut,4,FALSE))</f>
        <v/>
      </c>
      <c r="GA8" s="453"/>
      <c r="GB8" s="200"/>
      <c r="GC8" s="459"/>
      <c r="GD8" s="102"/>
      <c r="GE8" s="102"/>
      <c r="GF8" s="102"/>
      <c r="GG8" s="102"/>
      <c r="GH8" s="102"/>
      <c r="GI8" s="102"/>
      <c r="GJ8" s="102"/>
      <c r="GK8" s="102"/>
      <c r="GL8" s="102"/>
      <c r="GM8" s="102"/>
      <c r="GN8" s="102"/>
    </row>
    <row r="9" spans="1:196" ht="30" customHeight="1" x14ac:dyDescent="0.3">
      <c r="A9" s="420" t="s">
        <v>828</v>
      </c>
      <c r="B9" s="102" t="s">
        <v>7538</v>
      </c>
      <c r="C9" s="102" t="s">
        <v>7529</v>
      </c>
      <c r="D9" s="15" t="s">
        <v>7564</v>
      </c>
      <c r="E9" s="157" t="str">
        <f t="shared" ref="E9:E20" si="12">HYPERLINK(CONCATENATE("SDB\SDB_",A9,".pdf"),"2")</f>
        <v>2</v>
      </c>
      <c r="F9" s="418" t="s">
        <v>7564</v>
      </c>
      <c r="G9" s="157" t="str">
        <f>IF(AJ9&lt;&gt;"",HYPERLINK(CONCATENATE("BAG\",AJ9,".pdf"),"2"),HYPERLINK(CONCATENATE("BAG\BAG_",A9,".pdf"),"2"))</f>
        <v>2</v>
      </c>
      <c r="H9" s="169" t="str">
        <f t="shared" si="0"/>
        <v/>
      </c>
      <c r="I9" s="169" t="str">
        <f t="shared" ref="I9:I20" si="13">IF(ISERROR(FIND("GHS 02",$CA9)),"","●")</f>
        <v/>
      </c>
      <c r="J9" s="169" t="str">
        <f t="shared" ref="J9:J20" si="14">IF(ISERROR(FIND("GHS 03",$CA9)),"","●")</f>
        <v/>
      </c>
      <c r="K9" s="169" t="str">
        <f t="shared" ref="K9:K20" si="15">IF(ISERROR(FIND("GHS 04",$CA9)),"","●")</f>
        <v/>
      </c>
      <c r="L9" s="169" t="str">
        <f t="shared" ref="L9:L20" si="16">IF(ISERROR(FIND("GHS 05",$CA9)),"","●")</f>
        <v/>
      </c>
      <c r="M9" s="169" t="str">
        <f t="shared" ref="M9:M20" si="17">IF(ISERROR(FIND("GHS 06",$CA9)),"","●")</f>
        <v/>
      </c>
      <c r="N9" s="169" t="str">
        <f t="shared" ref="N9:N20" si="18">IF(ISERROR(FIND("GHS 07",$CA9)),"","●")</f>
        <v/>
      </c>
      <c r="O9" s="169" t="str">
        <f t="shared" ref="O9:O20" si="19">IF(ISERROR(FIND("GHS 08",$CA9)),"","●")</f>
        <v/>
      </c>
      <c r="P9" s="169" t="str">
        <f t="shared" ref="P9:P20" si="20">IF(ISERROR(FIND("GHS 09",$CA9)),"","●")</f>
        <v/>
      </c>
      <c r="Q9" s="169" t="str">
        <f t="shared" si="1"/>
        <v/>
      </c>
      <c r="R9" s="169" t="str">
        <f t="shared" si="2"/>
        <v/>
      </c>
      <c r="S9" s="12"/>
      <c r="T9" s="12"/>
      <c r="U9" s="196"/>
      <c r="V9" s="465" t="str">
        <f t="shared" ref="V9:V20" si="21">HYPERLINK(CONCATENATE("Bilder\",A9,".jpg"),"y")</f>
        <v>y</v>
      </c>
      <c r="W9" s="337"/>
      <c r="X9" s="316"/>
      <c r="Y9" s="315"/>
      <c r="Z9" s="316"/>
      <c r="AA9" s="315"/>
      <c r="AB9" s="316"/>
      <c r="AC9" s="315"/>
      <c r="AD9" s="316"/>
      <c r="AE9" s="315"/>
      <c r="AF9" s="316"/>
      <c r="AG9" s="300" t="s">
        <v>7485</v>
      </c>
      <c r="AH9" s="404"/>
      <c r="AI9" s="13"/>
      <c r="AJ9" s="291"/>
      <c r="AK9" s="291"/>
      <c r="AL9" s="291"/>
      <c r="AM9" s="291"/>
      <c r="AN9" s="439" t="str">
        <f>HYPERLINK(CONCATENATE("TDB\TDB_",A9,".pdf"),"2")</f>
        <v>2</v>
      </c>
      <c r="AO9" s="295"/>
      <c r="AP9" s="300"/>
      <c r="AQ9" s="225" t="s">
        <v>798</v>
      </c>
      <c r="AR9" s="13">
        <v>500</v>
      </c>
      <c r="AS9" s="13" t="s">
        <v>499</v>
      </c>
      <c r="AT9" s="154"/>
      <c r="AU9" s="440">
        <f t="shared" ref="AU9:AU20" si="22">IF(AS9="","",(IF(AS9="ml",(AR9/1000)*AT9,IF(AS9="Liter",AR9*AT9,IF(AS9="g",(AR9/1000)*AT9,IF(AS9="kg",AR9*AT9))))))</f>
        <v>0</v>
      </c>
      <c r="AV9" s="440" t="str">
        <f t="shared" ref="AV9:AV20" si="23">IF(AS9="","",(IF(AS9="ml","Liter",IF(AS9="Liter","Liter",IF(AS9="g","kg",IF(AS9="kg","kg"))))))</f>
        <v>Liter</v>
      </c>
      <c r="AW9" s="405"/>
      <c r="AX9" s="339"/>
      <c r="AY9" s="441" t="str">
        <f>IFERROR(VLOOKUP($AX9,Zusammenlagerung!$A$3:$AA$28,2,FALSE),"")</f>
        <v/>
      </c>
      <c r="AZ9" s="441" t="str">
        <f>IFERROR(VLOOKUP($AX9,Zusammenlagerung!$A$3:$AA$28,3,FALSE),"")</f>
        <v/>
      </c>
      <c r="BA9" s="441" t="str">
        <f>IFERROR(VLOOKUP($AX9,Zusammenlagerung!$A$3:$AA$28,4,FALSE),"")</f>
        <v/>
      </c>
      <c r="BB9" s="441" t="str">
        <f>IFERROR(VLOOKUP($AX9,Zusammenlagerung!$A$3:$AA$28,5,FALSE),"")</f>
        <v/>
      </c>
      <c r="BC9" s="441" t="str">
        <f>IFERROR(VLOOKUP($AX9,Zusammenlagerung!$A$3:$AA$28,6,FALSE),"")</f>
        <v/>
      </c>
      <c r="BD9" s="441" t="str">
        <f>IFERROR(VLOOKUP($AX9,Zusammenlagerung!$A$3:$AA$28,7,FALSE),"")</f>
        <v/>
      </c>
      <c r="BE9" s="441" t="str">
        <f>IFERROR(VLOOKUP($AX9,Zusammenlagerung!$A$3:$AA$28,8,FALSE),"")</f>
        <v/>
      </c>
      <c r="BF9" s="441" t="str">
        <f>IFERROR(VLOOKUP($AX9,Zusammenlagerung!$A$3:$AA$28,9,FALSE),"")</f>
        <v/>
      </c>
      <c r="BG9" s="441" t="str">
        <f>IFERROR(VLOOKUP($AX9,Zusammenlagerung!$A$3:$AA$28,10,FALSE),"")</f>
        <v/>
      </c>
      <c r="BH9" s="441" t="str">
        <f>IFERROR(VLOOKUP($AX9,Zusammenlagerung!$A$3:$AA$28,11,FALSE),"")</f>
        <v/>
      </c>
      <c r="BI9" s="441" t="str">
        <f>IFERROR(VLOOKUP($AX9,Zusammenlagerung!$A$3:$AA$28,12,FALSE),"")</f>
        <v/>
      </c>
      <c r="BJ9" s="441" t="str">
        <f>IFERROR(VLOOKUP($AX9,Zusammenlagerung!$A$3:$AA$28,13,FALSE),"")</f>
        <v/>
      </c>
      <c r="BK9" s="441" t="str">
        <f>IFERROR(VLOOKUP($AX9,Zusammenlagerung!$A$3:$AA$28,14,FALSE),"")</f>
        <v/>
      </c>
      <c r="BL9" s="441" t="str">
        <f>IFERROR(VLOOKUP($AX9,Zusammenlagerung!$A$3:$AA$28,15,FALSE),"")</f>
        <v/>
      </c>
      <c r="BM9" s="441" t="str">
        <f>IFERROR(VLOOKUP($AX9,Zusammenlagerung!$A$3:$AA$28,16,FALSE),"")</f>
        <v/>
      </c>
      <c r="BN9" s="441" t="str">
        <f>IFERROR(VLOOKUP($AX9,Zusammenlagerung!$A$3:$AA$28,17,FALSE),"")</f>
        <v/>
      </c>
      <c r="BO9" s="441" t="str">
        <f>IFERROR(VLOOKUP($AX9,Zusammenlagerung!$A$3:$AA$28,18,FALSE),"")</f>
        <v/>
      </c>
      <c r="BP9" s="441" t="str">
        <f>IFERROR(VLOOKUP($AX9,Zusammenlagerung!$A$3:$AA$28,19,FALSE),"")</f>
        <v/>
      </c>
      <c r="BQ9" s="441" t="str">
        <f>IFERROR(VLOOKUP($AX9,Zusammenlagerung!$A$3:$AA$28,20,FALSE),"")</f>
        <v/>
      </c>
      <c r="BR9" s="441" t="str">
        <f>IFERROR(VLOOKUP($AX9,Zusammenlagerung!$A$3:$AA$28,21,FALSE),"")</f>
        <v/>
      </c>
      <c r="BS9" s="442"/>
      <c r="BT9" s="441" t="str">
        <f>IFERROR(VLOOKUP($AX9,Zusammenlagerung!$A$3:$AA$28,23,FALSE),"")</f>
        <v/>
      </c>
      <c r="BU9" s="441" t="str">
        <f>IFERROR(VLOOKUP($AX9,Zusammenlagerung!$A$3:$AA$28,24,FALSE),"")</f>
        <v/>
      </c>
      <c r="BV9" s="441" t="str">
        <f>IFERROR(VLOOKUP($AX9,Zusammenlagerung!$A$3:$AA$28,25,FALSE),"")</f>
        <v/>
      </c>
      <c r="BW9" s="441" t="str">
        <f>IFERROR(VLOOKUP($AX9,Zusammenlagerung!$A$3:$AA$28,26,FALSE),"")</f>
        <v/>
      </c>
      <c r="BX9" s="441" t="str">
        <f>IFERROR(VLOOKUP($AX9,Zusammenlagerung!$A$3:$AA$28,27,FALSE),"")</f>
        <v/>
      </c>
      <c r="BY9" s="443" t="str">
        <f t="shared" ref="BY9:BY20" si="24">IF(CB9&lt;&gt;"",(IF(COUNTIFS(CB9,"*H220*")&gt;0,"Liter",(IF(COUNTIFS(CB9,"*H221*")&gt;0,"Liter",IF(COUNTIFS(CB9,"*H270*")&gt;0,"Liter",IF(COUNTIFS(CB9,"*H280*")&gt;0,"Liter",IF(COUNTIFS(CB9,"*H281*")&gt;0,"Liter","kg"))))))),"")</f>
        <v/>
      </c>
      <c r="BZ9" s="197"/>
      <c r="CA9" s="102"/>
      <c r="CB9" s="12"/>
      <c r="CC9" s="12"/>
      <c r="CD9" s="12"/>
      <c r="CE9" s="12"/>
      <c r="CF9" s="12"/>
      <c r="CG9" s="12"/>
      <c r="CH9" s="12"/>
      <c r="CI9" s="12"/>
      <c r="CJ9" s="12"/>
      <c r="CK9" s="12"/>
      <c r="CL9" s="348"/>
      <c r="CM9" s="348"/>
      <c r="CN9" s="349"/>
      <c r="CO9" s="162" t="s">
        <v>3186</v>
      </c>
      <c r="CP9" s="462"/>
      <c r="CQ9" s="12"/>
      <c r="CR9" s="168"/>
      <c r="CS9" s="154"/>
      <c r="CT9" s="198"/>
      <c r="CU9" s="12"/>
      <c r="CV9" s="12"/>
      <c r="CW9" s="12"/>
      <c r="CX9" s="444" t="e" cm="1">
        <f t="array" ref="CX9">INDEX(Einatmen!$A$21:$A$26,MATCH(CV9&amp;CW9,Einatmen!$C$21:$C$26&amp;Einatmen!$B$21:$B$26,0))</f>
        <v>#N/A</v>
      </c>
      <c r="CY9" s="12"/>
      <c r="CZ9" s="444" t="e">
        <f t="array" ref="CZ9">INDEX(Einatmen!$A$38:$A$49,MATCH(CV9&amp;CY9,Einatmen!$C$38:$C$49&amp;Einatmen!$B$38:$B$49,0))</f>
        <v>#N/A</v>
      </c>
      <c r="DA9" s="444" t="e">
        <f t="array" ref="DA9">INDEX(Einatmen!$D$52:$D$159,MATCH(CU9&amp;CX9&amp;CZ9&amp;CV9,Einatmen!$A$52:$A$159&amp;Einatmen!$B$52:$B$159&amp;Einatmen!$C$52:$C$159&amp;Einatmen!$E$52:$E$159,0))</f>
        <v>#N/A</v>
      </c>
      <c r="DB9" s="12"/>
      <c r="DC9" s="353" t="str">
        <f t="shared" ref="DC9:DC20" si="25">IF(ISNA(DA9),"",(IF(DB9="","",(HYPERLINK(CONCATENATE("Schutzleitfäden\",DB9,".pdf"),"1")))))</f>
        <v/>
      </c>
      <c r="DD9" s="147" t="str">
        <f>IFERROR(VLOOKUP(DB9,Schutzleitfäden!$A$3:$C$46,3,FALSE),"")</f>
        <v/>
      </c>
      <c r="DE9" s="199"/>
      <c r="DF9" s="12"/>
      <c r="DG9" s="12"/>
      <c r="DH9" s="444" t="str">
        <f>IF(DG9=Haut!$A$12,Haut!$B$12,(IF(DG9=Haut!$A$13,Haut!$B$13,"")))</f>
        <v/>
      </c>
      <c r="DI9" s="12"/>
      <c r="DJ9" s="444" t="str">
        <f>IF(DI9=Haut!$A$18,Haut!$C$18,(IF(DI9=Haut!$A$19,Haut!$C$19,"")))</f>
        <v/>
      </c>
      <c r="DK9" s="444" t="e">
        <f t="array" ref="DK9">INDEX(Haut!$D$22:$D$45,MATCH(DF9&amp;DH9&amp;DJ9,Haut!$A$22:$A$45&amp;Haut!$B$22:$B$45&amp;Haut!$C$22:$C$45,0))</f>
        <v>#N/A</v>
      </c>
      <c r="DL9" s="444" t="str">
        <f>IF(ISNA(DK9),"",(IF(DK9=Haut!$D$49,Haut!$E$49,(IF(DK9=Haut!$D$50,Haut!$E$50,(IF(DK9=Haut!$D$51,Haut!$E$51,(IF(DK9=Haut!$D$52,Haut!$E$52,(IF(DK9=Haut!$D$53,Haut!$E$53,"")))))))))))</f>
        <v/>
      </c>
      <c r="DM9" s="353" t="str">
        <f t="shared" ref="DM9:DM20" si="26">IF(ISNA(DK9),"",(HYPERLINK(CONCATENATE("Schutzleitfäden\",DL9,".pdf"),"1")))</f>
        <v/>
      </c>
      <c r="DN9" s="147" t="str">
        <f>IFERROR(VLOOKUP(DL9,Schutzleitfäden!$A$3:$C$46,3,FALSE),"")</f>
        <v/>
      </c>
      <c r="DO9" s="324"/>
      <c r="DP9" s="194"/>
      <c r="DQ9" s="444">
        <f t="shared" ref="DQ9:DQ20" si="27">CV9</f>
        <v>0</v>
      </c>
      <c r="DR9" s="444">
        <f t="shared" ref="DR9:DR20" si="28">CW9</f>
        <v>0</v>
      </c>
      <c r="DS9" s="444" t="e">
        <f t="array" ref="DS9">INDEX(Brand_EX!$A$15:$A$20,MATCH(DQ9&amp;DR9,Brand_EX!$C$15:$C$20&amp;Brand_EX!$B$15:$B$20,0))</f>
        <v>#N/A</v>
      </c>
      <c r="DT9" s="444">
        <f t="shared" ref="DT9:DT20" si="29">CY9</f>
        <v>0</v>
      </c>
      <c r="DU9" s="444" t="e">
        <f t="array" ref="DU9">INDEX(Brand_EX!$A$31:$A$41,MATCH(DQ9&amp;DT9,Brand_EX!$C$31:$C$41&amp;Brand_EX!$B$31:$B$41,0))</f>
        <v>#N/A</v>
      </c>
      <c r="DV9" s="444" t="e">
        <f t="array" ref="DV9">INDEX(Brand_EX!$D$44:$D$133,MATCH(DP9&amp;DS9&amp;DU9&amp;DQ9,Brand_EX!$A$44:$A$133&amp;Brand_EX!$B$44:$B$133&amp;Brand_EX!$C$44:$C$133&amp;Brand_EX!$E$44:$E$133,0))</f>
        <v>#N/A</v>
      </c>
      <c r="DW9" s="12"/>
      <c r="DX9" s="354" t="str">
        <f t="shared" ref="DX9:DX20" si="30">IF(ISNA(DV9),"",(IF(DW9="","",(HYPERLINK(CONCATENATE("Schutzleitfäden\",DW9,".pdf"),"1")))))</f>
        <v/>
      </c>
      <c r="DY9" s="147" t="str">
        <f>IFERROR(VLOOKUP(DW9,Schutzleitfäden!$A$3:$C$46,3,FALSE),"")</f>
        <v/>
      </c>
      <c r="DZ9" s="200"/>
      <c r="EA9" s="102" t="s">
        <v>7471</v>
      </c>
      <c r="EB9" s="12"/>
      <c r="EC9" s="12"/>
      <c r="ED9" s="102"/>
      <c r="EE9" s="338"/>
      <c r="EF9" s="13"/>
      <c r="EG9" s="13"/>
      <c r="EH9" s="13"/>
      <c r="EI9" s="448"/>
      <c r="EJ9" s="437" t="str">
        <f t="shared" ref="EJ9:EJ20" si="31">IF(EM9="Kat. 1A","ja",IF(EM9="Kat. 1B","ja",IF(ER9="Kat. 1A","ja",IF(ER9="Kat. 1B","ja",IF(EW9="Kat. 1A","ja",IF(EW9="Kat. 1B","ja","nein"))))))</f>
        <v>nein</v>
      </c>
      <c r="EK9" s="300"/>
      <c r="EL9" s="445"/>
      <c r="EM9" s="446"/>
      <c r="EN9" s="446"/>
      <c r="EO9" s="190" t="e">
        <f>VLOOKUP(EN9,Daten!$M$2:$N$18,2,FALSE)</f>
        <v>#N/A</v>
      </c>
      <c r="EP9" s="447" t="s">
        <v>511</v>
      </c>
      <c r="EQ9" s="445">
        <v>0</v>
      </c>
      <c r="ER9" s="446" t="s">
        <v>511</v>
      </c>
      <c r="ES9" s="446" t="s">
        <v>117</v>
      </c>
      <c r="ET9" s="191" t="str">
        <f>VLOOKUP(ES9,Daten!$M$2:$N$18,2,FALSE)</f>
        <v>entfällt</v>
      </c>
      <c r="EU9" s="447" t="s">
        <v>511</v>
      </c>
      <c r="EV9" s="445">
        <v>0</v>
      </c>
      <c r="EW9" s="446" t="s">
        <v>511</v>
      </c>
      <c r="EX9" s="446" t="s">
        <v>117</v>
      </c>
      <c r="EY9" s="191" t="str">
        <f>VLOOKUP(EX9,Daten!$M$2:$N$18,2,FALSE)</f>
        <v>entfällt</v>
      </c>
      <c r="EZ9" s="192"/>
      <c r="FA9" s="102"/>
      <c r="FB9" s="147" t="str">
        <f t="shared" ref="FB9:FB20" si="32">IF(ISERROR(VLOOKUP(FA9,Entsorgung,2,FALSE)),"",VLOOKUP(FA9,Entsorgung,2,FALSE))</f>
        <v/>
      </c>
      <c r="FC9" s="102"/>
      <c r="FD9" s="147" t="str">
        <f t="shared" ref="FD9:FD20" si="33">IF(ISERROR(VLOOKUP(FC9,Entsorgung,2,FALSE)),"",VLOOKUP(FC9,Entsorgung,2,FALSE))</f>
        <v/>
      </c>
      <c r="FE9" s="102"/>
      <c r="FF9" s="147" t="str">
        <f t="shared" ref="FF9:FF20" si="34">IF(ISERROR(VLOOKUP(FE9,Entsorgung,2,FALSE)),"",VLOOKUP(FE9,Entsorgung,2,FALSE))</f>
        <v/>
      </c>
      <c r="FG9" s="193"/>
      <c r="FH9" s="450" t="s">
        <v>7452</v>
      </c>
      <c r="FI9" s="421" t="s">
        <v>7426</v>
      </c>
      <c r="FJ9" s="449"/>
      <c r="FK9" s="421"/>
      <c r="FL9" s="421"/>
      <c r="FM9" s="421"/>
      <c r="FN9" s="450" t="s">
        <v>7453</v>
      </c>
      <c r="FO9" s="421" t="s">
        <v>7425</v>
      </c>
      <c r="FP9" s="451" t="s">
        <v>7460</v>
      </c>
      <c r="FQ9" s="421"/>
      <c r="FR9" s="421"/>
      <c r="FS9" s="451" t="s">
        <v>7460</v>
      </c>
      <c r="FT9" s="421"/>
      <c r="FU9" s="421"/>
      <c r="FV9" s="287"/>
      <c r="FW9" s="452"/>
      <c r="FX9" s="285" t="str">
        <f t="shared" ref="FX9:FX20" si="35">IF(ISERROR(VLOOKUP(FW9,Gefahrgut,2,FALSE)),"",VLOOKUP(FW9,Gefahrgut,2,FALSE))</f>
        <v/>
      </c>
      <c r="FY9" s="285" t="str">
        <f t="shared" ref="FY9:FY20" si="36">IF(ISERROR(VLOOKUP(FW9,Gefahrgut,3,FALSE)),"",VLOOKUP(FW9,Gefahrgut,3,FALSE))</f>
        <v/>
      </c>
      <c r="FZ9" s="147" t="str">
        <f t="shared" ref="FZ9:FZ20" si="37">IF(ISERROR(VLOOKUP(FW9,Gefahrgut,4,FALSE)),"",VLOOKUP(FW9,Gefahrgut,4,FALSE))</f>
        <v/>
      </c>
      <c r="GA9" s="453"/>
      <c r="GB9" s="200"/>
      <c r="GC9" s="459"/>
      <c r="GD9" s="102"/>
      <c r="GE9" s="102"/>
      <c r="GF9" s="102"/>
      <c r="GG9" s="102"/>
      <c r="GH9" s="102"/>
      <c r="GI9" s="102"/>
      <c r="GJ9" s="102"/>
      <c r="GK9" s="102"/>
      <c r="GL9" s="102"/>
      <c r="GM9" s="102"/>
      <c r="GN9" s="102"/>
    </row>
    <row r="10" spans="1:196" ht="30" customHeight="1" x14ac:dyDescent="0.3">
      <c r="A10" s="420" t="s">
        <v>829</v>
      </c>
      <c r="B10" s="102" t="s">
        <v>7539</v>
      </c>
      <c r="C10" s="102" t="s">
        <v>7530</v>
      </c>
      <c r="D10" s="15" t="s">
        <v>7564</v>
      </c>
      <c r="E10" s="157" t="str">
        <f t="shared" si="12"/>
        <v>2</v>
      </c>
      <c r="F10" s="418" t="s">
        <v>7564</v>
      </c>
      <c r="G10" s="157" t="str">
        <f>IF(AJ10&lt;&gt;"",HYPERLINK(CONCATENATE("BAG\",AJ10,".pdf"),"2"),HYPERLINK(CONCATENATE("BAG\BAG_",A10,".pdf"),"2"))</f>
        <v>2</v>
      </c>
      <c r="H10" s="169" t="str">
        <f t="shared" si="0"/>
        <v/>
      </c>
      <c r="I10" s="169" t="str">
        <f t="shared" si="13"/>
        <v/>
      </c>
      <c r="J10" s="169" t="str">
        <f t="shared" si="14"/>
        <v/>
      </c>
      <c r="K10" s="169" t="str">
        <f t="shared" si="15"/>
        <v/>
      </c>
      <c r="L10" s="169" t="str">
        <f t="shared" si="16"/>
        <v/>
      </c>
      <c r="M10" s="169" t="str">
        <f t="shared" si="17"/>
        <v/>
      </c>
      <c r="N10" s="169" t="str">
        <f t="shared" si="18"/>
        <v/>
      </c>
      <c r="O10" s="169" t="str">
        <f t="shared" si="19"/>
        <v/>
      </c>
      <c r="P10" s="169" t="str">
        <f t="shared" si="20"/>
        <v/>
      </c>
      <c r="Q10" s="169" t="str">
        <f t="shared" si="1"/>
        <v/>
      </c>
      <c r="R10" s="169" t="str">
        <f t="shared" si="2"/>
        <v/>
      </c>
      <c r="S10" s="12"/>
      <c r="T10" s="12"/>
      <c r="U10" s="196"/>
      <c r="V10" s="465" t="str">
        <f t="shared" si="21"/>
        <v>y</v>
      </c>
      <c r="W10" s="337"/>
      <c r="X10" s="316"/>
      <c r="Y10" s="315"/>
      <c r="Z10" s="316"/>
      <c r="AA10" s="315"/>
      <c r="AB10" s="316"/>
      <c r="AC10" s="315"/>
      <c r="AD10" s="316"/>
      <c r="AE10" s="315"/>
      <c r="AF10" s="316"/>
      <c r="AG10" s="300" t="s">
        <v>7485</v>
      </c>
      <c r="AH10" s="404"/>
      <c r="AI10" s="13"/>
      <c r="AJ10" s="291"/>
      <c r="AK10" s="291"/>
      <c r="AL10" s="291"/>
      <c r="AM10" s="291"/>
      <c r="AN10" s="439" t="str">
        <f>HYPERLINK(CONCATENATE("TDB\TDB_",A10,".pdf"),"2")</f>
        <v>2</v>
      </c>
      <c r="AO10" s="295"/>
      <c r="AP10" s="300"/>
      <c r="AQ10" s="225" t="s">
        <v>798</v>
      </c>
      <c r="AR10" s="13">
        <v>270</v>
      </c>
      <c r="AS10" s="13" t="s">
        <v>499</v>
      </c>
      <c r="AT10" s="154"/>
      <c r="AU10" s="440">
        <f t="shared" si="22"/>
        <v>0</v>
      </c>
      <c r="AV10" s="440" t="str">
        <f t="shared" si="23"/>
        <v>Liter</v>
      </c>
      <c r="AW10" s="405"/>
      <c r="AX10" s="339"/>
      <c r="AY10" s="441" t="str">
        <f>IFERROR(VLOOKUP($AX10,Zusammenlagerung!$A$3:$AA$28,2,FALSE),"")</f>
        <v/>
      </c>
      <c r="AZ10" s="441" t="str">
        <f>IFERROR(VLOOKUP($AX10,Zusammenlagerung!$A$3:$AA$28,3,FALSE),"")</f>
        <v/>
      </c>
      <c r="BA10" s="441" t="str">
        <f>IFERROR(VLOOKUP($AX10,Zusammenlagerung!$A$3:$AA$28,4,FALSE),"")</f>
        <v/>
      </c>
      <c r="BB10" s="441" t="str">
        <f>IFERROR(VLOOKUP($AX10,Zusammenlagerung!$A$3:$AA$28,5,FALSE),"")</f>
        <v/>
      </c>
      <c r="BC10" s="441" t="str">
        <f>IFERROR(VLOOKUP($AX10,Zusammenlagerung!$A$3:$AA$28,6,FALSE),"")</f>
        <v/>
      </c>
      <c r="BD10" s="441" t="str">
        <f>IFERROR(VLOOKUP($AX10,Zusammenlagerung!$A$3:$AA$28,7,FALSE),"")</f>
        <v/>
      </c>
      <c r="BE10" s="441" t="str">
        <f>IFERROR(VLOOKUP($AX10,Zusammenlagerung!$A$3:$AA$28,8,FALSE),"")</f>
        <v/>
      </c>
      <c r="BF10" s="441" t="str">
        <f>IFERROR(VLOOKUP($AX10,Zusammenlagerung!$A$3:$AA$28,9,FALSE),"")</f>
        <v/>
      </c>
      <c r="BG10" s="441" t="str">
        <f>IFERROR(VLOOKUP($AX10,Zusammenlagerung!$A$3:$AA$28,10,FALSE),"")</f>
        <v/>
      </c>
      <c r="BH10" s="441" t="str">
        <f>IFERROR(VLOOKUP($AX10,Zusammenlagerung!$A$3:$AA$28,11,FALSE),"")</f>
        <v/>
      </c>
      <c r="BI10" s="441" t="str">
        <f>IFERROR(VLOOKUP($AX10,Zusammenlagerung!$A$3:$AA$28,12,FALSE),"")</f>
        <v/>
      </c>
      <c r="BJ10" s="441" t="str">
        <f>IFERROR(VLOOKUP($AX10,Zusammenlagerung!$A$3:$AA$28,13,FALSE),"")</f>
        <v/>
      </c>
      <c r="BK10" s="441" t="str">
        <f>IFERROR(VLOOKUP($AX10,Zusammenlagerung!$A$3:$AA$28,14,FALSE),"")</f>
        <v/>
      </c>
      <c r="BL10" s="441" t="str">
        <f>IFERROR(VLOOKUP($AX10,Zusammenlagerung!$A$3:$AA$28,15,FALSE),"")</f>
        <v/>
      </c>
      <c r="BM10" s="441" t="str">
        <f>IFERROR(VLOOKUP($AX10,Zusammenlagerung!$A$3:$AA$28,16,FALSE),"")</f>
        <v/>
      </c>
      <c r="BN10" s="441" t="str">
        <f>IFERROR(VLOOKUP($AX10,Zusammenlagerung!$A$3:$AA$28,17,FALSE),"")</f>
        <v/>
      </c>
      <c r="BO10" s="441" t="str">
        <f>IFERROR(VLOOKUP($AX10,Zusammenlagerung!$A$3:$AA$28,18,FALSE),"")</f>
        <v/>
      </c>
      <c r="BP10" s="441" t="str">
        <f>IFERROR(VLOOKUP($AX10,Zusammenlagerung!$A$3:$AA$28,19,FALSE),"")</f>
        <v/>
      </c>
      <c r="BQ10" s="441" t="str">
        <f>IFERROR(VLOOKUP($AX10,Zusammenlagerung!$A$3:$AA$28,20,FALSE),"")</f>
        <v/>
      </c>
      <c r="BR10" s="441" t="str">
        <f>IFERROR(VLOOKUP($AX10,Zusammenlagerung!$A$3:$AA$28,21,FALSE),"")</f>
        <v/>
      </c>
      <c r="BS10" s="442"/>
      <c r="BT10" s="441" t="str">
        <f>IFERROR(VLOOKUP($AX10,Zusammenlagerung!$A$3:$AA$28,23,FALSE),"")</f>
        <v/>
      </c>
      <c r="BU10" s="441" t="str">
        <f>IFERROR(VLOOKUP($AX10,Zusammenlagerung!$A$3:$AA$28,24,FALSE),"")</f>
        <v/>
      </c>
      <c r="BV10" s="441" t="str">
        <f>IFERROR(VLOOKUP($AX10,Zusammenlagerung!$A$3:$AA$28,25,FALSE),"")</f>
        <v/>
      </c>
      <c r="BW10" s="441" t="str">
        <f>IFERROR(VLOOKUP($AX10,Zusammenlagerung!$A$3:$AA$28,26,FALSE),"")</f>
        <v/>
      </c>
      <c r="BX10" s="441" t="str">
        <f>IFERROR(VLOOKUP($AX10,Zusammenlagerung!$A$3:$AA$28,27,FALSE),"")</f>
        <v/>
      </c>
      <c r="BY10" s="443" t="str">
        <f t="shared" si="24"/>
        <v/>
      </c>
      <c r="BZ10" s="197"/>
      <c r="CA10" s="102"/>
      <c r="CB10" s="12"/>
      <c r="CC10" s="12"/>
      <c r="CD10" s="12"/>
      <c r="CE10" s="12"/>
      <c r="CF10" s="12"/>
      <c r="CG10" s="12"/>
      <c r="CH10" s="12"/>
      <c r="CI10" s="12"/>
      <c r="CJ10" s="12"/>
      <c r="CK10" s="12"/>
      <c r="CL10" s="348"/>
      <c r="CM10" s="348"/>
      <c r="CN10" s="349"/>
      <c r="CO10" s="162" t="s">
        <v>3186</v>
      </c>
      <c r="CP10" s="462"/>
      <c r="CQ10" s="12"/>
      <c r="CR10" s="168"/>
      <c r="CS10" s="154"/>
      <c r="CT10" s="198"/>
      <c r="CU10" s="12"/>
      <c r="CV10" s="12"/>
      <c r="CW10" s="12"/>
      <c r="CX10" s="444" t="e" cm="1">
        <f t="array" ref="CX10">INDEX(Einatmen!$A$21:$A$26,MATCH(CV10&amp;CW10,Einatmen!$C$21:$C$26&amp;Einatmen!$B$21:$B$26,0))</f>
        <v>#N/A</v>
      </c>
      <c r="CY10" s="12"/>
      <c r="CZ10" s="444" t="e">
        <f t="array" ref="CZ10">INDEX(Einatmen!$A$38:$A$49,MATCH(CV10&amp;CY10,Einatmen!$C$38:$C$49&amp;Einatmen!$B$38:$B$49,0))</f>
        <v>#N/A</v>
      </c>
      <c r="DA10" s="444" t="e">
        <f t="array" ref="DA10">INDEX(Einatmen!$D$52:$D$159,MATCH(CU10&amp;CX10&amp;CZ10&amp;CV10,Einatmen!$A$52:$A$159&amp;Einatmen!$B$52:$B$159&amp;Einatmen!$C$52:$C$159&amp;Einatmen!$E$52:$E$159,0))</f>
        <v>#N/A</v>
      </c>
      <c r="DB10" s="12"/>
      <c r="DC10" s="353" t="str">
        <f t="shared" si="25"/>
        <v/>
      </c>
      <c r="DD10" s="147" t="str">
        <f>IFERROR(VLOOKUP(DB10,Schutzleitfäden!$A$3:$C$46,3,FALSE),"")</f>
        <v/>
      </c>
      <c r="DE10" s="199"/>
      <c r="DF10" s="12"/>
      <c r="DG10" s="12"/>
      <c r="DH10" s="444" t="str">
        <f>IF(DG10=Haut!$A$12,Haut!$B$12,(IF(DG10=Haut!$A$13,Haut!$B$13,"")))</f>
        <v/>
      </c>
      <c r="DI10" s="12"/>
      <c r="DJ10" s="444" t="str">
        <f>IF(DI10=Haut!$A$18,Haut!$C$18,(IF(DI10=Haut!$A$19,Haut!$C$19,"")))</f>
        <v/>
      </c>
      <c r="DK10" s="444" t="e">
        <f t="array" ref="DK10">INDEX(Haut!$D$22:$D$45,MATCH(DF10&amp;DH10&amp;DJ10,Haut!$A$22:$A$45&amp;Haut!$B$22:$B$45&amp;Haut!$C$22:$C$45,0))</f>
        <v>#N/A</v>
      </c>
      <c r="DL10" s="444" t="str">
        <f>IF(ISNA(DK10),"",(IF(DK10=Haut!$D$49,Haut!$E$49,(IF(DK10=Haut!$D$50,Haut!$E$50,(IF(DK10=Haut!$D$51,Haut!$E$51,(IF(DK10=Haut!$D$52,Haut!$E$52,(IF(DK10=Haut!$D$53,Haut!$E$53,"")))))))))))</f>
        <v/>
      </c>
      <c r="DM10" s="353" t="str">
        <f t="shared" si="26"/>
        <v/>
      </c>
      <c r="DN10" s="147" t="str">
        <f>IFERROR(VLOOKUP(DL10,Schutzleitfäden!$A$3:$C$46,3,FALSE),"")</f>
        <v/>
      </c>
      <c r="DO10" s="324"/>
      <c r="DP10" s="194"/>
      <c r="DQ10" s="444">
        <f t="shared" si="27"/>
        <v>0</v>
      </c>
      <c r="DR10" s="444">
        <f t="shared" si="28"/>
        <v>0</v>
      </c>
      <c r="DS10" s="444" t="e">
        <f t="array" ref="DS10">INDEX(Brand_EX!$A$15:$A$20,MATCH(DQ10&amp;DR10,Brand_EX!$C$15:$C$20&amp;Brand_EX!$B$15:$B$20,0))</f>
        <v>#N/A</v>
      </c>
      <c r="DT10" s="444">
        <f t="shared" si="29"/>
        <v>0</v>
      </c>
      <c r="DU10" s="444" t="e">
        <f t="array" ref="DU10">INDEX(Brand_EX!$A$31:$A$41,MATCH(DQ10&amp;DT10,Brand_EX!$C$31:$C$41&amp;Brand_EX!$B$31:$B$41,0))</f>
        <v>#N/A</v>
      </c>
      <c r="DV10" s="444" t="e">
        <f t="array" ref="DV10">INDEX(Brand_EX!$D$44:$D$133,MATCH(DP10&amp;DS10&amp;DU10&amp;DQ10,Brand_EX!$A$44:$A$133&amp;Brand_EX!$B$44:$B$133&amp;Brand_EX!$C$44:$C$133&amp;Brand_EX!$E$44:$E$133,0))</f>
        <v>#N/A</v>
      </c>
      <c r="DW10" s="12"/>
      <c r="DX10" s="354" t="str">
        <f t="shared" si="30"/>
        <v/>
      </c>
      <c r="DY10" s="147" t="str">
        <f>IFERROR(VLOOKUP(DW10,Schutzleitfäden!$A$3:$C$46,3,FALSE),"")</f>
        <v/>
      </c>
      <c r="DZ10" s="200"/>
      <c r="EA10" s="102" t="s">
        <v>7471</v>
      </c>
      <c r="EB10" s="12"/>
      <c r="EC10" s="12"/>
      <c r="ED10" s="102"/>
      <c r="EE10" s="338"/>
      <c r="EF10" s="13"/>
      <c r="EG10" s="13"/>
      <c r="EH10" s="13"/>
      <c r="EI10" s="448"/>
      <c r="EJ10" s="437" t="str">
        <f t="shared" si="31"/>
        <v>nein</v>
      </c>
      <c r="EK10" s="300"/>
      <c r="EL10" s="445"/>
      <c r="EM10" s="446"/>
      <c r="EN10" s="446"/>
      <c r="EO10" s="190" t="e">
        <f>VLOOKUP(EN10,Daten!$M$2:$N$18,2,FALSE)</f>
        <v>#N/A</v>
      </c>
      <c r="EP10" s="447" t="s">
        <v>511</v>
      </c>
      <c r="EQ10" s="445">
        <v>0</v>
      </c>
      <c r="ER10" s="446" t="s">
        <v>511</v>
      </c>
      <c r="ES10" s="446" t="s">
        <v>117</v>
      </c>
      <c r="ET10" s="191" t="str">
        <f>VLOOKUP(ES10,Daten!$M$2:$N$18,2,FALSE)</f>
        <v>entfällt</v>
      </c>
      <c r="EU10" s="447" t="s">
        <v>511</v>
      </c>
      <c r="EV10" s="445">
        <v>0</v>
      </c>
      <c r="EW10" s="446" t="s">
        <v>511</v>
      </c>
      <c r="EX10" s="446" t="s">
        <v>117</v>
      </c>
      <c r="EY10" s="191" t="str">
        <f>VLOOKUP(EX10,Daten!$M$2:$N$18,2,FALSE)</f>
        <v>entfällt</v>
      </c>
      <c r="EZ10" s="192"/>
      <c r="FA10" s="102"/>
      <c r="FB10" s="147" t="str">
        <f t="shared" si="32"/>
        <v/>
      </c>
      <c r="FC10" s="102"/>
      <c r="FD10" s="147" t="str">
        <f t="shared" si="33"/>
        <v/>
      </c>
      <c r="FE10" s="102"/>
      <c r="FF10" s="147" t="str">
        <f t="shared" si="34"/>
        <v/>
      </c>
      <c r="FG10" s="193"/>
      <c r="FH10" s="450" t="s">
        <v>7452</v>
      </c>
      <c r="FI10" s="421" t="s">
        <v>7426</v>
      </c>
      <c r="FJ10" s="449"/>
      <c r="FK10" s="421"/>
      <c r="FL10" s="421"/>
      <c r="FM10" s="421"/>
      <c r="FN10" s="450" t="s">
        <v>7453</v>
      </c>
      <c r="FO10" s="421" t="s">
        <v>7425</v>
      </c>
      <c r="FP10" s="451" t="s">
        <v>7460</v>
      </c>
      <c r="FQ10" s="421"/>
      <c r="FR10" s="421"/>
      <c r="FS10" s="451" t="s">
        <v>7460</v>
      </c>
      <c r="FT10" s="421"/>
      <c r="FU10" s="421"/>
      <c r="FV10" s="287"/>
      <c r="FW10" s="452"/>
      <c r="FX10" s="285" t="str">
        <f t="shared" si="35"/>
        <v/>
      </c>
      <c r="FY10" s="285" t="str">
        <f t="shared" si="36"/>
        <v/>
      </c>
      <c r="FZ10" s="147" t="str">
        <f t="shared" si="37"/>
        <v/>
      </c>
      <c r="GA10" s="453"/>
      <c r="GB10" s="200"/>
      <c r="GC10" s="459"/>
      <c r="GD10" s="102"/>
      <c r="GE10" s="102"/>
      <c r="GF10" s="102"/>
      <c r="GG10" s="102"/>
      <c r="GH10" s="102"/>
      <c r="GI10" s="102"/>
      <c r="GJ10" s="102"/>
      <c r="GK10" s="102"/>
      <c r="GL10" s="102"/>
      <c r="GM10" s="102"/>
      <c r="GN10" s="102"/>
    </row>
    <row r="11" spans="1:196" ht="30" customHeight="1" x14ac:dyDescent="0.3">
      <c r="A11" s="420" t="s">
        <v>830</v>
      </c>
      <c r="B11" s="102" t="s">
        <v>7540</v>
      </c>
      <c r="C11" s="102" t="s">
        <v>7531</v>
      </c>
      <c r="D11" s="15"/>
      <c r="E11" s="157" t="str">
        <f t="shared" si="12"/>
        <v>2</v>
      </c>
      <c r="F11" s="418"/>
      <c r="G11" s="157" t="str">
        <f>IF(AJ11&lt;&gt;"",HYPERLINK(CONCATENATE("BAG\",AJ11,".pdf"),"2"),HYPERLINK(CONCATENATE("BAG\BAG_",A11,".pdf"),"2"))</f>
        <v>2</v>
      </c>
      <c r="H11" s="169" t="str">
        <f t="shared" si="0"/>
        <v/>
      </c>
      <c r="I11" s="169" t="str">
        <f t="shared" si="13"/>
        <v/>
      </c>
      <c r="J11" s="169" t="str">
        <f t="shared" si="14"/>
        <v/>
      </c>
      <c r="K11" s="169" t="str">
        <f t="shared" si="15"/>
        <v/>
      </c>
      <c r="L11" s="169" t="str">
        <f t="shared" si="16"/>
        <v/>
      </c>
      <c r="M11" s="169" t="str">
        <f t="shared" si="17"/>
        <v/>
      </c>
      <c r="N11" s="169" t="str">
        <f t="shared" si="18"/>
        <v/>
      </c>
      <c r="O11" s="169" t="str">
        <f t="shared" si="19"/>
        <v/>
      </c>
      <c r="P11" s="169" t="str">
        <f t="shared" si="20"/>
        <v/>
      </c>
      <c r="Q11" s="169" t="str">
        <f t="shared" si="1"/>
        <v/>
      </c>
      <c r="R11" s="169" t="str">
        <f t="shared" si="2"/>
        <v/>
      </c>
      <c r="S11" s="12"/>
      <c r="T11" s="12"/>
      <c r="U11" s="196"/>
      <c r="V11" s="465" t="str">
        <f t="shared" si="21"/>
        <v>y</v>
      </c>
      <c r="W11" s="337"/>
      <c r="X11" s="316"/>
      <c r="Y11" s="315"/>
      <c r="Z11" s="316"/>
      <c r="AA11" s="315"/>
      <c r="AB11" s="316"/>
      <c r="AC11" s="315"/>
      <c r="AD11" s="316"/>
      <c r="AE11" s="315"/>
      <c r="AF11" s="316"/>
      <c r="AG11" s="300" t="s">
        <v>7485</v>
      </c>
      <c r="AH11" s="404"/>
      <c r="AI11" s="13"/>
      <c r="AJ11" s="291"/>
      <c r="AK11" s="291"/>
      <c r="AL11" s="291"/>
      <c r="AM11" s="291"/>
      <c r="AN11" s="439" t="str">
        <f>HYPERLINK(CONCATENATE("TDB\TDB_",A11,".pdf"),"2")</f>
        <v>2</v>
      </c>
      <c r="AO11" s="295"/>
      <c r="AP11" s="300"/>
      <c r="AQ11" s="225" t="s">
        <v>7548</v>
      </c>
      <c r="AR11" s="13">
        <v>1</v>
      </c>
      <c r="AS11" s="13" t="s">
        <v>459</v>
      </c>
      <c r="AT11" s="154"/>
      <c r="AU11" s="440">
        <f t="shared" si="22"/>
        <v>0</v>
      </c>
      <c r="AV11" s="440" t="str">
        <f t="shared" si="23"/>
        <v>Liter</v>
      </c>
      <c r="AW11" s="405"/>
      <c r="AX11" s="339"/>
      <c r="AY11" s="441" t="str">
        <f>IFERROR(VLOOKUP($AX11,Zusammenlagerung!$A$3:$AA$28,2,FALSE),"")</f>
        <v/>
      </c>
      <c r="AZ11" s="441" t="str">
        <f>IFERROR(VLOOKUP($AX11,Zusammenlagerung!$A$3:$AA$28,3,FALSE),"")</f>
        <v/>
      </c>
      <c r="BA11" s="441" t="str">
        <f>IFERROR(VLOOKUP($AX11,Zusammenlagerung!$A$3:$AA$28,4,FALSE),"")</f>
        <v/>
      </c>
      <c r="BB11" s="441" t="str">
        <f>IFERROR(VLOOKUP($AX11,Zusammenlagerung!$A$3:$AA$28,5,FALSE),"")</f>
        <v/>
      </c>
      <c r="BC11" s="441" t="str">
        <f>IFERROR(VLOOKUP($AX11,Zusammenlagerung!$A$3:$AA$28,6,FALSE),"")</f>
        <v/>
      </c>
      <c r="BD11" s="441" t="str">
        <f>IFERROR(VLOOKUP($AX11,Zusammenlagerung!$A$3:$AA$28,7,FALSE),"")</f>
        <v/>
      </c>
      <c r="BE11" s="441" t="str">
        <f>IFERROR(VLOOKUP($AX11,Zusammenlagerung!$A$3:$AA$28,8,FALSE),"")</f>
        <v/>
      </c>
      <c r="BF11" s="441" t="str">
        <f>IFERROR(VLOOKUP($AX11,Zusammenlagerung!$A$3:$AA$28,9,FALSE),"")</f>
        <v/>
      </c>
      <c r="BG11" s="441" t="str">
        <f>IFERROR(VLOOKUP($AX11,Zusammenlagerung!$A$3:$AA$28,10,FALSE),"")</f>
        <v/>
      </c>
      <c r="BH11" s="441" t="str">
        <f>IFERROR(VLOOKUP($AX11,Zusammenlagerung!$A$3:$AA$28,11,FALSE),"")</f>
        <v/>
      </c>
      <c r="BI11" s="441" t="str">
        <f>IFERROR(VLOOKUP($AX11,Zusammenlagerung!$A$3:$AA$28,12,FALSE),"")</f>
        <v/>
      </c>
      <c r="BJ11" s="441" t="str">
        <f>IFERROR(VLOOKUP($AX11,Zusammenlagerung!$A$3:$AA$28,13,FALSE),"")</f>
        <v/>
      </c>
      <c r="BK11" s="441" t="str">
        <f>IFERROR(VLOOKUP($AX11,Zusammenlagerung!$A$3:$AA$28,14,FALSE),"")</f>
        <v/>
      </c>
      <c r="BL11" s="441" t="str">
        <f>IFERROR(VLOOKUP($AX11,Zusammenlagerung!$A$3:$AA$28,15,FALSE),"")</f>
        <v/>
      </c>
      <c r="BM11" s="441" t="str">
        <f>IFERROR(VLOOKUP($AX11,Zusammenlagerung!$A$3:$AA$28,16,FALSE),"")</f>
        <v/>
      </c>
      <c r="BN11" s="441" t="str">
        <f>IFERROR(VLOOKUP($AX11,Zusammenlagerung!$A$3:$AA$28,17,FALSE),"")</f>
        <v/>
      </c>
      <c r="BO11" s="441" t="str">
        <f>IFERROR(VLOOKUP($AX11,Zusammenlagerung!$A$3:$AA$28,18,FALSE),"")</f>
        <v/>
      </c>
      <c r="BP11" s="441" t="str">
        <f>IFERROR(VLOOKUP($AX11,Zusammenlagerung!$A$3:$AA$28,19,FALSE),"")</f>
        <v/>
      </c>
      <c r="BQ11" s="441" t="str">
        <f>IFERROR(VLOOKUP($AX11,Zusammenlagerung!$A$3:$AA$28,20,FALSE),"")</f>
        <v/>
      </c>
      <c r="BR11" s="441" t="str">
        <f>IFERROR(VLOOKUP($AX11,Zusammenlagerung!$A$3:$AA$28,21,FALSE),"")</f>
        <v/>
      </c>
      <c r="BS11" s="442"/>
      <c r="BT11" s="441" t="str">
        <f>IFERROR(VLOOKUP($AX11,Zusammenlagerung!$A$3:$AA$28,23,FALSE),"")</f>
        <v/>
      </c>
      <c r="BU11" s="441" t="str">
        <f>IFERROR(VLOOKUP($AX11,Zusammenlagerung!$A$3:$AA$28,24,FALSE),"")</f>
        <v/>
      </c>
      <c r="BV11" s="441" t="str">
        <f>IFERROR(VLOOKUP($AX11,Zusammenlagerung!$A$3:$AA$28,25,FALSE),"")</f>
        <v/>
      </c>
      <c r="BW11" s="441" t="str">
        <f>IFERROR(VLOOKUP($AX11,Zusammenlagerung!$A$3:$AA$28,26,FALSE),"")</f>
        <v/>
      </c>
      <c r="BX11" s="441" t="str">
        <f>IFERROR(VLOOKUP($AX11,Zusammenlagerung!$A$3:$AA$28,27,FALSE),"")</f>
        <v/>
      </c>
      <c r="BY11" s="443" t="str">
        <f t="shared" si="24"/>
        <v/>
      </c>
      <c r="BZ11" s="197"/>
      <c r="CA11" s="102"/>
      <c r="CB11" s="12"/>
      <c r="CC11" s="12"/>
      <c r="CD11" s="12"/>
      <c r="CE11" s="12"/>
      <c r="CF11" s="12"/>
      <c r="CG11" s="12"/>
      <c r="CH11" s="12"/>
      <c r="CI11" s="12"/>
      <c r="CJ11" s="12"/>
      <c r="CK11" s="12"/>
      <c r="CL11" s="348"/>
      <c r="CM11" s="348"/>
      <c r="CN11" s="349"/>
      <c r="CO11" s="162" t="s">
        <v>3186</v>
      </c>
      <c r="CP11" s="462"/>
      <c r="CQ11" s="12"/>
      <c r="CR11" s="168"/>
      <c r="CS11" s="154"/>
      <c r="CT11" s="198"/>
      <c r="CU11" s="12"/>
      <c r="CV11" s="12"/>
      <c r="CW11" s="12"/>
      <c r="CX11" s="444" t="e" cm="1">
        <f t="array" ref="CX11">INDEX(Einatmen!$A$21:$A$26,MATCH(CV11&amp;CW11,Einatmen!$C$21:$C$26&amp;Einatmen!$B$21:$B$26,0))</f>
        <v>#N/A</v>
      </c>
      <c r="CY11" s="12"/>
      <c r="CZ11" s="444" t="e">
        <f t="array" ref="CZ11">INDEX(Einatmen!$A$38:$A$49,MATCH(CV11&amp;CY11,Einatmen!$C$38:$C$49&amp;Einatmen!$B$38:$B$49,0))</f>
        <v>#N/A</v>
      </c>
      <c r="DA11" s="444" t="e">
        <f t="array" ref="DA11">INDEX(Einatmen!$D$52:$D$159,MATCH(CU11&amp;CX11&amp;CZ11&amp;CV11,Einatmen!$A$52:$A$159&amp;Einatmen!$B$52:$B$159&amp;Einatmen!$C$52:$C$159&amp;Einatmen!$E$52:$E$159,0))</f>
        <v>#N/A</v>
      </c>
      <c r="DB11" s="12"/>
      <c r="DC11" s="353" t="str">
        <f t="shared" si="25"/>
        <v/>
      </c>
      <c r="DD11" s="147" t="str">
        <f>IFERROR(VLOOKUP(DB11,Schutzleitfäden!$A$3:$C$46,3,FALSE),"")</f>
        <v/>
      </c>
      <c r="DE11" s="199"/>
      <c r="DF11" s="12"/>
      <c r="DG11" s="12"/>
      <c r="DH11" s="444" t="str">
        <f>IF(DG11=Haut!$A$12,Haut!$B$12,(IF(DG11=Haut!$A$13,Haut!$B$13,"")))</f>
        <v/>
      </c>
      <c r="DI11" s="12"/>
      <c r="DJ11" s="444" t="str">
        <f>IF(DI11=Haut!$A$18,Haut!$C$18,(IF(DI11=Haut!$A$19,Haut!$C$19,"")))</f>
        <v/>
      </c>
      <c r="DK11" s="444" t="e">
        <f t="array" ref="DK11">INDEX(Haut!$D$22:$D$45,MATCH(DF11&amp;DH11&amp;DJ11,Haut!$A$22:$A$45&amp;Haut!$B$22:$B$45&amp;Haut!$C$22:$C$45,0))</f>
        <v>#N/A</v>
      </c>
      <c r="DL11" s="444" t="str">
        <f>IF(ISNA(DK11),"",(IF(DK11=Haut!$D$49,Haut!$E$49,(IF(DK11=Haut!$D$50,Haut!$E$50,(IF(DK11=Haut!$D$51,Haut!$E$51,(IF(DK11=Haut!$D$52,Haut!$E$52,(IF(DK11=Haut!$D$53,Haut!$E$53,"")))))))))))</f>
        <v/>
      </c>
      <c r="DM11" s="353" t="str">
        <f t="shared" si="26"/>
        <v/>
      </c>
      <c r="DN11" s="147" t="str">
        <f>IFERROR(VLOOKUP(DL11,Schutzleitfäden!$A$3:$C$46,3,FALSE),"")</f>
        <v/>
      </c>
      <c r="DO11" s="324"/>
      <c r="DP11" s="194"/>
      <c r="DQ11" s="444">
        <f t="shared" si="27"/>
        <v>0</v>
      </c>
      <c r="DR11" s="444">
        <f t="shared" si="28"/>
        <v>0</v>
      </c>
      <c r="DS11" s="444" t="e">
        <f t="array" ref="DS11">INDEX(Brand_EX!$A$15:$A$20,MATCH(DQ11&amp;DR11,Brand_EX!$C$15:$C$20&amp;Brand_EX!$B$15:$B$20,0))</f>
        <v>#N/A</v>
      </c>
      <c r="DT11" s="444">
        <f t="shared" si="29"/>
        <v>0</v>
      </c>
      <c r="DU11" s="444" t="e">
        <f t="array" ref="DU11">INDEX(Brand_EX!$A$31:$A$41,MATCH(DQ11&amp;DT11,Brand_EX!$C$31:$C$41&amp;Brand_EX!$B$31:$B$41,0))</f>
        <v>#N/A</v>
      </c>
      <c r="DV11" s="444" t="e">
        <f t="array" ref="DV11">INDEX(Brand_EX!$D$44:$D$133,MATCH(DP11&amp;DS11&amp;DU11&amp;DQ11,Brand_EX!$A$44:$A$133&amp;Brand_EX!$B$44:$B$133&amp;Brand_EX!$C$44:$C$133&amp;Brand_EX!$E$44:$E$133,0))</f>
        <v>#N/A</v>
      </c>
      <c r="DW11" s="12"/>
      <c r="DX11" s="354" t="str">
        <f t="shared" si="30"/>
        <v/>
      </c>
      <c r="DY11" s="147" t="str">
        <f>IFERROR(VLOOKUP(DW11,Schutzleitfäden!$A$3:$C$46,3,FALSE),"")</f>
        <v/>
      </c>
      <c r="DZ11" s="200"/>
      <c r="EA11" s="102" t="s">
        <v>7471</v>
      </c>
      <c r="EB11" s="12"/>
      <c r="EC11" s="12"/>
      <c r="ED11" s="102"/>
      <c r="EE11" s="338"/>
      <c r="EF11" s="13"/>
      <c r="EG11" s="13"/>
      <c r="EH11" s="13"/>
      <c r="EI11" s="448"/>
      <c r="EJ11" s="437" t="str">
        <f t="shared" si="31"/>
        <v>nein</v>
      </c>
      <c r="EK11" s="300"/>
      <c r="EL11" s="445"/>
      <c r="EM11" s="446"/>
      <c r="EN11" s="446"/>
      <c r="EO11" s="190" t="e">
        <f>VLOOKUP(EN11,Daten!$M$2:$N$18,2,FALSE)</f>
        <v>#N/A</v>
      </c>
      <c r="EP11" s="447" t="s">
        <v>511</v>
      </c>
      <c r="EQ11" s="445">
        <v>0</v>
      </c>
      <c r="ER11" s="446" t="s">
        <v>511</v>
      </c>
      <c r="ES11" s="446" t="s">
        <v>117</v>
      </c>
      <c r="ET11" s="191" t="str">
        <f>VLOOKUP(ES11,Daten!$M$2:$N$18,2,FALSE)</f>
        <v>entfällt</v>
      </c>
      <c r="EU11" s="447" t="s">
        <v>511</v>
      </c>
      <c r="EV11" s="445">
        <v>0</v>
      </c>
      <c r="EW11" s="446" t="s">
        <v>511</v>
      </c>
      <c r="EX11" s="446" t="s">
        <v>117</v>
      </c>
      <c r="EY11" s="191" t="str">
        <f>VLOOKUP(EX11,Daten!$M$2:$N$18,2,FALSE)</f>
        <v>entfällt</v>
      </c>
      <c r="EZ11" s="192"/>
      <c r="FA11" s="102"/>
      <c r="FB11" s="147" t="str">
        <f t="shared" si="32"/>
        <v/>
      </c>
      <c r="FC11" s="102"/>
      <c r="FD11" s="147" t="str">
        <f t="shared" si="33"/>
        <v/>
      </c>
      <c r="FE11" s="102"/>
      <c r="FF11" s="147" t="str">
        <f t="shared" si="34"/>
        <v/>
      </c>
      <c r="FG11" s="193"/>
      <c r="FH11" s="450" t="s">
        <v>7452</v>
      </c>
      <c r="FI11" s="421" t="s">
        <v>7426</v>
      </c>
      <c r="FJ11" s="449"/>
      <c r="FK11" s="421"/>
      <c r="FL11" s="421"/>
      <c r="FM11" s="421"/>
      <c r="FN11" s="450" t="s">
        <v>7453</v>
      </c>
      <c r="FO11" s="421" t="s">
        <v>7425</v>
      </c>
      <c r="FP11" s="451" t="s">
        <v>7460</v>
      </c>
      <c r="FQ11" s="421"/>
      <c r="FR11" s="421"/>
      <c r="FS11" s="451" t="s">
        <v>7460</v>
      </c>
      <c r="FT11" s="421"/>
      <c r="FU11" s="421"/>
      <c r="FV11" s="287"/>
      <c r="FW11" s="452"/>
      <c r="FX11" s="285" t="str">
        <f t="shared" si="35"/>
        <v/>
      </c>
      <c r="FY11" s="285" t="str">
        <f t="shared" si="36"/>
        <v/>
      </c>
      <c r="FZ11" s="147" t="str">
        <f t="shared" si="37"/>
        <v/>
      </c>
      <c r="GA11" s="453"/>
      <c r="GB11" s="200"/>
      <c r="GC11" s="459"/>
      <c r="GD11" s="102"/>
      <c r="GE11" s="102"/>
      <c r="GF11" s="102"/>
      <c r="GG11" s="102"/>
      <c r="GH11" s="102"/>
      <c r="GI11" s="102"/>
      <c r="GJ11" s="102"/>
      <c r="GK11" s="102"/>
      <c r="GL11" s="102"/>
      <c r="GM11" s="102"/>
      <c r="GN11" s="102"/>
    </row>
    <row r="12" spans="1:196" ht="30" customHeight="1" x14ac:dyDescent="0.3">
      <c r="A12" s="420" t="s">
        <v>831</v>
      </c>
      <c r="B12" s="102" t="s">
        <v>7541</v>
      </c>
      <c r="C12" s="102" t="s">
        <v>7532</v>
      </c>
      <c r="D12" s="15"/>
      <c r="E12" s="157" t="str">
        <f t="shared" si="12"/>
        <v>2</v>
      </c>
      <c r="F12" s="418"/>
      <c r="G12" s="157" t="str">
        <f>IF(AJ12&lt;&gt;"",HYPERLINK(CONCATENATE("BAG\",AJ12,".pdf"),"2"),HYPERLINK(CONCATENATE("BAG\BAG_",A12,".pdf"),"2"))</f>
        <v>2</v>
      </c>
      <c r="H12" s="169" t="str">
        <f t="shared" si="0"/>
        <v/>
      </c>
      <c r="I12" s="169" t="str">
        <f t="shared" si="13"/>
        <v/>
      </c>
      <c r="J12" s="169" t="str">
        <f t="shared" si="14"/>
        <v/>
      </c>
      <c r="K12" s="169" t="str">
        <f t="shared" si="15"/>
        <v/>
      </c>
      <c r="L12" s="169" t="str">
        <f t="shared" si="16"/>
        <v/>
      </c>
      <c r="M12" s="169" t="str">
        <f t="shared" si="17"/>
        <v/>
      </c>
      <c r="N12" s="169" t="str">
        <f t="shared" si="18"/>
        <v/>
      </c>
      <c r="O12" s="169" t="str">
        <f t="shared" si="19"/>
        <v/>
      </c>
      <c r="P12" s="169" t="str">
        <f t="shared" si="20"/>
        <v/>
      </c>
      <c r="Q12" s="169" t="str">
        <f t="shared" si="1"/>
        <v/>
      </c>
      <c r="R12" s="169" t="str">
        <f t="shared" si="2"/>
        <v/>
      </c>
      <c r="S12" s="12"/>
      <c r="T12" s="12"/>
      <c r="U12" s="196"/>
      <c r="V12" s="465" t="str">
        <f t="shared" si="21"/>
        <v>y</v>
      </c>
      <c r="W12" s="337"/>
      <c r="X12" s="316"/>
      <c r="Y12" s="315"/>
      <c r="Z12" s="316"/>
      <c r="AA12" s="315"/>
      <c r="AB12" s="316"/>
      <c r="AC12" s="315"/>
      <c r="AD12" s="316"/>
      <c r="AE12" s="315"/>
      <c r="AF12" s="316"/>
      <c r="AG12" s="300" t="s">
        <v>7485</v>
      </c>
      <c r="AH12" s="404"/>
      <c r="AI12" s="13"/>
      <c r="AJ12" s="291"/>
      <c r="AK12" s="291"/>
      <c r="AL12" s="291"/>
      <c r="AM12" s="291"/>
      <c r="AN12" s="439" t="str">
        <f>HYPERLINK(CONCATENATE("TDB\TDB_",A12,".pdf"),"2")</f>
        <v>2</v>
      </c>
      <c r="AO12" s="295"/>
      <c r="AP12" s="300"/>
      <c r="AQ12" s="225" t="s">
        <v>798</v>
      </c>
      <c r="AR12" s="13">
        <v>750</v>
      </c>
      <c r="AS12" s="13" t="s">
        <v>499</v>
      </c>
      <c r="AT12" s="154"/>
      <c r="AU12" s="440">
        <f t="shared" si="22"/>
        <v>0</v>
      </c>
      <c r="AV12" s="440" t="str">
        <f t="shared" si="23"/>
        <v>Liter</v>
      </c>
      <c r="AW12" s="405"/>
      <c r="AX12" s="339"/>
      <c r="AY12" s="441" t="str">
        <f>IFERROR(VLOOKUP($AX12,Zusammenlagerung!$A$3:$AA$28,2,FALSE),"")</f>
        <v/>
      </c>
      <c r="AZ12" s="441" t="str">
        <f>IFERROR(VLOOKUP($AX12,Zusammenlagerung!$A$3:$AA$28,3,FALSE),"")</f>
        <v/>
      </c>
      <c r="BA12" s="441" t="str">
        <f>IFERROR(VLOOKUP($AX12,Zusammenlagerung!$A$3:$AA$28,4,FALSE),"")</f>
        <v/>
      </c>
      <c r="BB12" s="441" t="str">
        <f>IFERROR(VLOOKUP($AX12,Zusammenlagerung!$A$3:$AA$28,5,FALSE),"")</f>
        <v/>
      </c>
      <c r="BC12" s="441" t="str">
        <f>IFERROR(VLOOKUP($AX12,Zusammenlagerung!$A$3:$AA$28,6,FALSE),"")</f>
        <v/>
      </c>
      <c r="BD12" s="441" t="str">
        <f>IFERROR(VLOOKUP($AX12,Zusammenlagerung!$A$3:$AA$28,7,FALSE),"")</f>
        <v/>
      </c>
      <c r="BE12" s="441" t="str">
        <f>IFERROR(VLOOKUP($AX12,Zusammenlagerung!$A$3:$AA$28,8,FALSE),"")</f>
        <v/>
      </c>
      <c r="BF12" s="441" t="str">
        <f>IFERROR(VLOOKUP($AX12,Zusammenlagerung!$A$3:$AA$28,9,FALSE),"")</f>
        <v/>
      </c>
      <c r="BG12" s="441" t="str">
        <f>IFERROR(VLOOKUP($AX12,Zusammenlagerung!$A$3:$AA$28,10,FALSE),"")</f>
        <v/>
      </c>
      <c r="BH12" s="441" t="str">
        <f>IFERROR(VLOOKUP($AX12,Zusammenlagerung!$A$3:$AA$28,11,FALSE),"")</f>
        <v/>
      </c>
      <c r="BI12" s="441" t="str">
        <f>IFERROR(VLOOKUP($AX12,Zusammenlagerung!$A$3:$AA$28,12,FALSE),"")</f>
        <v/>
      </c>
      <c r="BJ12" s="441" t="str">
        <f>IFERROR(VLOOKUP($AX12,Zusammenlagerung!$A$3:$AA$28,13,FALSE),"")</f>
        <v/>
      </c>
      <c r="BK12" s="441" t="str">
        <f>IFERROR(VLOOKUP($AX12,Zusammenlagerung!$A$3:$AA$28,14,FALSE),"")</f>
        <v/>
      </c>
      <c r="BL12" s="441" t="str">
        <f>IFERROR(VLOOKUP($AX12,Zusammenlagerung!$A$3:$AA$28,15,FALSE),"")</f>
        <v/>
      </c>
      <c r="BM12" s="441" t="str">
        <f>IFERROR(VLOOKUP($AX12,Zusammenlagerung!$A$3:$AA$28,16,FALSE),"")</f>
        <v/>
      </c>
      <c r="BN12" s="441" t="str">
        <f>IFERROR(VLOOKUP($AX12,Zusammenlagerung!$A$3:$AA$28,17,FALSE),"")</f>
        <v/>
      </c>
      <c r="BO12" s="441" t="str">
        <f>IFERROR(VLOOKUP($AX12,Zusammenlagerung!$A$3:$AA$28,18,FALSE),"")</f>
        <v/>
      </c>
      <c r="BP12" s="441" t="str">
        <f>IFERROR(VLOOKUP($AX12,Zusammenlagerung!$A$3:$AA$28,19,FALSE),"")</f>
        <v/>
      </c>
      <c r="BQ12" s="441" t="str">
        <f>IFERROR(VLOOKUP($AX12,Zusammenlagerung!$A$3:$AA$28,20,FALSE),"")</f>
        <v/>
      </c>
      <c r="BR12" s="441" t="str">
        <f>IFERROR(VLOOKUP($AX12,Zusammenlagerung!$A$3:$AA$28,21,FALSE),"")</f>
        <v/>
      </c>
      <c r="BS12" s="442"/>
      <c r="BT12" s="441" t="str">
        <f>IFERROR(VLOOKUP($AX12,Zusammenlagerung!$A$3:$AA$28,23,FALSE),"")</f>
        <v/>
      </c>
      <c r="BU12" s="441" t="str">
        <f>IFERROR(VLOOKUP($AX12,Zusammenlagerung!$A$3:$AA$28,24,FALSE),"")</f>
        <v/>
      </c>
      <c r="BV12" s="441" t="str">
        <f>IFERROR(VLOOKUP($AX12,Zusammenlagerung!$A$3:$AA$28,25,FALSE),"")</f>
        <v/>
      </c>
      <c r="BW12" s="441" t="str">
        <f>IFERROR(VLOOKUP($AX12,Zusammenlagerung!$A$3:$AA$28,26,FALSE),"")</f>
        <v/>
      </c>
      <c r="BX12" s="441" t="str">
        <f>IFERROR(VLOOKUP($AX12,Zusammenlagerung!$A$3:$AA$28,27,FALSE),"")</f>
        <v/>
      </c>
      <c r="BY12" s="443" t="str">
        <f t="shared" si="24"/>
        <v/>
      </c>
      <c r="BZ12" s="197"/>
      <c r="CA12" s="102"/>
      <c r="CB12" s="12"/>
      <c r="CC12" s="12"/>
      <c r="CD12" s="12"/>
      <c r="CE12" s="12"/>
      <c r="CF12" s="12"/>
      <c r="CG12" s="12"/>
      <c r="CH12" s="12"/>
      <c r="CI12" s="12"/>
      <c r="CJ12" s="12"/>
      <c r="CK12" s="12"/>
      <c r="CL12" s="348"/>
      <c r="CM12" s="348"/>
      <c r="CN12" s="349"/>
      <c r="CO12" s="162" t="s">
        <v>3186</v>
      </c>
      <c r="CP12" s="462"/>
      <c r="CQ12" s="12"/>
      <c r="CR12" s="168"/>
      <c r="CS12" s="154"/>
      <c r="CT12" s="198"/>
      <c r="CU12" s="12"/>
      <c r="CV12" s="12"/>
      <c r="CW12" s="12"/>
      <c r="CX12" s="444" t="e" cm="1">
        <f t="array" ref="CX12">INDEX(Einatmen!$A$21:$A$26,MATCH(CV12&amp;CW12,Einatmen!$C$21:$C$26&amp;Einatmen!$B$21:$B$26,0))</f>
        <v>#N/A</v>
      </c>
      <c r="CY12" s="12"/>
      <c r="CZ12" s="444" t="e">
        <f t="array" ref="CZ12">INDEX(Einatmen!$A$38:$A$49,MATCH(CV12&amp;CY12,Einatmen!$C$38:$C$49&amp;Einatmen!$B$38:$B$49,0))</f>
        <v>#N/A</v>
      </c>
      <c r="DA12" s="444" t="e">
        <f t="array" ref="DA12">INDEX(Einatmen!$D$52:$D$159,MATCH(CU12&amp;CX12&amp;CZ12&amp;CV12,Einatmen!$A$52:$A$159&amp;Einatmen!$B$52:$B$159&amp;Einatmen!$C$52:$C$159&amp;Einatmen!$E$52:$E$159,0))</f>
        <v>#N/A</v>
      </c>
      <c r="DB12" s="12"/>
      <c r="DC12" s="353" t="str">
        <f t="shared" si="25"/>
        <v/>
      </c>
      <c r="DD12" s="147" t="str">
        <f>IFERROR(VLOOKUP(DB12,Schutzleitfäden!$A$3:$C$46,3,FALSE),"")</f>
        <v/>
      </c>
      <c r="DE12" s="199"/>
      <c r="DF12" s="12"/>
      <c r="DG12" s="12"/>
      <c r="DH12" s="444" t="str">
        <f>IF(DG12=Haut!$A$12,Haut!$B$12,(IF(DG12=Haut!$A$13,Haut!$B$13,"")))</f>
        <v/>
      </c>
      <c r="DI12" s="12"/>
      <c r="DJ12" s="444" t="str">
        <f>IF(DI12=Haut!$A$18,Haut!$C$18,(IF(DI12=Haut!$A$19,Haut!$C$19,"")))</f>
        <v/>
      </c>
      <c r="DK12" s="444" t="e">
        <f t="array" ref="DK12">INDEX(Haut!$D$22:$D$45,MATCH(DF12&amp;DH12&amp;DJ12,Haut!$A$22:$A$45&amp;Haut!$B$22:$B$45&amp;Haut!$C$22:$C$45,0))</f>
        <v>#N/A</v>
      </c>
      <c r="DL12" s="444" t="str">
        <f>IF(ISNA(DK12),"",(IF(DK12=Haut!$D$49,Haut!$E$49,(IF(DK12=Haut!$D$50,Haut!$E$50,(IF(DK12=Haut!$D$51,Haut!$E$51,(IF(DK12=Haut!$D$52,Haut!$E$52,(IF(DK12=Haut!$D$53,Haut!$E$53,"")))))))))))</f>
        <v/>
      </c>
      <c r="DM12" s="353" t="str">
        <f t="shared" si="26"/>
        <v/>
      </c>
      <c r="DN12" s="147" t="str">
        <f>IFERROR(VLOOKUP(DL12,Schutzleitfäden!$A$3:$C$46,3,FALSE),"")</f>
        <v/>
      </c>
      <c r="DO12" s="324"/>
      <c r="DP12" s="194"/>
      <c r="DQ12" s="444">
        <f t="shared" si="27"/>
        <v>0</v>
      </c>
      <c r="DR12" s="444">
        <f t="shared" si="28"/>
        <v>0</v>
      </c>
      <c r="DS12" s="444" t="e">
        <f t="array" ref="DS12">INDEX(Brand_EX!$A$15:$A$20,MATCH(DQ12&amp;DR12,Brand_EX!$C$15:$C$20&amp;Brand_EX!$B$15:$B$20,0))</f>
        <v>#N/A</v>
      </c>
      <c r="DT12" s="444">
        <f t="shared" si="29"/>
        <v>0</v>
      </c>
      <c r="DU12" s="444" t="e">
        <f t="array" ref="DU12">INDEX(Brand_EX!$A$31:$A$41,MATCH(DQ12&amp;DT12,Brand_EX!$C$31:$C$41&amp;Brand_EX!$B$31:$B$41,0))</f>
        <v>#N/A</v>
      </c>
      <c r="DV12" s="444" t="e">
        <f t="array" ref="DV12">INDEX(Brand_EX!$D$44:$D$133,MATCH(DP12&amp;DS12&amp;DU12&amp;DQ12,Brand_EX!$A$44:$A$133&amp;Brand_EX!$B$44:$B$133&amp;Brand_EX!$C$44:$C$133&amp;Brand_EX!$E$44:$E$133,0))</f>
        <v>#N/A</v>
      </c>
      <c r="DW12" s="12"/>
      <c r="DX12" s="354" t="str">
        <f t="shared" si="30"/>
        <v/>
      </c>
      <c r="DY12" s="147" t="str">
        <f>IFERROR(VLOOKUP(DW12,Schutzleitfäden!$A$3:$C$46,3,FALSE),"")</f>
        <v/>
      </c>
      <c r="DZ12" s="200"/>
      <c r="EA12" s="102" t="s">
        <v>7471</v>
      </c>
      <c r="EB12" s="12"/>
      <c r="EC12" s="12"/>
      <c r="ED12" s="102"/>
      <c r="EE12" s="338"/>
      <c r="EF12" s="13"/>
      <c r="EG12" s="13"/>
      <c r="EH12" s="13"/>
      <c r="EI12" s="448"/>
      <c r="EJ12" s="437" t="str">
        <f t="shared" si="31"/>
        <v>nein</v>
      </c>
      <c r="EK12" s="300"/>
      <c r="EL12" s="445"/>
      <c r="EM12" s="446"/>
      <c r="EN12" s="446"/>
      <c r="EO12" s="190" t="e">
        <f>VLOOKUP(EN12,Daten!$M$2:$N$18,2,FALSE)</f>
        <v>#N/A</v>
      </c>
      <c r="EP12" s="447" t="s">
        <v>511</v>
      </c>
      <c r="EQ12" s="445">
        <v>0</v>
      </c>
      <c r="ER12" s="446" t="s">
        <v>511</v>
      </c>
      <c r="ES12" s="446" t="s">
        <v>117</v>
      </c>
      <c r="ET12" s="191" t="str">
        <f>VLOOKUP(ES12,Daten!$M$2:$N$18,2,FALSE)</f>
        <v>entfällt</v>
      </c>
      <c r="EU12" s="447" t="s">
        <v>511</v>
      </c>
      <c r="EV12" s="445">
        <v>0</v>
      </c>
      <c r="EW12" s="446" t="s">
        <v>511</v>
      </c>
      <c r="EX12" s="446" t="s">
        <v>117</v>
      </c>
      <c r="EY12" s="191" t="str">
        <f>VLOOKUP(EX12,Daten!$M$2:$N$18,2,FALSE)</f>
        <v>entfällt</v>
      </c>
      <c r="EZ12" s="192"/>
      <c r="FA12" s="102"/>
      <c r="FB12" s="147" t="str">
        <f t="shared" si="32"/>
        <v/>
      </c>
      <c r="FC12" s="102"/>
      <c r="FD12" s="147" t="str">
        <f t="shared" si="33"/>
        <v/>
      </c>
      <c r="FE12" s="102"/>
      <c r="FF12" s="147" t="str">
        <f t="shared" si="34"/>
        <v/>
      </c>
      <c r="FG12" s="193"/>
      <c r="FH12" s="450" t="s">
        <v>7452</v>
      </c>
      <c r="FI12" s="421" t="s">
        <v>7426</v>
      </c>
      <c r="FJ12" s="449"/>
      <c r="FK12" s="421"/>
      <c r="FL12" s="421"/>
      <c r="FM12" s="421"/>
      <c r="FN12" s="450" t="s">
        <v>7453</v>
      </c>
      <c r="FO12" s="421" t="s">
        <v>7425</v>
      </c>
      <c r="FP12" s="451" t="s">
        <v>7460</v>
      </c>
      <c r="FQ12" s="421"/>
      <c r="FR12" s="421"/>
      <c r="FS12" s="451" t="s">
        <v>7460</v>
      </c>
      <c r="FT12" s="421"/>
      <c r="FU12" s="421"/>
      <c r="FV12" s="287"/>
      <c r="FW12" s="452"/>
      <c r="FX12" s="285" t="str">
        <f t="shared" si="35"/>
        <v/>
      </c>
      <c r="FY12" s="285" t="str">
        <f t="shared" si="36"/>
        <v/>
      </c>
      <c r="FZ12" s="147" t="str">
        <f t="shared" si="37"/>
        <v/>
      </c>
      <c r="GA12" s="453"/>
      <c r="GB12" s="200"/>
      <c r="GC12" s="459"/>
      <c r="GD12" s="102"/>
      <c r="GE12" s="102"/>
      <c r="GF12" s="102"/>
      <c r="GG12" s="102"/>
      <c r="GH12" s="102"/>
      <c r="GI12" s="102"/>
      <c r="GJ12" s="102"/>
      <c r="GK12" s="102"/>
      <c r="GL12" s="102"/>
      <c r="GM12" s="102"/>
      <c r="GN12" s="102"/>
    </row>
    <row r="13" spans="1:196" ht="30" customHeight="1" x14ac:dyDescent="0.3">
      <c r="A13" s="420" t="s">
        <v>832</v>
      </c>
      <c r="B13" s="102" t="s">
        <v>7542</v>
      </c>
      <c r="C13" s="102" t="s">
        <v>7533</v>
      </c>
      <c r="D13" s="15"/>
      <c r="E13" s="157" t="str">
        <f t="shared" si="12"/>
        <v>2</v>
      </c>
      <c r="F13" s="418"/>
      <c r="G13" s="157" t="str">
        <f>IF(AJ13&lt;&gt;"",HYPERLINK(CONCATENATE("BAG\",AJ13,".pdf"),"2"),HYPERLINK(CONCATENATE("BAG\BAG_",A13,".pdf"),"2"))</f>
        <v>2</v>
      </c>
      <c r="H13" s="169" t="str">
        <f t="shared" si="0"/>
        <v/>
      </c>
      <c r="I13" s="169" t="str">
        <f t="shared" si="13"/>
        <v/>
      </c>
      <c r="J13" s="169" t="str">
        <f t="shared" si="14"/>
        <v/>
      </c>
      <c r="K13" s="169" t="str">
        <f t="shared" si="15"/>
        <v/>
      </c>
      <c r="L13" s="169" t="str">
        <f t="shared" si="16"/>
        <v/>
      </c>
      <c r="M13" s="169" t="str">
        <f t="shared" si="17"/>
        <v/>
      </c>
      <c r="N13" s="169" t="str">
        <f t="shared" si="18"/>
        <v/>
      </c>
      <c r="O13" s="169" t="str">
        <f t="shared" si="19"/>
        <v/>
      </c>
      <c r="P13" s="169" t="str">
        <f t="shared" si="20"/>
        <v/>
      </c>
      <c r="Q13" s="169" t="str">
        <f t="shared" si="1"/>
        <v/>
      </c>
      <c r="R13" s="169" t="str">
        <f t="shared" si="2"/>
        <v/>
      </c>
      <c r="S13" s="12"/>
      <c r="T13" s="12"/>
      <c r="U13" s="196"/>
      <c r="V13" s="465" t="str">
        <f t="shared" si="21"/>
        <v>y</v>
      </c>
      <c r="W13" s="337"/>
      <c r="X13" s="316"/>
      <c r="Y13" s="315"/>
      <c r="Z13" s="316"/>
      <c r="AA13" s="315"/>
      <c r="AB13" s="316"/>
      <c r="AC13" s="315"/>
      <c r="AD13" s="316"/>
      <c r="AE13" s="315"/>
      <c r="AF13" s="316"/>
      <c r="AG13" s="300" t="s">
        <v>7485</v>
      </c>
      <c r="AH13" s="404"/>
      <c r="AI13" s="13"/>
      <c r="AJ13" s="291"/>
      <c r="AK13" s="291"/>
      <c r="AL13" s="291"/>
      <c r="AM13" s="291"/>
      <c r="AN13" s="439" t="str">
        <f>HYPERLINK(CONCATENATE("TDB\TDB_",A13,".pdf"),"2")</f>
        <v>2</v>
      </c>
      <c r="AO13" s="295"/>
      <c r="AP13" s="300"/>
      <c r="AQ13" s="225" t="s">
        <v>798</v>
      </c>
      <c r="AR13" s="13">
        <v>400</v>
      </c>
      <c r="AS13" s="13" t="s">
        <v>499</v>
      </c>
      <c r="AT13" s="154"/>
      <c r="AU13" s="440">
        <f t="shared" si="22"/>
        <v>0</v>
      </c>
      <c r="AV13" s="440" t="str">
        <f t="shared" si="23"/>
        <v>Liter</v>
      </c>
      <c r="AW13" s="405"/>
      <c r="AX13" s="339"/>
      <c r="AY13" s="441" t="str">
        <f>IFERROR(VLOOKUP($AX13,Zusammenlagerung!$A$3:$AA$28,2,FALSE),"")</f>
        <v/>
      </c>
      <c r="AZ13" s="441" t="str">
        <f>IFERROR(VLOOKUP($AX13,Zusammenlagerung!$A$3:$AA$28,3,FALSE),"")</f>
        <v/>
      </c>
      <c r="BA13" s="441" t="str">
        <f>IFERROR(VLOOKUP($AX13,Zusammenlagerung!$A$3:$AA$28,4,FALSE),"")</f>
        <v/>
      </c>
      <c r="BB13" s="441" t="str">
        <f>IFERROR(VLOOKUP($AX13,Zusammenlagerung!$A$3:$AA$28,5,FALSE),"")</f>
        <v/>
      </c>
      <c r="BC13" s="441" t="str">
        <f>IFERROR(VLOOKUP($AX13,Zusammenlagerung!$A$3:$AA$28,6,FALSE),"")</f>
        <v/>
      </c>
      <c r="BD13" s="441" t="str">
        <f>IFERROR(VLOOKUP($AX13,Zusammenlagerung!$A$3:$AA$28,7,FALSE),"")</f>
        <v/>
      </c>
      <c r="BE13" s="441" t="str">
        <f>IFERROR(VLOOKUP($AX13,Zusammenlagerung!$A$3:$AA$28,8,FALSE),"")</f>
        <v/>
      </c>
      <c r="BF13" s="441" t="str">
        <f>IFERROR(VLOOKUP($AX13,Zusammenlagerung!$A$3:$AA$28,9,FALSE),"")</f>
        <v/>
      </c>
      <c r="BG13" s="441" t="str">
        <f>IFERROR(VLOOKUP($AX13,Zusammenlagerung!$A$3:$AA$28,10,FALSE),"")</f>
        <v/>
      </c>
      <c r="BH13" s="441" t="str">
        <f>IFERROR(VLOOKUP($AX13,Zusammenlagerung!$A$3:$AA$28,11,FALSE),"")</f>
        <v/>
      </c>
      <c r="BI13" s="441" t="str">
        <f>IFERROR(VLOOKUP($AX13,Zusammenlagerung!$A$3:$AA$28,12,FALSE),"")</f>
        <v/>
      </c>
      <c r="BJ13" s="441" t="str">
        <f>IFERROR(VLOOKUP($AX13,Zusammenlagerung!$A$3:$AA$28,13,FALSE),"")</f>
        <v/>
      </c>
      <c r="BK13" s="441" t="str">
        <f>IFERROR(VLOOKUP($AX13,Zusammenlagerung!$A$3:$AA$28,14,FALSE),"")</f>
        <v/>
      </c>
      <c r="BL13" s="441" t="str">
        <f>IFERROR(VLOOKUP($AX13,Zusammenlagerung!$A$3:$AA$28,15,FALSE),"")</f>
        <v/>
      </c>
      <c r="BM13" s="441" t="str">
        <f>IFERROR(VLOOKUP($AX13,Zusammenlagerung!$A$3:$AA$28,16,FALSE),"")</f>
        <v/>
      </c>
      <c r="BN13" s="441" t="str">
        <f>IFERROR(VLOOKUP($AX13,Zusammenlagerung!$A$3:$AA$28,17,FALSE),"")</f>
        <v/>
      </c>
      <c r="BO13" s="441" t="str">
        <f>IFERROR(VLOOKUP($AX13,Zusammenlagerung!$A$3:$AA$28,18,FALSE),"")</f>
        <v/>
      </c>
      <c r="BP13" s="441" t="str">
        <f>IFERROR(VLOOKUP($AX13,Zusammenlagerung!$A$3:$AA$28,19,FALSE),"")</f>
        <v/>
      </c>
      <c r="BQ13" s="441" t="str">
        <f>IFERROR(VLOOKUP($AX13,Zusammenlagerung!$A$3:$AA$28,20,FALSE),"")</f>
        <v/>
      </c>
      <c r="BR13" s="441" t="str">
        <f>IFERROR(VLOOKUP($AX13,Zusammenlagerung!$A$3:$AA$28,21,FALSE),"")</f>
        <v/>
      </c>
      <c r="BS13" s="442"/>
      <c r="BT13" s="441" t="str">
        <f>IFERROR(VLOOKUP($AX13,Zusammenlagerung!$A$3:$AA$28,23,FALSE),"")</f>
        <v/>
      </c>
      <c r="BU13" s="441" t="str">
        <f>IFERROR(VLOOKUP($AX13,Zusammenlagerung!$A$3:$AA$28,24,FALSE),"")</f>
        <v/>
      </c>
      <c r="BV13" s="441" t="str">
        <f>IFERROR(VLOOKUP($AX13,Zusammenlagerung!$A$3:$AA$28,25,FALSE),"")</f>
        <v/>
      </c>
      <c r="BW13" s="441" t="str">
        <f>IFERROR(VLOOKUP($AX13,Zusammenlagerung!$A$3:$AA$28,26,FALSE),"")</f>
        <v/>
      </c>
      <c r="BX13" s="441" t="str">
        <f>IFERROR(VLOOKUP($AX13,Zusammenlagerung!$A$3:$AA$28,27,FALSE),"")</f>
        <v/>
      </c>
      <c r="BY13" s="443" t="str">
        <f t="shared" si="24"/>
        <v/>
      </c>
      <c r="BZ13" s="197"/>
      <c r="CA13" s="102"/>
      <c r="CB13" s="12"/>
      <c r="CC13" s="12"/>
      <c r="CD13" s="12"/>
      <c r="CE13" s="12"/>
      <c r="CF13" s="12"/>
      <c r="CG13" s="12"/>
      <c r="CH13" s="12"/>
      <c r="CI13" s="12"/>
      <c r="CJ13" s="12"/>
      <c r="CK13" s="12"/>
      <c r="CL13" s="348"/>
      <c r="CM13" s="348"/>
      <c r="CN13" s="349"/>
      <c r="CO13" s="162" t="s">
        <v>3186</v>
      </c>
      <c r="CP13" s="462"/>
      <c r="CQ13" s="12"/>
      <c r="CR13" s="168"/>
      <c r="CS13" s="154"/>
      <c r="CT13" s="198"/>
      <c r="CU13" s="12"/>
      <c r="CV13" s="12"/>
      <c r="CW13" s="12"/>
      <c r="CX13" s="444" t="e" cm="1">
        <f t="array" ref="CX13">INDEX(Einatmen!$A$21:$A$26,MATCH(CV13&amp;CW13,Einatmen!$C$21:$C$26&amp;Einatmen!$B$21:$B$26,0))</f>
        <v>#N/A</v>
      </c>
      <c r="CY13" s="12"/>
      <c r="CZ13" s="444" t="e">
        <f t="array" ref="CZ13">INDEX(Einatmen!$A$38:$A$49,MATCH(CV13&amp;CY13,Einatmen!$C$38:$C$49&amp;Einatmen!$B$38:$B$49,0))</f>
        <v>#N/A</v>
      </c>
      <c r="DA13" s="444" t="e">
        <f t="array" ref="DA13">INDEX(Einatmen!$D$52:$D$159,MATCH(CU13&amp;CX13&amp;CZ13&amp;CV13,Einatmen!$A$52:$A$159&amp;Einatmen!$B$52:$B$159&amp;Einatmen!$C$52:$C$159&amp;Einatmen!$E$52:$E$159,0))</f>
        <v>#N/A</v>
      </c>
      <c r="DB13" s="12"/>
      <c r="DC13" s="353" t="str">
        <f t="shared" si="25"/>
        <v/>
      </c>
      <c r="DD13" s="147" t="str">
        <f>IFERROR(VLOOKUP(DB13,Schutzleitfäden!$A$3:$C$46,3,FALSE),"")</f>
        <v/>
      </c>
      <c r="DE13" s="199"/>
      <c r="DF13" s="12"/>
      <c r="DG13" s="12"/>
      <c r="DH13" s="444" t="str">
        <f>IF(DG13=Haut!$A$12,Haut!$B$12,(IF(DG13=Haut!$A$13,Haut!$B$13,"")))</f>
        <v/>
      </c>
      <c r="DI13" s="12"/>
      <c r="DJ13" s="444" t="str">
        <f>IF(DI13=Haut!$A$18,Haut!$C$18,(IF(DI13=Haut!$A$19,Haut!$C$19,"")))</f>
        <v/>
      </c>
      <c r="DK13" s="444" t="e">
        <f t="array" ref="DK13">INDEX(Haut!$D$22:$D$45,MATCH(DF13&amp;DH13&amp;DJ13,Haut!$A$22:$A$45&amp;Haut!$B$22:$B$45&amp;Haut!$C$22:$C$45,0))</f>
        <v>#N/A</v>
      </c>
      <c r="DL13" s="444" t="str">
        <f>IF(ISNA(DK13),"",(IF(DK13=Haut!$D$49,Haut!$E$49,(IF(DK13=Haut!$D$50,Haut!$E$50,(IF(DK13=Haut!$D$51,Haut!$E$51,(IF(DK13=Haut!$D$52,Haut!$E$52,(IF(DK13=Haut!$D$53,Haut!$E$53,"")))))))))))</f>
        <v/>
      </c>
      <c r="DM13" s="353" t="str">
        <f t="shared" si="26"/>
        <v/>
      </c>
      <c r="DN13" s="147" t="str">
        <f>IFERROR(VLOOKUP(DL13,Schutzleitfäden!$A$3:$C$46,3,FALSE),"")</f>
        <v/>
      </c>
      <c r="DO13" s="324"/>
      <c r="DP13" s="194"/>
      <c r="DQ13" s="444">
        <f t="shared" si="27"/>
        <v>0</v>
      </c>
      <c r="DR13" s="444">
        <f t="shared" si="28"/>
        <v>0</v>
      </c>
      <c r="DS13" s="444" t="e">
        <f t="array" ref="DS13">INDEX(Brand_EX!$A$15:$A$20,MATCH(DQ13&amp;DR13,Brand_EX!$C$15:$C$20&amp;Brand_EX!$B$15:$B$20,0))</f>
        <v>#N/A</v>
      </c>
      <c r="DT13" s="444">
        <f t="shared" si="29"/>
        <v>0</v>
      </c>
      <c r="DU13" s="444" t="e">
        <f t="array" ref="DU13">INDEX(Brand_EX!$A$31:$A$41,MATCH(DQ13&amp;DT13,Brand_EX!$C$31:$C$41&amp;Brand_EX!$B$31:$B$41,0))</f>
        <v>#N/A</v>
      </c>
      <c r="DV13" s="444" t="e">
        <f t="array" ref="DV13">INDEX(Brand_EX!$D$44:$D$133,MATCH(DP13&amp;DS13&amp;DU13&amp;DQ13,Brand_EX!$A$44:$A$133&amp;Brand_EX!$B$44:$B$133&amp;Brand_EX!$C$44:$C$133&amp;Brand_EX!$E$44:$E$133,0))</f>
        <v>#N/A</v>
      </c>
      <c r="DW13" s="12"/>
      <c r="DX13" s="354" t="str">
        <f t="shared" si="30"/>
        <v/>
      </c>
      <c r="DY13" s="147" t="str">
        <f>IFERROR(VLOOKUP(DW13,Schutzleitfäden!$A$3:$C$46,3,FALSE),"")</f>
        <v/>
      </c>
      <c r="DZ13" s="200"/>
      <c r="EA13" s="102" t="s">
        <v>7471</v>
      </c>
      <c r="EB13" s="12"/>
      <c r="EC13" s="12"/>
      <c r="ED13" s="102"/>
      <c r="EE13" s="338"/>
      <c r="EF13" s="13"/>
      <c r="EG13" s="13"/>
      <c r="EH13" s="13"/>
      <c r="EI13" s="448"/>
      <c r="EJ13" s="437" t="str">
        <f t="shared" si="31"/>
        <v>nein</v>
      </c>
      <c r="EK13" s="300"/>
      <c r="EL13" s="445"/>
      <c r="EM13" s="446"/>
      <c r="EN13" s="446"/>
      <c r="EO13" s="190" t="e">
        <f>VLOOKUP(EN13,Daten!$M$2:$N$18,2,FALSE)</f>
        <v>#N/A</v>
      </c>
      <c r="EP13" s="447" t="s">
        <v>511</v>
      </c>
      <c r="EQ13" s="445">
        <v>0</v>
      </c>
      <c r="ER13" s="446" t="s">
        <v>511</v>
      </c>
      <c r="ES13" s="446" t="s">
        <v>117</v>
      </c>
      <c r="ET13" s="191" t="str">
        <f>VLOOKUP(ES13,Daten!$M$2:$N$18,2,FALSE)</f>
        <v>entfällt</v>
      </c>
      <c r="EU13" s="447" t="s">
        <v>511</v>
      </c>
      <c r="EV13" s="445">
        <v>0</v>
      </c>
      <c r="EW13" s="446" t="s">
        <v>511</v>
      </c>
      <c r="EX13" s="446" t="s">
        <v>117</v>
      </c>
      <c r="EY13" s="191" t="str">
        <f>VLOOKUP(EX13,Daten!$M$2:$N$18,2,FALSE)</f>
        <v>entfällt</v>
      </c>
      <c r="EZ13" s="192"/>
      <c r="FA13" s="102"/>
      <c r="FB13" s="147" t="str">
        <f t="shared" si="32"/>
        <v/>
      </c>
      <c r="FC13" s="102"/>
      <c r="FD13" s="147" t="str">
        <f t="shared" si="33"/>
        <v/>
      </c>
      <c r="FE13" s="102"/>
      <c r="FF13" s="147" t="str">
        <f t="shared" si="34"/>
        <v/>
      </c>
      <c r="FG13" s="193"/>
      <c r="FH13" s="450" t="s">
        <v>7452</v>
      </c>
      <c r="FI13" s="421" t="s">
        <v>7426</v>
      </c>
      <c r="FJ13" s="449"/>
      <c r="FK13" s="421"/>
      <c r="FL13" s="421"/>
      <c r="FM13" s="421"/>
      <c r="FN13" s="450" t="s">
        <v>7453</v>
      </c>
      <c r="FO13" s="421" t="s">
        <v>7425</v>
      </c>
      <c r="FP13" s="451" t="s">
        <v>7460</v>
      </c>
      <c r="FQ13" s="421"/>
      <c r="FR13" s="421"/>
      <c r="FS13" s="451" t="s">
        <v>7460</v>
      </c>
      <c r="FT13" s="421"/>
      <c r="FU13" s="421"/>
      <c r="FV13" s="287"/>
      <c r="FW13" s="452"/>
      <c r="FX13" s="285" t="str">
        <f t="shared" si="35"/>
        <v/>
      </c>
      <c r="FY13" s="285" t="str">
        <f t="shared" si="36"/>
        <v/>
      </c>
      <c r="FZ13" s="147" t="str">
        <f t="shared" si="37"/>
        <v/>
      </c>
      <c r="GA13" s="453"/>
      <c r="GB13" s="200"/>
      <c r="GC13" s="459"/>
      <c r="GD13" s="102"/>
      <c r="GE13" s="102"/>
      <c r="GF13" s="102"/>
      <c r="GG13" s="102"/>
      <c r="GH13" s="102"/>
      <c r="GI13" s="102"/>
      <c r="GJ13" s="102"/>
      <c r="GK13" s="102"/>
      <c r="GL13" s="102"/>
      <c r="GM13" s="102"/>
      <c r="GN13" s="102"/>
    </row>
    <row r="14" spans="1:196" ht="30" customHeight="1" x14ac:dyDescent="0.3">
      <c r="A14" s="420" t="s">
        <v>833</v>
      </c>
      <c r="B14" s="102" t="s">
        <v>7543</v>
      </c>
      <c r="C14" s="102" t="s">
        <v>7534</v>
      </c>
      <c r="D14" s="15"/>
      <c r="E14" s="157" t="str">
        <f t="shared" si="12"/>
        <v>2</v>
      </c>
      <c r="F14" s="418"/>
      <c r="G14" s="157" t="str">
        <f>IF(AJ14&lt;&gt;"",HYPERLINK(CONCATENATE("BAG\",AJ14,".pdf"),"2"),HYPERLINK(CONCATENATE("BAG\BAG_",A14,".pdf"),"2"))</f>
        <v>2</v>
      </c>
      <c r="H14" s="169" t="str">
        <f t="shared" si="0"/>
        <v/>
      </c>
      <c r="I14" s="169" t="str">
        <f t="shared" si="13"/>
        <v/>
      </c>
      <c r="J14" s="169" t="str">
        <f t="shared" si="14"/>
        <v/>
      </c>
      <c r="K14" s="169" t="str">
        <f t="shared" si="15"/>
        <v/>
      </c>
      <c r="L14" s="169" t="str">
        <f t="shared" si="16"/>
        <v/>
      </c>
      <c r="M14" s="169" t="str">
        <f t="shared" si="17"/>
        <v/>
      </c>
      <c r="N14" s="169" t="str">
        <f t="shared" si="18"/>
        <v/>
      </c>
      <c r="O14" s="169" t="str">
        <f t="shared" si="19"/>
        <v/>
      </c>
      <c r="P14" s="169" t="str">
        <f t="shared" si="20"/>
        <v/>
      </c>
      <c r="Q14" s="169" t="str">
        <f t="shared" si="1"/>
        <v/>
      </c>
      <c r="R14" s="169" t="str">
        <f t="shared" si="2"/>
        <v/>
      </c>
      <c r="S14" s="12"/>
      <c r="T14" s="12"/>
      <c r="U14" s="196"/>
      <c r="V14" s="465" t="str">
        <f t="shared" si="21"/>
        <v>y</v>
      </c>
      <c r="W14" s="337"/>
      <c r="X14" s="316"/>
      <c r="Y14" s="315"/>
      <c r="Z14" s="316"/>
      <c r="AA14" s="315"/>
      <c r="AB14" s="316"/>
      <c r="AC14" s="315"/>
      <c r="AD14" s="316"/>
      <c r="AE14" s="315"/>
      <c r="AF14" s="316"/>
      <c r="AG14" s="300" t="s">
        <v>7485</v>
      </c>
      <c r="AH14" s="404"/>
      <c r="AI14" s="13"/>
      <c r="AJ14" s="291"/>
      <c r="AK14" s="291"/>
      <c r="AL14" s="291"/>
      <c r="AM14" s="291"/>
      <c r="AN14" s="439" t="str">
        <f>HYPERLINK(CONCATENATE("TDB\TDB_",A14,".pdf"),"2")</f>
        <v>2</v>
      </c>
      <c r="AO14" s="295"/>
      <c r="AP14" s="300"/>
      <c r="AQ14" s="225" t="s">
        <v>798</v>
      </c>
      <c r="AR14" s="13">
        <v>200</v>
      </c>
      <c r="AS14" s="13" t="s">
        <v>499</v>
      </c>
      <c r="AT14" s="154"/>
      <c r="AU14" s="440">
        <f t="shared" si="22"/>
        <v>0</v>
      </c>
      <c r="AV14" s="440" t="str">
        <f t="shared" si="23"/>
        <v>Liter</v>
      </c>
      <c r="AW14" s="405"/>
      <c r="AX14" s="339"/>
      <c r="AY14" s="441" t="str">
        <f>IFERROR(VLOOKUP($AX14,Zusammenlagerung!$A$3:$AA$28,2,FALSE),"")</f>
        <v/>
      </c>
      <c r="AZ14" s="441" t="str">
        <f>IFERROR(VLOOKUP($AX14,Zusammenlagerung!$A$3:$AA$28,3,FALSE),"")</f>
        <v/>
      </c>
      <c r="BA14" s="441" t="str">
        <f>IFERROR(VLOOKUP($AX14,Zusammenlagerung!$A$3:$AA$28,4,FALSE),"")</f>
        <v/>
      </c>
      <c r="BB14" s="441" t="str">
        <f>IFERROR(VLOOKUP($AX14,Zusammenlagerung!$A$3:$AA$28,5,FALSE),"")</f>
        <v/>
      </c>
      <c r="BC14" s="441" t="str">
        <f>IFERROR(VLOOKUP($AX14,Zusammenlagerung!$A$3:$AA$28,6,FALSE),"")</f>
        <v/>
      </c>
      <c r="BD14" s="441" t="str">
        <f>IFERROR(VLOOKUP($AX14,Zusammenlagerung!$A$3:$AA$28,7,FALSE),"")</f>
        <v/>
      </c>
      <c r="BE14" s="441" t="str">
        <f>IFERROR(VLOOKUP($AX14,Zusammenlagerung!$A$3:$AA$28,8,FALSE),"")</f>
        <v/>
      </c>
      <c r="BF14" s="441" t="str">
        <f>IFERROR(VLOOKUP($AX14,Zusammenlagerung!$A$3:$AA$28,9,FALSE),"")</f>
        <v/>
      </c>
      <c r="BG14" s="441" t="str">
        <f>IFERROR(VLOOKUP($AX14,Zusammenlagerung!$A$3:$AA$28,10,FALSE),"")</f>
        <v/>
      </c>
      <c r="BH14" s="441" t="str">
        <f>IFERROR(VLOOKUP($AX14,Zusammenlagerung!$A$3:$AA$28,11,FALSE),"")</f>
        <v/>
      </c>
      <c r="BI14" s="441" t="str">
        <f>IFERROR(VLOOKUP($AX14,Zusammenlagerung!$A$3:$AA$28,12,FALSE),"")</f>
        <v/>
      </c>
      <c r="BJ14" s="441" t="str">
        <f>IFERROR(VLOOKUP($AX14,Zusammenlagerung!$A$3:$AA$28,13,FALSE),"")</f>
        <v/>
      </c>
      <c r="BK14" s="441" t="str">
        <f>IFERROR(VLOOKUP($AX14,Zusammenlagerung!$A$3:$AA$28,14,FALSE),"")</f>
        <v/>
      </c>
      <c r="BL14" s="441" t="str">
        <f>IFERROR(VLOOKUP($AX14,Zusammenlagerung!$A$3:$AA$28,15,FALSE),"")</f>
        <v/>
      </c>
      <c r="BM14" s="441" t="str">
        <f>IFERROR(VLOOKUP($AX14,Zusammenlagerung!$A$3:$AA$28,16,FALSE),"")</f>
        <v/>
      </c>
      <c r="BN14" s="441" t="str">
        <f>IFERROR(VLOOKUP($AX14,Zusammenlagerung!$A$3:$AA$28,17,FALSE),"")</f>
        <v/>
      </c>
      <c r="BO14" s="441" t="str">
        <f>IFERROR(VLOOKUP($AX14,Zusammenlagerung!$A$3:$AA$28,18,FALSE),"")</f>
        <v/>
      </c>
      <c r="BP14" s="441" t="str">
        <f>IFERROR(VLOOKUP($AX14,Zusammenlagerung!$A$3:$AA$28,19,FALSE),"")</f>
        <v/>
      </c>
      <c r="BQ14" s="441" t="str">
        <f>IFERROR(VLOOKUP($AX14,Zusammenlagerung!$A$3:$AA$28,20,FALSE),"")</f>
        <v/>
      </c>
      <c r="BR14" s="441" t="str">
        <f>IFERROR(VLOOKUP($AX14,Zusammenlagerung!$A$3:$AA$28,21,FALSE),"")</f>
        <v/>
      </c>
      <c r="BS14" s="442"/>
      <c r="BT14" s="441" t="str">
        <f>IFERROR(VLOOKUP($AX14,Zusammenlagerung!$A$3:$AA$28,23,FALSE),"")</f>
        <v/>
      </c>
      <c r="BU14" s="441" t="str">
        <f>IFERROR(VLOOKUP($AX14,Zusammenlagerung!$A$3:$AA$28,24,FALSE),"")</f>
        <v/>
      </c>
      <c r="BV14" s="441" t="str">
        <f>IFERROR(VLOOKUP($AX14,Zusammenlagerung!$A$3:$AA$28,25,FALSE),"")</f>
        <v/>
      </c>
      <c r="BW14" s="441" t="str">
        <f>IFERROR(VLOOKUP($AX14,Zusammenlagerung!$A$3:$AA$28,26,FALSE),"")</f>
        <v/>
      </c>
      <c r="BX14" s="441" t="str">
        <f>IFERROR(VLOOKUP($AX14,Zusammenlagerung!$A$3:$AA$28,27,FALSE),"")</f>
        <v/>
      </c>
      <c r="BY14" s="443" t="str">
        <f t="shared" si="24"/>
        <v/>
      </c>
      <c r="BZ14" s="197"/>
      <c r="CA14" s="102"/>
      <c r="CB14" s="12"/>
      <c r="CC14" s="12"/>
      <c r="CD14" s="12"/>
      <c r="CE14" s="12"/>
      <c r="CF14" s="12"/>
      <c r="CG14" s="12"/>
      <c r="CH14" s="12"/>
      <c r="CI14" s="12"/>
      <c r="CJ14" s="12"/>
      <c r="CK14" s="12"/>
      <c r="CL14" s="348"/>
      <c r="CM14" s="348"/>
      <c r="CN14" s="349"/>
      <c r="CO14" s="162" t="s">
        <v>3186</v>
      </c>
      <c r="CP14" s="462"/>
      <c r="CQ14" s="12"/>
      <c r="CR14" s="168"/>
      <c r="CS14" s="154"/>
      <c r="CT14" s="198"/>
      <c r="CU14" s="12"/>
      <c r="CV14" s="12"/>
      <c r="CW14" s="12"/>
      <c r="CX14" s="444" t="e" cm="1">
        <f t="array" ref="CX14">INDEX(Einatmen!$A$21:$A$26,MATCH(CV14&amp;CW14,Einatmen!$C$21:$C$26&amp;Einatmen!$B$21:$B$26,0))</f>
        <v>#N/A</v>
      </c>
      <c r="CY14" s="12"/>
      <c r="CZ14" s="444" t="e">
        <f t="array" ref="CZ14">INDEX(Einatmen!$A$38:$A$49,MATCH(CV14&amp;CY14,Einatmen!$C$38:$C$49&amp;Einatmen!$B$38:$B$49,0))</f>
        <v>#N/A</v>
      </c>
      <c r="DA14" s="444" t="e">
        <f t="array" ref="DA14">INDEX(Einatmen!$D$52:$D$159,MATCH(CU14&amp;CX14&amp;CZ14&amp;CV14,Einatmen!$A$52:$A$159&amp;Einatmen!$B$52:$B$159&amp;Einatmen!$C$52:$C$159&amp;Einatmen!$E$52:$E$159,0))</f>
        <v>#N/A</v>
      </c>
      <c r="DB14" s="12"/>
      <c r="DC14" s="353" t="str">
        <f t="shared" si="25"/>
        <v/>
      </c>
      <c r="DD14" s="147" t="str">
        <f>IFERROR(VLOOKUP(DB14,Schutzleitfäden!$A$3:$C$46,3,FALSE),"")</f>
        <v/>
      </c>
      <c r="DE14" s="199"/>
      <c r="DF14" s="12"/>
      <c r="DG14" s="12"/>
      <c r="DH14" s="444" t="str">
        <f>IF(DG14=Haut!$A$12,Haut!$B$12,(IF(DG14=Haut!$A$13,Haut!$B$13,"")))</f>
        <v/>
      </c>
      <c r="DI14" s="12"/>
      <c r="DJ14" s="444" t="str">
        <f>IF(DI14=Haut!$A$18,Haut!$C$18,(IF(DI14=Haut!$A$19,Haut!$C$19,"")))</f>
        <v/>
      </c>
      <c r="DK14" s="444" t="e">
        <f t="array" ref="DK14">INDEX(Haut!$D$22:$D$45,MATCH(DF14&amp;DH14&amp;DJ14,Haut!$A$22:$A$45&amp;Haut!$B$22:$B$45&amp;Haut!$C$22:$C$45,0))</f>
        <v>#N/A</v>
      </c>
      <c r="DL14" s="444" t="str">
        <f>IF(ISNA(DK14),"",(IF(DK14=Haut!$D$49,Haut!$E$49,(IF(DK14=Haut!$D$50,Haut!$E$50,(IF(DK14=Haut!$D$51,Haut!$E$51,(IF(DK14=Haut!$D$52,Haut!$E$52,(IF(DK14=Haut!$D$53,Haut!$E$53,"")))))))))))</f>
        <v/>
      </c>
      <c r="DM14" s="353" t="str">
        <f t="shared" si="26"/>
        <v/>
      </c>
      <c r="DN14" s="147" t="str">
        <f>IFERROR(VLOOKUP(DL14,Schutzleitfäden!$A$3:$C$46,3,FALSE),"")</f>
        <v/>
      </c>
      <c r="DO14" s="324"/>
      <c r="DP14" s="194"/>
      <c r="DQ14" s="444">
        <f t="shared" si="27"/>
        <v>0</v>
      </c>
      <c r="DR14" s="444">
        <f t="shared" si="28"/>
        <v>0</v>
      </c>
      <c r="DS14" s="444" t="e">
        <f t="array" ref="DS14">INDEX(Brand_EX!$A$15:$A$20,MATCH(DQ14&amp;DR14,Brand_EX!$C$15:$C$20&amp;Brand_EX!$B$15:$B$20,0))</f>
        <v>#N/A</v>
      </c>
      <c r="DT14" s="444">
        <f t="shared" si="29"/>
        <v>0</v>
      </c>
      <c r="DU14" s="444" t="e">
        <f t="array" ref="DU14">INDEX(Brand_EX!$A$31:$A$41,MATCH(DQ14&amp;DT14,Brand_EX!$C$31:$C$41&amp;Brand_EX!$B$31:$B$41,0))</f>
        <v>#N/A</v>
      </c>
      <c r="DV14" s="444" t="e">
        <f t="array" ref="DV14">INDEX(Brand_EX!$D$44:$D$133,MATCH(DP14&amp;DS14&amp;DU14&amp;DQ14,Brand_EX!$A$44:$A$133&amp;Brand_EX!$B$44:$B$133&amp;Brand_EX!$C$44:$C$133&amp;Brand_EX!$E$44:$E$133,0))</f>
        <v>#N/A</v>
      </c>
      <c r="DW14" s="12"/>
      <c r="DX14" s="354" t="str">
        <f t="shared" si="30"/>
        <v/>
      </c>
      <c r="DY14" s="147" t="str">
        <f>IFERROR(VLOOKUP(DW14,Schutzleitfäden!$A$3:$C$46,3,FALSE),"")</f>
        <v/>
      </c>
      <c r="DZ14" s="200"/>
      <c r="EA14" s="102" t="s">
        <v>7471</v>
      </c>
      <c r="EB14" s="12"/>
      <c r="EC14" s="12"/>
      <c r="ED14" s="102"/>
      <c r="EE14" s="338"/>
      <c r="EF14" s="13"/>
      <c r="EG14" s="13"/>
      <c r="EH14" s="13"/>
      <c r="EI14" s="448"/>
      <c r="EJ14" s="437" t="str">
        <f t="shared" si="31"/>
        <v>nein</v>
      </c>
      <c r="EK14" s="300"/>
      <c r="EL14" s="445"/>
      <c r="EM14" s="446"/>
      <c r="EN14" s="446"/>
      <c r="EO14" s="190" t="e">
        <f>VLOOKUP(EN14,Daten!$M$2:$N$18,2,FALSE)</f>
        <v>#N/A</v>
      </c>
      <c r="EP14" s="447" t="s">
        <v>511</v>
      </c>
      <c r="EQ14" s="445">
        <v>0</v>
      </c>
      <c r="ER14" s="446" t="s">
        <v>511</v>
      </c>
      <c r="ES14" s="446" t="s">
        <v>117</v>
      </c>
      <c r="ET14" s="191" t="str">
        <f>VLOOKUP(ES14,Daten!$M$2:$N$18,2,FALSE)</f>
        <v>entfällt</v>
      </c>
      <c r="EU14" s="447" t="s">
        <v>511</v>
      </c>
      <c r="EV14" s="445">
        <v>0</v>
      </c>
      <c r="EW14" s="446" t="s">
        <v>511</v>
      </c>
      <c r="EX14" s="446" t="s">
        <v>117</v>
      </c>
      <c r="EY14" s="191" t="str">
        <f>VLOOKUP(EX14,Daten!$M$2:$N$18,2,FALSE)</f>
        <v>entfällt</v>
      </c>
      <c r="EZ14" s="192"/>
      <c r="FA14" s="102"/>
      <c r="FB14" s="147" t="str">
        <f t="shared" si="32"/>
        <v/>
      </c>
      <c r="FC14" s="102"/>
      <c r="FD14" s="147" t="str">
        <f t="shared" si="33"/>
        <v/>
      </c>
      <c r="FE14" s="102"/>
      <c r="FF14" s="147" t="str">
        <f t="shared" si="34"/>
        <v/>
      </c>
      <c r="FG14" s="193"/>
      <c r="FH14" s="450" t="s">
        <v>7452</v>
      </c>
      <c r="FI14" s="421" t="s">
        <v>7426</v>
      </c>
      <c r="FJ14" s="449"/>
      <c r="FK14" s="421"/>
      <c r="FL14" s="421"/>
      <c r="FM14" s="421"/>
      <c r="FN14" s="450" t="s">
        <v>7453</v>
      </c>
      <c r="FO14" s="421" t="s">
        <v>7425</v>
      </c>
      <c r="FP14" s="451" t="s">
        <v>7460</v>
      </c>
      <c r="FQ14" s="421"/>
      <c r="FR14" s="421"/>
      <c r="FS14" s="451" t="s">
        <v>7460</v>
      </c>
      <c r="FT14" s="421"/>
      <c r="FU14" s="421"/>
      <c r="FV14" s="287"/>
      <c r="FW14" s="452"/>
      <c r="FX14" s="285" t="str">
        <f t="shared" si="35"/>
        <v/>
      </c>
      <c r="FY14" s="285" t="str">
        <f t="shared" si="36"/>
        <v/>
      </c>
      <c r="FZ14" s="147" t="str">
        <f t="shared" si="37"/>
        <v/>
      </c>
      <c r="GA14" s="453"/>
      <c r="GB14" s="200"/>
      <c r="GC14" s="459"/>
      <c r="GD14" s="102"/>
      <c r="GE14" s="102"/>
      <c r="GF14" s="102"/>
      <c r="GG14" s="102"/>
      <c r="GH14" s="102"/>
      <c r="GI14" s="102"/>
      <c r="GJ14" s="102"/>
      <c r="GK14" s="102"/>
      <c r="GL14" s="102"/>
      <c r="GM14" s="102"/>
      <c r="GN14" s="102"/>
    </row>
    <row r="15" spans="1:196" ht="30" customHeight="1" x14ac:dyDescent="0.3">
      <c r="A15" s="420" t="s">
        <v>834</v>
      </c>
      <c r="B15" s="102" t="s">
        <v>7544</v>
      </c>
      <c r="C15" s="102" t="s">
        <v>7530</v>
      </c>
      <c r="D15" s="15"/>
      <c r="E15" s="157" t="str">
        <f t="shared" si="12"/>
        <v>2</v>
      </c>
      <c r="F15" s="418"/>
      <c r="G15" s="157" t="str">
        <f>IF(AJ15&lt;&gt;"",HYPERLINK(CONCATENATE("BAG\",AJ15,".pdf"),"2"),HYPERLINK(CONCATENATE("BAG\BAG_",A15,".pdf"),"2"))</f>
        <v>2</v>
      </c>
      <c r="H15" s="169" t="str">
        <f t="shared" si="0"/>
        <v/>
      </c>
      <c r="I15" s="169" t="str">
        <f t="shared" si="13"/>
        <v/>
      </c>
      <c r="J15" s="169" t="str">
        <f t="shared" si="14"/>
        <v/>
      </c>
      <c r="K15" s="169" t="str">
        <f t="shared" si="15"/>
        <v/>
      </c>
      <c r="L15" s="169" t="str">
        <f t="shared" si="16"/>
        <v/>
      </c>
      <c r="M15" s="169" t="str">
        <f t="shared" si="17"/>
        <v/>
      </c>
      <c r="N15" s="169" t="str">
        <f t="shared" si="18"/>
        <v/>
      </c>
      <c r="O15" s="169" t="str">
        <f t="shared" si="19"/>
        <v/>
      </c>
      <c r="P15" s="169" t="str">
        <f t="shared" si="20"/>
        <v/>
      </c>
      <c r="Q15" s="169" t="str">
        <f t="shared" si="1"/>
        <v/>
      </c>
      <c r="R15" s="169" t="str">
        <f t="shared" si="2"/>
        <v/>
      </c>
      <c r="S15" s="12"/>
      <c r="T15" s="12"/>
      <c r="U15" s="196"/>
      <c r="V15" s="465" t="str">
        <f t="shared" si="21"/>
        <v>y</v>
      </c>
      <c r="W15" s="337"/>
      <c r="X15" s="316"/>
      <c r="Y15" s="315"/>
      <c r="Z15" s="316"/>
      <c r="AA15" s="315"/>
      <c r="AB15" s="316"/>
      <c r="AC15" s="315"/>
      <c r="AD15" s="316"/>
      <c r="AE15" s="315"/>
      <c r="AF15" s="316"/>
      <c r="AG15" s="300" t="s">
        <v>7485</v>
      </c>
      <c r="AH15" s="404"/>
      <c r="AI15" s="13"/>
      <c r="AJ15" s="291"/>
      <c r="AK15" s="291"/>
      <c r="AL15" s="291"/>
      <c r="AM15" s="291"/>
      <c r="AN15" s="439" t="str">
        <f>HYPERLINK(CONCATENATE("TDB\TDB_",A15,".pdf"),"2")</f>
        <v>2</v>
      </c>
      <c r="AO15" s="295"/>
      <c r="AP15" s="300"/>
      <c r="AQ15" s="225" t="s">
        <v>798</v>
      </c>
      <c r="AR15" s="13">
        <v>270</v>
      </c>
      <c r="AS15" s="13" t="s">
        <v>499</v>
      </c>
      <c r="AT15" s="154"/>
      <c r="AU15" s="440">
        <f t="shared" si="22"/>
        <v>0</v>
      </c>
      <c r="AV15" s="440" t="str">
        <f t="shared" si="23"/>
        <v>Liter</v>
      </c>
      <c r="AW15" s="405"/>
      <c r="AX15" s="339"/>
      <c r="AY15" s="441" t="str">
        <f>IFERROR(VLOOKUP($AX15,Zusammenlagerung!$A$3:$AA$28,2,FALSE),"")</f>
        <v/>
      </c>
      <c r="AZ15" s="441" t="str">
        <f>IFERROR(VLOOKUP($AX15,Zusammenlagerung!$A$3:$AA$28,3,FALSE),"")</f>
        <v/>
      </c>
      <c r="BA15" s="441" t="str">
        <f>IFERROR(VLOOKUP($AX15,Zusammenlagerung!$A$3:$AA$28,4,FALSE),"")</f>
        <v/>
      </c>
      <c r="BB15" s="441" t="str">
        <f>IFERROR(VLOOKUP($AX15,Zusammenlagerung!$A$3:$AA$28,5,FALSE),"")</f>
        <v/>
      </c>
      <c r="BC15" s="441" t="str">
        <f>IFERROR(VLOOKUP($AX15,Zusammenlagerung!$A$3:$AA$28,6,FALSE),"")</f>
        <v/>
      </c>
      <c r="BD15" s="441" t="str">
        <f>IFERROR(VLOOKUP($AX15,Zusammenlagerung!$A$3:$AA$28,7,FALSE),"")</f>
        <v/>
      </c>
      <c r="BE15" s="441" t="str">
        <f>IFERROR(VLOOKUP($AX15,Zusammenlagerung!$A$3:$AA$28,8,FALSE),"")</f>
        <v/>
      </c>
      <c r="BF15" s="441" t="str">
        <f>IFERROR(VLOOKUP($AX15,Zusammenlagerung!$A$3:$AA$28,9,FALSE),"")</f>
        <v/>
      </c>
      <c r="BG15" s="441" t="str">
        <f>IFERROR(VLOOKUP($AX15,Zusammenlagerung!$A$3:$AA$28,10,FALSE),"")</f>
        <v/>
      </c>
      <c r="BH15" s="441" t="str">
        <f>IFERROR(VLOOKUP($AX15,Zusammenlagerung!$A$3:$AA$28,11,FALSE),"")</f>
        <v/>
      </c>
      <c r="BI15" s="441" t="str">
        <f>IFERROR(VLOOKUP($AX15,Zusammenlagerung!$A$3:$AA$28,12,FALSE),"")</f>
        <v/>
      </c>
      <c r="BJ15" s="441" t="str">
        <f>IFERROR(VLOOKUP($AX15,Zusammenlagerung!$A$3:$AA$28,13,FALSE),"")</f>
        <v/>
      </c>
      <c r="BK15" s="441" t="str">
        <f>IFERROR(VLOOKUP($AX15,Zusammenlagerung!$A$3:$AA$28,14,FALSE),"")</f>
        <v/>
      </c>
      <c r="BL15" s="441" t="str">
        <f>IFERROR(VLOOKUP($AX15,Zusammenlagerung!$A$3:$AA$28,15,FALSE),"")</f>
        <v/>
      </c>
      <c r="BM15" s="441" t="str">
        <f>IFERROR(VLOOKUP($AX15,Zusammenlagerung!$A$3:$AA$28,16,FALSE),"")</f>
        <v/>
      </c>
      <c r="BN15" s="441" t="str">
        <f>IFERROR(VLOOKUP($AX15,Zusammenlagerung!$A$3:$AA$28,17,FALSE),"")</f>
        <v/>
      </c>
      <c r="BO15" s="441" t="str">
        <f>IFERROR(VLOOKUP($AX15,Zusammenlagerung!$A$3:$AA$28,18,FALSE),"")</f>
        <v/>
      </c>
      <c r="BP15" s="441" t="str">
        <f>IFERROR(VLOOKUP($AX15,Zusammenlagerung!$A$3:$AA$28,19,FALSE),"")</f>
        <v/>
      </c>
      <c r="BQ15" s="441" t="str">
        <f>IFERROR(VLOOKUP($AX15,Zusammenlagerung!$A$3:$AA$28,20,FALSE),"")</f>
        <v/>
      </c>
      <c r="BR15" s="441" t="str">
        <f>IFERROR(VLOOKUP($AX15,Zusammenlagerung!$A$3:$AA$28,21,FALSE),"")</f>
        <v/>
      </c>
      <c r="BS15" s="442"/>
      <c r="BT15" s="441" t="str">
        <f>IFERROR(VLOOKUP($AX15,Zusammenlagerung!$A$3:$AA$28,23,FALSE),"")</f>
        <v/>
      </c>
      <c r="BU15" s="441" t="str">
        <f>IFERROR(VLOOKUP($AX15,Zusammenlagerung!$A$3:$AA$28,24,FALSE),"")</f>
        <v/>
      </c>
      <c r="BV15" s="441" t="str">
        <f>IFERROR(VLOOKUP($AX15,Zusammenlagerung!$A$3:$AA$28,25,FALSE),"")</f>
        <v/>
      </c>
      <c r="BW15" s="441" t="str">
        <f>IFERROR(VLOOKUP($AX15,Zusammenlagerung!$A$3:$AA$28,26,FALSE),"")</f>
        <v/>
      </c>
      <c r="BX15" s="441" t="str">
        <f>IFERROR(VLOOKUP($AX15,Zusammenlagerung!$A$3:$AA$28,27,FALSE),"")</f>
        <v/>
      </c>
      <c r="BY15" s="443" t="str">
        <f t="shared" si="24"/>
        <v/>
      </c>
      <c r="BZ15" s="197"/>
      <c r="CA15" s="102"/>
      <c r="CB15" s="12"/>
      <c r="CC15" s="12"/>
      <c r="CD15" s="12"/>
      <c r="CE15" s="12"/>
      <c r="CF15" s="12"/>
      <c r="CG15" s="12"/>
      <c r="CH15" s="12"/>
      <c r="CI15" s="12"/>
      <c r="CJ15" s="12"/>
      <c r="CK15" s="12"/>
      <c r="CL15" s="348"/>
      <c r="CM15" s="348"/>
      <c r="CN15" s="349"/>
      <c r="CO15" s="162" t="s">
        <v>3186</v>
      </c>
      <c r="CP15" s="462"/>
      <c r="CQ15" s="12"/>
      <c r="CR15" s="168"/>
      <c r="CS15" s="154"/>
      <c r="CT15" s="198"/>
      <c r="CU15" s="12"/>
      <c r="CV15" s="12"/>
      <c r="CW15" s="12"/>
      <c r="CX15" s="444" t="e" cm="1">
        <f t="array" ref="CX15">INDEX(Einatmen!$A$21:$A$26,MATCH(CV15&amp;CW15,Einatmen!$C$21:$C$26&amp;Einatmen!$B$21:$B$26,0))</f>
        <v>#N/A</v>
      </c>
      <c r="CY15" s="12"/>
      <c r="CZ15" s="444" t="e">
        <f t="array" ref="CZ15">INDEX(Einatmen!$A$38:$A$49,MATCH(CV15&amp;CY15,Einatmen!$C$38:$C$49&amp;Einatmen!$B$38:$B$49,0))</f>
        <v>#N/A</v>
      </c>
      <c r="DA15" s="444" t="e">
        <f t="array" ref="DA15">INDEX(Einatmen!$D$52:$D$159,MATCH(CU15&amp;CX15&amp;CZ15&amp;CV15,Einatmen!$A$52:$A$159&amp;Einatmen!$B$52:$B$159&amp;Einatmen!$C$52:$C$159&amp;Einatmen!$E$52:$E$159,0))</f>
        <v>#N/A</v>
      </c>
      <c r="DB15" s="12"/>
      <c r="DC15" s="353" t="str">
        <f t="shared" si="25"/>
        <v/>
      </c>
      <c r="DD15" s="147" t="str">
        <f>IFERROR(VLOOKUP(DB15,Schutzleitfäden!$A$3:$C$46,3,FALSE),"")</f>
        <v/>
      </c>
      <c r="DE15" s="199"/>
      <c r="DF15" s="12"/>
      <c r="DG15" s="12"/>
      <c r="DH15" s="444" t="str">
        <f>IF(DG15=Haut!$A$12,Haut!$B$12,(IF(DG15=Haut!$A$13,Haut!$B$13,"")))</f>
        <v/>
      </c>
      <c r="DI15" s="12"/>
      <c r="DJ15" s="444" t="str">
        <f>IF(DI15=Haut!$A$18,Haut!$C$18,(IF(DI15=Haut!$A$19,Haut!$C$19,"")))</f>
        <v/>
      </c>
      <c r="DK15" s="444" t="e">
        <f t="array" ref="DK15">INDEX(Haut!$D$22:$D$45,MATCH(DF15&amp;DH15&amp;DJ15,Haut!$A$22:$A$45&amp;Haut!$B$22:$B$45&amp;Haut!$C$22:$C$45,0))</f>
        <v>#N/A</v>
      </c>
      <c r="DL15" s="444" t="str">
        <f>IF(ISNA(DK15),"",(IF(DK15=Haut!$D$49,Haut!$E$49,(IF(DK15=Haut!$D$50,Haut!$E$50,(IF(DK15=Haut!$D$51,Haut!$E$51,(IF(DK15=Haut!$D$52,Haut!$E$52,(IF(DK15=Haut!$D$53,Haut!$E$53,"")))))))))))</f>
        <v/>
      </c>
      <c r="DM15" s="353" t="str">
        <f t="shared" si="26"/>
        <v/>
      </c>
      <c r="DN15" s="147" t="str">
        <f>IFERROR(VLOOKUP(DL15,Schutzleitfäden!$A$3:$C$46,3,FALSE),"")</f>
        <v/>
      </c>
      <c r="DO15" s="324"/>
      <c r="DP15" s="194"/>
      <c r="DQ15" s="444">
        <f t="shared" si="27"/>
        <v>0</v>
      </c>
      <c r="DR15" s="444">
        <f t="shared" si="28"/>
        <v>0</v>
      </c>
      <c r="DS15" s="444" t="e">
        <f t="array" ref="DS15">INDEX(Brand_EX!$A$15:$A$20,MATCH(DQ15&amp;DR15,Brand_EX!$C$15:$C$20&amp;Brand_EX!$B$15:$B$20,0))</f>
        <v>#N/A</v>
      </c>
      <c r="DT15" s="444">
        <f t="shared" si="29"/>
        <v>0</v>
      </c>
      <c r="DU15" s="444" t="e">
        <f t="array" ref="DU15">INDEX(Brand_EX!$A$31:$A$41,MATCH(DQ15&amp;DT15,Brand_EX!$C$31:$C$41&amp;Brand_EX!$B$31:$B$41,0))</f>
        <v>#N/A</v>
      </c>
      <c r="DV15" s="444" t="e">
        <f t="array" ref="DV15">INDEX(Brand_EX!$D$44:$D$133,MATCH(DP15&amp;DS15&amp;DU15&amp;DQ15,Brand_EX!$A$44:$A$133&amp;Brand_EX!$B$44:$B$133&amp;Brand_EX!$C$44:$C$133&amp;Brand_EX!$E$44:$E$133,0))</f>
        <v>#N/A</v>
      </c>
      <c r="DW15" s="12"/>
      <c r="DX15" s="354" t="str">
        <f t="shared" si="30"/>
        <v/>
      </c>
      <c r="DY15" s="147" t="str">
        <f>IFERROR(VLOOKUP(DW15,Schutzleitfäden!$A$3:$C$46,3,FALSE),"")</f>
        <v/>
      </c>
      <c r="DZ15" s="200"/>
      <c r="EA15" s="102" t="s">
        <v>7471</v>
      </c>
      <c r="EB15" s="12"/>
      <c r="EC15" s="12"/>
      <c r="ED15" s="102"/>
      <c r="EE15" s="338"/>
      <c r="EF15" s="13"/>
      <c r="EG15" s="13"/>
      <c r="EH15" s="13"/>
      <c r="EI15" s="448"/>
      <c r="EJ15" s="437" t="str">
        <f t="shared" si="31"/>
        <v>nein</v>
      </c>
      <c r="EK15" s="300"/>
      <c r="EL15" s="445"/>
      <c r="EM15" s="446"/>
      <c r="EN15" s="446"/>
      <c r="EO15" s="190" t="e">
        <f>VLOOKUP(EN15,Daten!$M$2:$N$18,2,FALSE)</f>
        <v>#N/A</v>
      </c>
      <c r="EP15" s="447" t="s">
        <v>511</v>
      </c>
      <c r="EQ15" s="445">
        <v>0</v>
      </c>
      <c r="ER15" s="446" t="s">
        <v>511</v>
      </c>
      <c r="ES15" s="446" t="s">
        <v>117</v>
      </c>
      <c r="ET15" s="191" t="str">
        <f>VLOOKUP(ES15,Daten!$M$2:$N$18,2,FALSE)</f>
        <v>entfällt</v>
      </c>
      <c r="EU15" s="447" t="s">
        <v>511</v>
      </c>
      <c r="EV15" s="445">
        <v>0</v>
      </c>
      <c r="EW15" s="446" t="s">
        <v>511</v>
      </c>
      <c r="EX15" s="446" t="s">
        <v>117</v>
      </c>
      <c r="EY15" s="191" t="str">
        <f>VLOOKUP(EX15,Daten!$M$2:$N$18,2,FALSE)</f>
        <v>entfällt</v>
      </c>
      <c r="EZ15" s="192"/>
      <c r="FA15" s="102"/>
      <c r="FB15" s="147" t="str">
        <f t="shared" si="32"/>
        <v/>
      </c>
      <c r="FC15" s="102"/>
      <c r="FD15" s="147" t="str">
        <f t="shared" si="33"/>
        <v/>
      </c>
      <c r="FE15" s="102"/>
      <c r="FF15" s="147" t="str">
        <f t="shared" si="34"/>
        <v/>
      </c>
      <c r="FG15" s="193"/>
      <c r="FH15" s="450" t="s">
        <v>7452</v>
      </c>
      <c r="FI15" s="421" t="s">
        <v>7426</v>
      </c>
      <c r="FJ15" s="449"/>
      <c r="FK15" s="421"/>
      <c r="FL15" s="421"/>
      <c r="FM15" s="421"/>
      <c r="FN15" s="450" t="s">
        <v>7453</v>
      </c>
      <c r="FO15" s="421" t="s">
        <v>7425</v>
      </c>
      <c r="FP15" s="451" t="s">
        <v>7460</v>
      </c>
      <c r="FQ15" s="421"/>
      <c r="FR15" s="421"/>
      <c r="FS15" s="451" t="s">
        <v>7460</v>
      </c>
      <c r="FT15" s="421"/>
      <c r="FU15" s="421"/>
      <c r="FV15" s="287"/>
      <c r="FW15" s="452"/>
      <c r="FX15" s="285" t="str">
        <f t="shared" si="35"/>
        <v/>
      </c>
      <c r="FY15" s="285" t="str">
        <f t="shared" si="36"/>
        <v/>
      </c>
      <c r="FZ15" s="147" t="str">
        <f t="shared" si="37"/>
        <v/>
      </c>
      <c r="GA15" s="453"/>
      <c r="GB15" s="200"/>
      <c r="GC15" s="459"/>
      <c r="GD15" s="102"/>
      <c r="GE15" s="102"/>
      <c r="GF15" s="102"/>
      <c r="GG15" s="102"/>
      <c r="GH15" s="102"/>
      <c r="GI15" s="102"/>
      <c r="GJ15" s="102"/>
      <c r="GK15" s="102"/>
      <c r="GL15" s="102"/>
      <c r="GM15" s="102"/>
      <c r="GN15" s="102"/>
    </row>
    <row r="16" spans="1:196" ht="30" customHeight="1" x14ac:dyDescent="0.3">
      <c r="A16" s="420" t="s">
        <v>835</v>
      </c>
      <c r="B16" s="102" t="s">
        <v>7539</v>
      </c>
      <c r="C16" s="102" t="s">
        <v>7530</v>
      </c>
      <c r="D16" s="15"/>
      <c r="E16" s="157" t="str">
        <f t="shared" si="12"/>
        <v>2</v>
      </c>
      <c r="F16" s="418"/>
      <c r="G16" s="157" t="str">
        <f>IF(AJ16&lt;&gt;"",HYPERLINK(CONCATENATE("BAG\",AJ16,".pdf"),"2"),HYPERLINK(CONCATENATE("BAG\BAG_",A16,".pdf"),"2"))</f>
        <v>2</v>
      </c>
      <c r="H16" s="169" t="str">
        <f t="shared" si="0"/>
        <v/>
      </c>
      <c r="I16" s="169" t="str">
        <f t="shared" si="13"/>
        <v/>
      </c>
      <c r="J16" s="169" t="str">
        <f t="shared" si="14"/>
        <v/>
      </c>
      <c r="K16" s="169" t="str">
        <f t="shared" si="15"/>
        <v/>
      </c>
      <c r="L16" s="169" t="str">
        <f t="shared" si="16"/>
        <v/>
      </c>
      <c r="M16" s="169" t="str">
        <f t="shared" si="17"/>
        <v/>
      </c>
      <c r="N16" s="169" t="str">
        <f t="shared" si="18"/>
        <v/>
      </c>
      <c r="O16" s="169" t="str">
        <f t="shared" si="19"/>
        <v/>
      </c>
      <c r="P16" s="169" t="str">
        <f t="shared" si="20"/>
        <v/>
      </c>
      <c r="Q16" s="169" t="str">
        <f t="shared" si="1"/>
        <v/>
      </c>
      <c r="R16" s="169" t="str">
        <f t="shared" si="2"/>
        <v/>
      </c>
      <c r="S16" s="12"/>
      <c r="T16" s="12"/>
      <c r="U16" s="196"/>
      <c r="V16" s="465" t="str">
        <f t="shared" si="21"/>
        <v>y</v>
      </c>
      <c r="W16" s="337"/>
      <c r="X16" s="316"/>
      <c r="Y16" s="315"/>
      <c r="Z16" s="316"/>
      <c r="AA16" s="315"/>
      <c r="AB16" s="316"/>
      <c r="AC16" s="315"/>
      <c r="AD16" s="316"/>
      <c r="AE16" s="315"/>
      <c r="AF16" s="316"/>
      <c r="AG16" s="300" t="s">
        <v>7485</v>
      </c>
      <c r="AH16" s="404"/>
      <c r="AI16" s="13"/>
      <c r="AJ16" s="291"/>
      <c r="AK16" s="291"/>
      <c r="AL16" s="291"/>
      <c r="AM16" s="291"/>
      <c r="AN16" s="439" t="str">
        <f>HYPERLINK(CONCATENATE("TDB\TDB_",A16,".pdf"),"2")</f>
        <v>2</v>
      </c>
      <c r="AO16" s="295"/>
      <c r="AP16" s="300"/>
      <c r="AQ16" s="225" t="s">
        <v>798</v>
      </c>
      <c r="AR16" s="13">
        <v>270</v>
      </c>
      <c r="AS16" s="13" t="s">
        <v>499</v>
      </c>
      <c r="AT16" s="154"/>
      <c r="AU16" s="440">
        <f t="shared" si="22"/>
        <v>0</v>
      </c>
      <c r="AV16" s="440" t="str">
        <f t="shared" si="23"/>
        <v>Liter</v>
      </c>
      <c r="AW16" s="405"/>
      <c r="AX16" s="339"/>
      <c r="AY16" s="441" t="str">
        <f>IFERROR(VLOOKUP($AX16,Zusammenlagerung!$A$3:$AA$28,2,FALSE),"")</f>
        <v/>
      </c>
      <c r="AZ16" s="441" t="str">
        <f>IFERROR(VLOOKUP($AX16,Zusammenlagerung!$A$3:$AA$28,3,FALSE),"")</f>
        <v/>
      </c>
      <c r="BA16" s="441" t="str">
        <f>IFERROR(VLOOKUP($AX16,Zusammenlagerung!$A$3:$AA$28,4,FALSE),"")</f>
        <v/>
      </c>
      <c r="BB16" s="441" t="str">
        <f>IFERROR(VLOOKUP($AX16,Zusammenlagerung!$A$3:$AA$28,5,FALSE),"")</f>
        <v/>
      </c>
      <c r="BC16" s="441" t="str">
        <f>IFERROR(VLOOKUP($AX16,Zusammenlagerung!$A$3:$AA$28,6,FALSE),"")</f>
        <v/>
      </c>
      <c r="BD16" s="441" t="str">
        <f>IFERROR(VLOOKUP($AX16,Zusammenlagerung!$A$3:$AA$28,7,FALSE),"")</f>
        <v/>
      </c>
      <c r="BE16" s="441" t="str">
        <f>IFERROR(VLOOKUP($AX16,Zusammenlagerung!$A$3:$AA$28,8,FALSE),"")</f>
        <v/>
      </c>
      <c r="BF16" s="441" t="str">
        <f>IFERROR(VLOOKUP($AX16,Zusammenlagerung!$A$3:$AA$28,9,FALSE),"")</f>
        <v/>
      </c>
      <c r="BG16" s="441" t="str">
        <f>IFERROR(VLOOKUP($AX16,Zusammenlagerung!$A$3:$AA$28,10,FALSE),"")</f>
        <v/>
      </c>
      <c r="BH16" s="441" t="str">
        <f>IFERROR(VLOOKUP($AX16,Zusammenlagerung!$A$3:$AA$28,11,FALSE),"")</f>
        <v/>
      </c>
      <c r="BI16" s="441" t="str">
        <f>IFERROR(VLOOKUP($AX16,Zusammenlagerung!$A$3:$AA$28,12,FALSE),"")</f>
        <v/>
      </c>
      <c r="BJ16" s="441" t="str">
        <f>IFERROR(VLOOKUP($AX16,Zusammenlagerung!$A$3:$AA$28,13,FALSE),"")</f>
        <v/>
      </c>
      <c r="BK16" s="441" t="str">
        <f>IFERROR(VLOOKUP($AX16,Zusammenlagerung!$A$3:$AA$28,14,FALSE),"")</f>
        <v/>
      </c>
      <c r="BL16" s="441" t="str">
        <f>IFERROR(VLOOKUP($AX16,Zusammenlagerung!$A$3:$AA$28,15,FALSE),"")</f>
        <v/>
      </c>
      <c r="BM16" s="441" t="str">
        <f>IFERROR(VLOOKUP($AX16,Zusammenlagerung!$A$3:$AA$28,16,FALSE),"")</f>
        <v/>
      </c>
      <c r="BN16" s="441" t="str">
        <f>IFERROR(VLOOKUP($AX16,Zusammenlagerung!$A$3:$AA$28,17,FALSE),"")</f>
        <v/>
      </c>
      <c r="BO16" s="441" t="str">
        <f>IFERROR(VLOOKUP($AX16,Zusammenlagerung!$A$3:$AA$28,18,FALSE),"")</f>
        <v/>
      </c>
      <c r="BP16" s="441" t="str">
        <f>IFERROR(VLOOKUP($AX16,Zusammenlagerung!$A$3:$AA$28,19,FALSE),"")</f>
        <v/>
      </c>
      <c r="BQ16" s="441" t="str">
        <f>IFERROR(VLOOKUP($AX16,Zusammenlagerung!$A$3:$AA$28,20,FALSE),"")</f>
        <v/>
      </c>
      <c r="BR16" s="441" t="str">
        <f>IFERROR(VLOOKUP($AX16,Zusammenlagerung!$A$3:$AA$28,21,FALSE),"")</f>
        <v/>
      </c>
      <c r="BS16" s="442"/>
      <c r="BT16" s="441" t="str">
        <f>IFERROR(VLOOKUP($AX16,Zusammenlagerung!$A$3:$AA$28,23,FALSE),"")</f>
        <v/>
      </c>
      <c r="BU16" s="441" t="str">
        <f>IFERROR(VLOOKUP($AX16,Zusammenlagerung!$A$3:$AA$28,24,FALSE),"")</f>
        <v/>
      </c>
      <c r="BV16" s="441" t="str">
        <f>IFERROR(VLOOKUP($AX16,Zusammenlagerung!$A$3:$AA$28,25,FALSE),"")</f>
        <v/>
      </c>
      <c r="BW16" s="441" t="str">
        <f>IFERROR(VLOOKUP($AX16,Zusammenlagerung!$A$3:$AA$28,26,FALSE),"")</f>
        <v/>
      </c>
      <c r="BX16" s="441" t="str">
        <f>IFERROR(VLOOKUP($AX16,Zusammenlagerung!$A$3:$AA$28,27,FALSE),"")</f>
        <v/>
      </c>
      <c r="BY16" s="443" t="str">
        <f t="shared" si="24"/>
        <v/>
      </c>
      <c r="BZ16" s="197"/>
      <c r="CA16" s="102"/>
      <c r="CB16" s="12"/>
      <c r="CC16" s="12"/>
      <c r="CD16" s="12"/>
      <c r="CE16" s="12"/>
      <c r="CF16" s="12"/>
      <c r="CG16" s="12"/>
      <c r="CH16" s="12"/>
      <c r="CI16" s="12"/>
      <c r="CJ16" s="12"/>
      <c r="CK16" s="12"/>
      <c r="CL16" s="348"/>
      <c r="CM16" s="348"/>
      <c r="CN16" s="349"/>
      <c r="CO16" s="162" t="s">
        <v>3186</v>
      </c>
      <c r="CP16" s="462"/>
      <c r="CQ16" s="12"/>
      <c r="CR16" s="168"/>
      <c r="CS16" s="154"/>
      <c r="CT16" s="198"/>
      <c r="CU16" s="12"/>
      <c r="CV16" s="12"/>
      <c r="CW16" s="12"/>
      <c r="CX16" s="444" t="e" cm="1">
        <f t="array" ref="CX16">INDEX(Einatmen!$A$21:$A$26,MATCH(CV16&amp;CW16,Einatmen!$C$21:$C$26&amp;Einatmen!$B$21:$B$26,0))</f>
        <v>#N/A</v>
      </c>
      <c r="CY16" s="12"/>
      <c r="CZ16" s="444" t="e">
        <f t="array" ref="CZ16">INDEX(Einatmen!$A$38:$A$49,MATCH(CV16&amp;CY16,Einatmen!$C$38:$C$49&amp;Einatmen!$B$38:$B$49,0))</f>
        <v>#N/A</v>
      </c>
      <c r="DA16" s="444" t="e">
        <f t="array" ref="DA16">INDEX(Einatmen!$D$52:$D$159,MATCH(CU16&amp;CX16&amp;CZ16&amp;CV16,Einatmen!$A$52:$A$159&amp;Einatmen!$B$52:$B$159&amp;Einatmen!$C$52:$C$159&amp;Einatmen!$E$52:$E$159,0))</f>
        <v>#N/A</v>
      </c>
      <c r="DB16" s="12"/>
      <c r="DC16" s="353" t="str">
        <f t="shared" si="25"/>
        <v/>
      </c>
      <c r="DD16" s="147" t="str">
        <f>IFERROR(VLOOKUP(DB16,Schutzleitfäden!$A$3:$C$46,3,FALSE),"")</f>
        <v/>
      </c>
      <c r="DE16" s="199"/>
      <c r="DF16" s="12"/>
      <c r="DG16" s="12"/>
      <c r="DH16" s="444" t="str">
        <f>IF(DG16=Haut!$A$12,Haut!$B$12,(IF(DG16=Haut!$A$13,Haut!$B$13,"")))</f>
        <v/>
      </c>
      <c r="DI16" s="12"/>
      <c r="DJ16" s="444" t="str">
        <f>IF(DI16=Haut!$A$18,Haut!$C$18,(IF(DI16=Haut!$A$19,Haut!$C$19,"")))</f>
        <v/>
      </c>
      <c r="DK16" s="444" t="e">
        <f t="array" ref="DK16">INDEX(Haut!$D$22:$D$45,MATCH(DF16&amp;DH16&amp;DJ16,Haut!$A$22:$A$45&amp;Haut!$B$22:$B$45&amp;Haut!$C$22:$C$45,0))</f>
        <v>#N/A</v>
      </c>
      <c r="DL16" s="444" t="str">
        <f>IF(ISNA(DK16),"",(IF(DK16=Haut!$D$49,Haut!$E$49,(IF(DK16=Haut!$D$50,Haut!$E$50,(IF(DK16=Haut!$D$51,Haut!$E$51,(IF(DK16=Haut!$D$52,Haut!$E$52,(IF(DK16=Haut!$D$53,Haut!$E$53,"")))))))))))</f>
        <v/>
      </c>
      <c r="DM16" s="353" t="str">
        <f t="shared" si="26"/>
        <v/>
      </c>
      <c r="DN16" s="147" t="str">
        <f>IFERROR(VLOOKUP(DL16,Schutzleitfäden!$A$3:$C$46,3,FALSE),"")</f>
        <v/>
      </c>
      <c r="DO16" s="324"/>
      <c r="DP16" s="194"/>
      <c r="DQ16" s="444">
        <f t="shared" si="27"/>
        <v>0</v>
      </c>
      <c r="DR16" s="444">
        <f t="shared" si="28"/>
        <v>0</v>
      </c>
      <c r="DS16" s="444" t="e">
        <f t="array" ref="DS16">INDEX(Brand_EX!$A$15:$A$20,MATCH(DQ16&amp;DR16,Brand_EX!$C$15:$C$20&amp;Brand_EX!$B$15:$B$20,0))</f>
        <v>#N/A</v>
      </c>
      <c r="DT16" s="444">
        <f t="shared" si="29"/>
        <v>0</v>
      </c>
      <c r="DU16" s="444" t="e">
        <f t="array" ref="DU16">INDEX(Brand_EX!$A$31:$A$41,MATCH(DQ16&amp;DT16,Brand_EX!$C$31:$C$41&amp;Brand_EX!$B$31:$B$41,0))</f>
        <v>#N/A</v>
      </c>
      <c r="DV16" s="444" t="e">
        <f t="array" ref="DV16">INDEX(Brand_EX!$D$44:$D$133,MATCH(DP16&amp;DS16&amp;DU16&amp;DQ16,Brand_EX!$A$44:$A$133&amp;Brand_EX!$B$44:$B$133&amp;Brand_EX!$C$44:$C$133&amp;Brand_EX!$E$44:$E$133,0))</f>
        <v>#N/A</v>
      </c>
      <c r="DW16" s="12"/>
      <c r="DX16" s="354" t="str">
        <f t="shared" si="30"/>
        <v/>
      </c>
      <c r="DY16" s="147" t="str">
        <f>IFERROR(VLOOKUP(DW16,Schutzleitfäden!$A$3:$C$46,3,FALSE),"")</f>
        <v/>
      </c>
      <c r="DZ16" s="200"/>
      <c r="EA16" s="102" t="s">
        <v>7471</v>
      </c>
      <c r="EB16" s="12"/>
      <c r="EC16" s="12"/>
      <c r="ED16" s="102"/>
      <c r="EE16" s="338"/>
      <c r="EF16" s="13"/>
      <c r="EG16" s="13"/>
      <c r="EH16" s="13"/>
      <c r="EI16" s="448"/>
      <c r="EJ16" s="437" t="str">
        <f t="shared" si="31"/>
        <v>nein</v>
      </c>
      <c r="EK16" s="300"/>
      <c r="EL16" s="445"/>
      <c r="EM16" s="446"/>
      <c r="EN16" s="446"/>
      <c r="EO16" s="190" t="e">
        <f>VLOOKUP(EN16,Daten!$M$2:$N$18,2,FALSE)</f>
        <v>#N/A</v>
      </c>
      <c r="EP16" s="447" t="s">
        <v>511</v>
      </c>
      <c r="EQ16" s="445">
        <v>0</v>
      </c>
      <c r="ER16" s="446" t="s">
        <v>511</v>
      </c>
      <c r="ES16" s="446" t="s">
        <v>117</v>
      </c>
      <c r="ET16" s="191" t="str">
        <f>VLOOKUP(ES16,Daten!$M$2:$N$18,2,FALSE)</f>
        <v>entfällt</v>
      </c>
      <c r="EU16" s="447" t="s">
        <v>511</v>
      </c>
      <c r="EV16" s="445">
        <v>0</v>
      </c>
      <c r="EW16" s="446" t="s">
        <v>511</v>
      </c>
      <c r="EX16" s="446" t="s">
        <v>117</v>
      </c>
      <c r="EY16" s="191" t="str">
        <f>VLOOKUP(EX16,Daten!$M$2:$N$18,2,FALSE)</f>
        <v>entfällt</v>
      </c>
      <c r="EZ16" s="192"/>
      <c r="FA16" s="102"/>
      <c r="FB16" s="147" t="str">
        <f t="shared" si="32"/>
        <v/>
      </c>
      <c r="FC16" s="102"/>
      <c r="FD16" s="147" t="str">
        <f t="shared" si="33"/>
        <v/>
      </c>
      <c r="FE16" s="102"/>
      <c r="FF16" s="147" t="str">
        <f t="shared" si="34"/>
        <v/>
      </c>
      <c r="FG16" s="193"/>
      <c r="FH16" s="450" t="s">
        <v>7452</v>
      </c>
      <c r="FI16" s="421" t="s">
        <v>7426</v>
      </c>
      <c r="FJ16" s="449"/>
      <c r="FK16" s="421"/>
      <c r="FL16" s="421"/>
      <c r="FM16" s="421"/>
      <c r="FN16" s="450" t="s">
        <v>7453</v>
      </c>
      <c r="FO16" s="421" t="s">
        <v>7425</v>
      </c>
      <c r="FP16" s="451" t="s">
        <v>7460</v>
      </c>
      <c r="FQ16" s="421"/>
      <c r="FR16" s="421"/>
      <c r="FS16" s="451" t="s">
        <v>7460</v>
      </c>
      <c r="FT16" s="421"/>
      <c r="FU16" s="421"/>
      <c r="FV16" s="287"/>
      <c r="FW16" s="452"/>
      <c r="FX16" s="285" t="str">
        <f t="shared" si="35"/>
        <v/>
      </c>
      <c r="FY16" s="285" t="str">
        <f t="shared" si="36"/>
        <v/>
      </c>
      <c r="FZ16" s="147" t="str">
        <f t="shared" si="37"/>
        <v/>
      </c>
      <c r="GA16" s="453"/>
      <c r="GB16" s="200"/>
      <c r="GC16" s="459"/>
      <c r="GD16" s="102"/>
      <c r="GE16" s="102"/>
      <c r="GF16" s="102"/>
      <c r="GG16" s="102"/>
      <c r="GH16" s="102"/>
      <c r="GI16" s="102"/>
      <c r="GJ16" s="102"/>
      <c r="GK16" s="102"/>
      <c r="GL16" s="102"/>
      <c r="GM16" s="102"/>
      <c r="GN16" s="102"/>
    </row>
    <row r="17" spans="1:196" ht="30" customHeight="1" x14ac:dyDescent="0.3">
      <c r="A17" s="420" t="s">
        <v>836</v>
      </c>
      <c r="B17" s="102" t="s">
        <v>7535</v>
      </c>
      <c r="C17" s="102" t="s">
        <v>7536</v>
      </c>
      <c r="D17" s="15"/>
      <c r="E17" s="157" t="str">
        <f t="shared" si="12"/>
        <v>2</v>
      </c>
      <c r="F17" s="418"/>
      <c r="G17" s="157" t="str">
        <f>IF(AJ17&lt;&gt;"",HYPERLINK(CONCATENATE("BAG\",AJ17,".pdf"),"2"),HYPERLINK(CONCATENATE("BAG\BAG_",A17,".pdf"),"2"))</f>
        <v>2</v>
      </c>
      <c r="H17" s="169" t="str">
        <f t="shared" si="0"/>
        <v/>
      </c>
      <c r="I17" s="169" t="str">
        <f t="shared" si="13"/>
        <v/>
      </c>
      <c r="J17" s="169" t="str">
        <f t="shared" si="14"/>
        <v/>
      </c>
      <c r="K17" s="169" t="str">
        <f t="shared" si="15"/>
        <v/>
      </c>
      <c r="L17" s="169" t="str">
        <f t="shared" si="16"/>
        <v/>
      </c>
      <c r="M17" s="169" t="str">
        <f t="shared" si="17"/>
        <v/>
      </c>
      <c r="N17" s="169" t="str">
        <f t="shared" si="18"/>
        <v/>
      </c>
      <c r="O17" s="169" t="str">
        <f t="shared" si="19"/>
        <v/>
      </c>
      <c r="P17" s="169" t="str">
        <f t="shared" si="20"/>
        <v/>
      </c>
      <c r="Q17" s="169" t="str">
        <f t="shared" si="1"/>
        <v/>
      </c>
      <c r="R17" s="169" t="str">
        <f t="shared" si="2"/>
        <v/>
      </c>
      <c r="S17" s="12"/>
      <c r="T17" s="12"/>
      <c r="U17" s="196"/>
      <c r="V17" s="465" t="str">
        <f t="shared" si="21"/>
        <v>y</v>
      </c>
      <c r="W17" s="337"/>
      <c r="X17" s="316"/>
      <c r="Y17" s="315"/>
      <c r="Z17" s="316"/>
      <c r="AA17" s="315"/>
      <c r="AB17" s="316"/>
      <c r="AC17" s="315"/>
      <c r="AD17" s="316"/>
      <c r="AE17" s="315"/>
      <c r="AF17" s="316"/>
      <c r="AG17" s="300" t="s">
        <v>7485</v>
      </c>
      <c r="AH17" s="404"/>
      <c r="AI17" s="13"/>
      <c r="AJ17" s="291"/>
      <c r="AK17" s="291"/>
      <c r="AL17" s="291"/>
      <c r="AM17" s="291"/>
      <c r="AN17" s="439" t="str">
        <f>HYPERLINK(CONCATENATE("TDB\TDB_",A17,".pdf"),"2")</f>
        <v>2</v>
      </c>
      <c r="AO17" s="295"/>
      <c r="AP17" s="300"/>
      <c r="AQ17" s="225" t="s">
        <v>810</v>
      </c>
      <c r="AR17" s="13">
        <v>1</v>
      </c>
      <c r="AS17" s="13" t="s">
        <v>458</v>
      </c>
      <c r="AT17" s="154"/>
      <c r="AU17" s="440">
        <f t="shared" si="22"/>
        <v>0</v>
      </c>
      <c r="AV17" s="440" t="str">
        <f t="shared" si="23"/>
        <v>kg</v>
      </c>
      <c r="AW17" s="405"/>
      <c r="AX17" s="339"/>
      <c r="AY17" s="441" t="str">
        <f>IFERROR(VLOOKUP($AX17,Zusammenlagerung!$A$3:$AA$28,2,FALSE),"")</f>
        <v/>
      </c>
      <c r="AZ17" s="441" t="str">
        <f>IFERROR(VLOOKUP($AX17,Zusammenlagerung!$A$3:$AA$28,3,FALSE),"")</f>
        <v/>
      </c>
      <c r="BA17" s="441" t="str">
        <f>IFERROR(VLOOKUP($AX17,Zusammenlagerung!$A$3:$AA$28,4,FALSE),"")</f>
        <v/>
      </c>
      <c r="BB17" s="441" t="str">
        <f>IFERROR(VLOOKUP($AX17,Zusammenlagerung!$A$3:$AA$28,5,FALSE),"")</f>
        <v/>
      </c>
      <c r="BC17" s="441" t="str">
        <f>IFERROR(VLOOKUP($AX17,Zusammenlagerung!$A$3:$AA$28,6,FALSE),"")</f>
        <v/>
      </c>
      <c r="BD17" s="441" t="str">
        <f>IFERROR(VLOOKUP($AX17,Zusammenlagerung!$A$3:$AA$28,7,FALSE),"")</f>
        <v/>
      </c>
      <c r="BE17" s="441" t="str">
        <f>IFERROR(VLOOKUP($AX17,Zusammenlagerung!$A$3:$AA$28,8,FALSE),"")</f>
        <v/>
      </c>
      <c r="BF17" s="441" t="str">
        <f>IFERROR(VLOOKUP($AX17,Zusammenlagerung!$A$3:$AA$28,9,FALSE),"")</f>
        <v/>
      </c>
      <c r="BG17" s="441" t="str">
        <f>IFERROR(VLOOKUP($AX17,Zusammenlagerung!$A$3:$AA$28,10,FALSE),"")</f>
        <v/>
      </c>
      <c r="BH17" s="441" t="str">
        <f>IFERROR(VLOOKUP($AX17,Zusammenlagerung!$A$3:$AA$28,11,FALSE),"")</f>
        <v/>
      </c>
      <c r="BI17" s="441" t="str">
        <f>IFERROR(VLOOKUP($AX17,Zusammenlagerung!$A$3:$AA$28,12,FALSE),"")</f>
        <v/>
      </c>
      <c r="BJ17" s="441" t="str">
        <f>IFERROR(VLOOKUP($AX17,Zusammenlagerung!$A$3:$AA$28,13,FALSE),"")</f>
        <v/>
      </c>
      <c r="BK17" s="441" t="str">
        <f>IFERROR(VLOOKUP($AX17,Zusammenlagerung!$A$3:$AA$28,14,FALSE),"")</f>
        <v/>
      </c>
      <c r="BL17" s="441" t="str">
        <f>IFERROR(VLOOKUP($AX17,Zusammenlagerung!$A$3:$AA$28,15,FALSE),"")</f>
        <v/>
      </c>
      <c r="BM17" s="441" t="str">
        <f>IFERROR(VLOOKUP($AX17,Zusammenlagerung!$A$3:$AA$28,16,FALSE),"")</f>
        <v/>
      </c>
      <c r="BN17" s="441" t="str">
        <f>IFERROR(VLOOKUP($AX17,Zusammenlagerung!$A$3:$AA$28,17,FALSE),"")</f>
        <v/>
      </c>
      <c r="BO17" s="441" t="str">
        <f>IFERROR(VLOOKUP($AX17,Zusammenlagerung!$A$3:$AA$28,18,FALSE),"")</f>
        <v/>
      </c>
      <c r="BP17" s="441" t="str">
        <f>IFERROR(VLOOKUP($AX17,Zusammenlagerung!$A$3:$AA$28,19,FALSE),"")</f>
        <v/>
      </c>
      <c r="BQ17" s="441" t="str">
        <f>IFERROR(VLOOKUP($AX17,Zusammenlagerung!$A$3:$AA$28,20,FALSE),"")</f>
        <v/>
      </c>
      <c r="BR17" s="441" t="str">
        <f>IFERROR(VLOOKUP($AX17,Zusammenlagerung!$A$3:$AA$28,21,FALSE),"")</f>
        <v/>
      </c>
      <c r="BS17" s="442"/>
      <c r="BT17" s="441" t="str">
        <f>IFERROR(VLOOKUP($AX17,Zusammenlagerung!$A$3:$AA$28,23,FALSE),"")</f>
        <v/>
      </c>
      <c r="BU17" s="441" t="str">
        <f>IFERROR(VLOOKUP($AX17,Zusammenlagerung!$A$3:$AA$28,24,FALSE),"")</f>
        <v/>
      </c>
      <c r="BV17" s="441" t="str">
        <f>IFERROR(VLOOKUP($AX17,Zusammenlagerung!$A$3:$AA$28,25,FALSE),"")</f>
        <v/>
      </c>
      <c r="BW17" s="441" t="str">
        <f>IFERROR(VLOOKUP($AX17,Zusammenlagerung!$A$3:$AA$28,26,FALSE),"")</f>
        <v/>
      </c>
      <c r="BX17" s="441" t="str">
        <f>IFERROR(VLOOKUP($AX17,Zusammenlagerung!$A$3:$AA$28,27,FALSE),"")</f>
        <v/>
      </c>
      <c r="BY17" s="443" t="str">
        <f t="shared" si="24"/>
        <v/>
      </c>
      <c r="BZ17" s="197"/>
      <c r="CA17" s="102"/>
      <c r="CB17" s="12"/>
      <c r="CC17" s="12"/>
      <c r="CD17" s="12"/>
      <c r="CE17" s="12"/>
      <c r="CF17" s="12"/>
      <c r="CG17" s="12"/>
      <c r="CH17" s="12"/>
      <c r="CI17" s="12"/>
      <c r="CJ17" s="12"/>
      <c r="CK17" s="12"/>
      <c r="CL17" s="348"/>
      <c r="CM17" s="348"/>
      <c r="CN17" s="349"/>
      <c r="CO17" s="162" t="s">
        <v>3186</v>
      </c>
      <c r="CP17" s="462"/>
      <c r="CQ17" s="12"/>
      <c r="CR17" s="168"/>
      <c r="CS17" s="154"/>
      <c r="CT17" s="198"/>
      <c r="CU17" s="12"/>
      <c r="CV17" s="12"/>
      <c r="CW17" s="12"/>
      <c r="CX17" s="444" t="e" cm="1">
        <f t="array" ref="CX17">INDEX(Einatmen!$A$21:$A$26,MATCH(CV17&amp;CW17,Einatmen!$C$21:$C$26&amp;Einatmen!$B$21:$B$26,0))</f>
        <v>#N/A</v>
      </c>
      <c r="CY17" s="12"/>
      <c r="CZ17" s="444" t="e">
        <f t="array" ref="CZ17">INDEX(Einatmen!$A$38:$A$49,MATCH(CV17&amp;CY17,Einatmen!$C$38:$C$49&amp;Einatmen!$B$38:$B$49,0))</f>
        <v>#N/A</v>
      </c>
      <c r="DA17" s="444" t="e">
        <f t="array" ref="DA17">INDEX(Einatmen!$D$52:$D$159,MATCH(CU17&amp;CX17&amp;CZ17&amp;CV17,Einatmen!$A$52:$A$159&amp;Einatmen!$B$52:$B$159&amp;Einatmen!$C$52:$C$159&amp;Einatmen!$E$52:$E$159,0))</f>
        <v>#N/A</v>
      </c>
      <c r="DB17" s="12"/>
      <c r="DC17" s="353" t="str">
        <f t="shared" si="25"/>
        <v/>
      </c>
      <c r="DD17" s="147" t="str">
        <f>IFERROR(VLOOKUP(DB17,Schutzleitfäden!$A$3:$C$46,3,FALSE),"")</f>
        <v/>
      </c>
      <c r="DE17" s="199"/>
      <c r="DF17" s="12"/>
      <c r="DG17" s="12"/>
      <c r="DH17" s="444" t="str">
        <f>IF(DG17=Haut!$A$12,Haut!$B$12,(IF(DG17=Haut!$A$13,Haut!$B$13,"")))</f>
        <v/>
      </c>
      <c r="DI17" s="12"/>
      <c r="DJ17" s="444" t="str">
        <f>IF(DI17=Haut!$A$18,Haut!$C$18,(IF(DI17=Haut!$A$19,Haut!$C$19,"")))</f>
        <v/>
      </c>
      <c r="DK17" s="444" t="e">
        <f t="array" ref="DK17">INDEX(Haut!$D$22:$D$45,MATCH(DF17&amp;DH17&amp;DJ17,Haut!$A$22:$A$45&amp;Haut!$B$22:$B$45&amp;Haut!$C$22:$C$45,0))</f>
        <v>#N/A</v>
      </c>
      <c r="DL17" s="444" t="str">
        <f>IF(ISNA(DK17),"",(IF(DK17=Haut!$D$49,Haut!$E$49,(IF(DK17=Haut!$D$50,Haut!$E$50,(IF(DK17=Haut!$D$51,Haut!$E$51,(IF(DK17=Haut!$D$52,Haut!$E$52,(IF(DK17=Haut!$D$53,Haut!$E$53,"")))))))))))</f>
        <v/>
      </c>
      <c r="DM17" s="353" t="str">
        <f t="shared" si="26"/>
        <v/>
      </c>
      <c r="DN17" s="147" t="str">
        <f>IFERROR(VLOOKUP(DL17,Schutzleitfäden!$A$3:$C$46,3,FALSE),"")</f>
        <v/>
      </c>
      <c r="DO17" s="324"/>
      <c r="DP17" s="194"/>
      <c r="DQ17" s="444">
        <f t="shared" si="27"/>
        <v>0</v>
      </c>
      <c r="DR17" s="444">
        <f t="shared" si="28"/>
        <v>0</v>
      </c>
      <c r="DS17" s="444" t="e">
        <f t="array" ref="DS17">INDEX(Brand_EX!$A$15:$A$20,MATCH(DQ17&amp;DR17,Brand_EX!$C$15:$C$20&amp;Brand_EX!$B$15:$B$20,0))</f>
        <v>#N/A</v>
      </c>
      <c r="DT17" s="444">
        <f t="shared" si="29"/>
        <v>0</v>
      </c>
      <c r="DU17" s="444" t="e">
        <f t="array" ref="DU17">INDEX(Brand_EX!$A$31:$A$41,MATCH(DQ17&amp;DT17,Brand_EX!$C$31:$C$41&amp;Brand_EX!$B$31:$B$41,0))</f>
        <v>#N/A</v>
      </c>
      <c r="DV17" s="444" t="e">
        <f t="array" ref="DV17">INDEX(Brand_EX!$D$44:$D$133,MATCH(DP17&amp;DS17&amp;DU17&amp;DQ17,Brand_EX!$A$44:$A$133&amp;Brand_EX!$B$44:$B$133&amp;Brand_EX!$C$44:$C$133&amp;Brand_EX!$E$44:$E$133,0))</f>
        <v>#N/A</v>
      </c>
      <c r="DW17" s="12"/>
      <c r="DX17" s="354" t="str">
        <f t="shared" si="30"/>
        <v/>
      </c>
      <c r="DY17" s="147" t="str">
        <f>IFERROR(VLOOKUP(DW17,Schutzleitfäden!$A$3:$C$46,3,FALSE),"")</f>
        <v/>
      </c>
      <c r="DZ17" s="200"/>
      <c r="EA17" s="102" t="s">
        <v>7471</v>
      </c>
      <c r="EB17" s="12"/>
      <c r="EC17" s="12"/>
      <c r="ED17" s="102"/>
      <c r="EE17" s="338"/>
      <c r="EF17" s="13"/>
      <c r="EG17" s="13"/>
      <c r="EH17" s="13"/>
      <c r="EI17" s="448"/>
      <c r="EJ17" s="437" t="str">
        <f t="shared" si="31"/>
        <v>nein</v>
      </c>
      <c r="EK17" s="300"/>
      <c r="EL17" s="445"/>
      <c r="EM17" s="446"/>
      <c r="EN17" s="446"/>
      <c r="EO17" s="190" t="e">
        <f>VLOOKUP(EN17,Daten!$M$2:$N$18,2,FALSE)</f>
        <v>#N/A</v>
      </c>
      <c r="EP17" s="447" t="s">
        <v>511</v>
      </c>
      <c r="EQ17" s="445">
        <v>0</v>
      </c>
      <c r="ER17" s="446" t="s">
        <v>511</v>
      </c>
      <c r="ES17" s="446" t="s">
        <v>117</v>
      </c>
      <c r="ET17" s="191" t="str">
        <f>VLOOKUP(ES17,Daten!$M$2:$N$18,2,FALSE)</f>
        <v>entfällt</v>
      </c>
      <c r="EU17" s="447" t="s">
        <v>511</v>
      </c>
      <c r="EV17" s="445">
        <v>0</v>
      </c>
      <c r="EW17" s="446" t="s">
        <v>511</v>
      </c>
      <c r="EX17" s="446" t="s">
        <v>117</v>
      </c>
      <c r="EY17" s="191" t="str">
        <f>VLOOKUP(EX17,Daten!$M$2:$N$18,2,FALSE)</f>
        <v>entfällt</v>
      </c>
      <c r="EZ17" s="192"/>
      <c r="FA17" s="102"/>
      <c r="FB17" s="147" t="str">
        <f t="shared" si="32"/>
        <v/>
      </c>
      <c r="FC17" s="102"/>
      <c r="FD17" s="147" t="str">
        <f t="shared" si="33"/>
        <v/>
      </c>
      <c r="FE17" s="102"/>
      <c r="FF17" s="147" t="str">
        <f t="shared" si="34"/>
        <v/>
      </c>
      <c r="FG17" s="193"/>
      <c r="FH17" s="450" t="s">
        <v>7452</v>
      </c>
      <c r="FI17" s="421" t="s">
        <v>7426</v>
      </c>
      <c r="FJ17" s="449"/>
      <c r="FK17" s="421"/>
      <c r="FL17" s="421"/>
      <c r="FM17" s="421"/>
      <c r="FN17" s="450" t="s">
        <v>7453</v>
      </c>
      <c r="FO17" s="421" t="s">
        <v>7425</v>
      </c>
      <c r="FP17" s="451" t="s">
        <v>7460</v>
      </c>
      <c r="FQ17" s="421"/>
      <c r="FR17" s="421"/>
      <c r="FS17" s="451" t="s">
        <v>7460</v>
      </c>
      <c r="FT17" s="421"/>
      <c r="FU17" s="421"/>
      <c r="FV17" s="287"/>
      <c r="FW17" s="452"/>
      <c r="FX17" s="285" t="str">
        <f t="shared" si="35"/>
        <v/>
      </c>
      <c r="FY17" s="285" t="str">
        <f t="shared" si="36"/>
        <v/>
      </c>
      <c r="FZ17" s="147" t="str">
        <f t="shared" si="37"/>
        <v/>
      </c>
      <c r="GA17" s="453"/>
      <c r="GB17" s="200"/>
      <c r="GC17" s="459"/>
      <c r="GD17" s="102"/>
      <c r="GE17" s="102"/>
      <c r="GF17" s="102"/>
      <c r="GG17" s="102"/>
      <c r="GH17" s="102"/>
      <c r="GI17" s="102"/>
      <c r="GJ17" s="102"/>
      <c r="GK17" s="102"/>
      <c r="GL17" s="102"/>
      <c r="GM17" s="102"/>
      <c r="GN17" s="102"/>
    </row>
    <row r="18" spans="1:196" ht="30" customHeight="1" x14ac:dyDescent="0.3">
      <c r="A18" s="420" t="s">
        <v>837</v>
      </c>
      <c r="B18" s="102" t="s">
        <v>7545</v>
      </c>
      <c r="C18" s="102" t="s">
        <v>7530</v>
      </c>
      <c r="D18" s="15"/>
      <c r="E18" s="157" t="str">
        <f t="shared" si="12"/>
        <v>2</v>
      </c>
      <c r="F18" s="418"/>
      <c r="G18" s="157" t="str">
        <f>IF(AJ18&lt;&gt;"",HYPERLINK(CONCATENATE("BAG\",AJ18,".pdf"),"2"),HYPERLINK(CONCATENATE("BAG\BAG_",A18,".pdf"),"2"))</f>
        <v>2</v>
      </c>
      <c r="H18" s="169" t="str">
        <f t="shared" si="0"/>
        <v/>
      </c>
      <c r="I18" s="169" t="str">
        <f t="shared" si="13"/>
        <v/>
      </c>
      <c r="J18" s="169" t="str">
        <f t="shared" si="14"/>
        <v/>
      </c>
      <c r="K18" s="169" t="str">
        <f t="shared" si="15"/>
        <v/>
      </c>
      <c r="L18" s="169" t="str">
        <f t="shared" si="16"/>
        <v/>
      </c>
      <c r="M18" s="169" t="str">
        <f t="shared" si="17"/>
        <v/>
      </c>
      <c r="N18" s="169" t="str">
        <f t="shared" si="18"/>
        <v/>
      </c>
      <c r="O18" s="169" t="str">
        <f t="shared" si="19"/>
        <v/>
      </c>
      <c r="P18" s="169" t="str">
        <f t="shared" si="20"/>
        <v/>
      </c>
      <c r="Q18" s="169" t="str">
        <f t="shared" si="1"/>
        <v/>
      </c>
      <c r="R18" s="169" t="str">
        <f t="shared" si="2"/>
        <v/>
      </c>
      <c r="S18" s="12"/>
      <c r="T18" s="12"/>
      <c r="U18" s="196"/>
      <c r="V18" s="465" t="str">
        <f t="shared" si="21"/>
        <v>y</v>
      </c>
      <c r="W18" s="337"/>
      <c r="X18" s="316"/>
      <c r="Y18" s="315"/>
      <c r="Z18" s="316"/>
      <c r="AA18" s="315"/>
      <c r="AB18" s="316"/>
      <c r="AC18" s="315"/>
      <c r="AD18" s="316"/>
      <c r="AE18" s="315"/>
      <c r="AF18" s="316"/>
      <c r="AG18" s="300" t="s">
        <v>7485</v>
      </c>
      <c r="AH18" s="404"/>
      <c r="AI18" s="13"/>
      <c r="AJ18" s="291"/>
      <c r="AK18" s="291"/>
      <c r="AL18" s="291"/>
      <c r="AM18" s="291"/>
      <c r="AN18" s="439" t="str">
        <f>HYPERLINK(CONCATENATE("TDB\TDB_",A18,".pdf"),"2")</f>
        <v>2</v>
      </c>
      <c r="AO18" s="295"/>
      <c r="AP18" s="300"/>
      <c r="AQ18" s="225" t="s">
        <v>798</v>
      </c>
      <c r="AR18" s="13">
        <v>270</v>
      </c>
      <c r="AS18" s="13" t="s">
        <v>499</v>
      </c>
      <c r="AT18" s="154"/>
      <c r="AU18" s="440">
        <f t="shared" si="22"/>
        <v>0</v>
      </c>
      <c r="AV18" s="440" t="str">
        <f t="shared" si="23"/>
        <v>Liter</v>
      </c>
      <c r="AW18" s="405"/>
      <c r="AX18" s="339"/>
      <c r="AY18" s="441" t="str">
        <f>IFERROR(VLOOKUP($AX18,Zusammenlagerung!$A$3:$AA$28,2,FALSE),"")</f>
        <v/>
      </c>
      <c r="AZ18" s="441" t="str">
        <f>IFERROR(VLOOKUP($AX18,Zusammenlagerung!$A$3:$AA$28,3,FALSE),"")</f>
        <v/>
      </c>
      <c r="BA18" s="441" t="str">
        <f>IFERROR(VLOOKUP($AX18,Zusammenlagerung!$A$3:$AA$28,4,FALSE),"")</f>
        <v/>
      </c>
      <c r="BB18" s="441" t="str">
        <f>IFERROR(VLOOKUP($AX18,Zusammenlagerung!$A$3:$AA$28,5,FALSE),"")</f>
        <v/>
      </c>
      <c r="BC18" s="441" t="str">
        <f>IFERROR(VLOOKUP($AX18,Zusammenlagerung!$A$3:$AA$28,6,FALSE),"")</f>
        <v/>
      </c>
      <c r="BD18" s="441" t="str">
        <f>IFERROR(VLOOKUP($AX18,Zusammenlagerung!$A$3:$AA$28,7,FALSE),"")</f>
        <v/>
      </c>
      <c r="BE18" s="441" t="str">
        <f>IFERROR(VLOOKUP($AX18,Zusammenlagerung!$A$3:$AA$28,8,FALSE),"")</f>
        <v/>
      </c>
      <c r="BF18" s="441" t="str">
        <f>IFERROR(VLOOKUP($AX18,Zusammenlagerung!$A$3:$AA$28,9,FALSE),"")</f>
        <v/>
      </c>
      <c r="BG18" s="441" t="str">
        <f>IFERROR(VLOOKUP($AX18,Zusammenlagerung!$A$3:$AA$28,10,FALSE),"")</f>
        <v/>
      </c>
      <c r="BH18" s="441" t="str">
        <f>IFERROR(VLOOKUP($AX18,Zusammenlagerung!$A$3:$AA$28,11,FALSE),"")</f>
        <v/>
      </c>
      <c r="BI18" s="441" t="str">
        <f>IFERROR(VLOOKUP($AX18,Zusammenlagerung!$A$3:$AA$28,12,FALSE),"")</f>
        <v/>
      </c>
      <c r="BJ18" s="441" t="str">
        <f>IFERROR(VLOOKUP($AX18,Zusammenlagerung!$A$3:$AA$28,13,FALSE),"")</f>
        <v/>
      </c>
      <c r="BK18" s="441" t="str">
        <f>IFERROR(VLOOKUP($AX18,Zusammenlagerung!$A$3:$AA$28,14,FALSE),"")</f>
        <v/>
      </c>
      <c r="BL18" s="441" t="str">
        <f>IFERROR(VLOOKUP($AX18,Zusammenlagerung!$A$3:$AA$28,15,FALSE),"")</f>
        <v/>
      </c>
      <c r="BM18" s="441" t="str">
        <f>IFERROR(VLOOKUP($AX18,Zusammenlagerung!$A$3:$AA$28,16,FALSE),"")</f>
        <v/>
      </c>
      <c r="BN18" s="441" t="str">
        <f>IFERROR(VLOOKUP($AX18,Zusammenlagerung!$A$3:$AA$28,17,FALSE),"")</f>
        <v/>
      </c>
      <c r="BO18" s="441" t="str">
        <f>IFERROR(VLOOKUP($AX18,Zusammenlagerung!$A$3:$AA$28,18,FALSE),"")</f>
        <v/>
      </c>
      <c r="BP18" s="441" t="str">
        <f>IFERROR(VLOOKUP($AX18,Zusammenlagerung!$A$3:$AA$28,19,FALSE),"")</f>
        <v/>
      </c>
      <c r="BQ18" s="441" t="str">
        <f>IFERROR(VLOOKUP($AX18,Zusammenlagerung!$A$3:$AA$28,20,FALSE),"")</f>
        <v/>
      </c>
      <c r="BR18" s="441" t="str">
        <f>IFERROR(VLOOKUP($AX18,Zusammenlagerung!$A$3:$AA$28,21,FALSE),"")</f>
        <v/>
      </c>
      <c r="BS18" s="442"/>
      <c r="BT18" s="441" t="str">
        <f>IFERROR(VLOOKUP($AX18,Zusammenlagerung!$A$3:$AA$28,23,FALSE),"")</f>
        <v/>
      </c>
      <c r="BU18" s="441" t="str">
        <f>IFERROR(VLOOKUP($AX18,Zusammenlagerung!$A$3:$AA$28,24,FALSE),"")</f>
        <v/>
      </c>
      <c r="BV18" s="441" t="str">
        <f>IFERROR(VLOOKUP($AX18,Zusammenlagerung!$A$3:$AA$28,25,FALSE),"")</f>
        <v/>
      </c>
      <c r="BW18" s="441" t="str">
        <f>IFERROR(VLOOKUP($AX18,Zusammenlagerung!$A$3:$AA$28,26,FALSE),"")</f>
        <v/>
      </c>
      <c r="BX18" s="441" t="str">
        <f>IFERROR(VLOOKUP($AX18,Zusammenlagerung!$A$3:$AA$28,27,FALSE),"")</f>
        <v/>
      </c>
      <c r="BY18" s="443" t="str">
        <f t="shared" si="24"/>
        <v/>
      </c>
      <c r="BZ18" s="197"/>
      <c r="CA18" s="102"/>
      <c r="CB18" s="12"/>
      <c r="CC18" s="12"/>
      <c r="CD18" s="12"/>
      <c r="CE18" s="12"/>
      <c r="CF18" s="12"/>
      <c r="CG18" s="12"/>
      <c r="CH18" s="12"/>
      <c r="CI18" s="12"/>
      <c r="CJ18" s="12"/>
      <c r="CK18" s="12"/>
      <c r="CL18" s="348"/>
      <c r="CM18" s="348"/>
      <c r="CN18" s="349"/>
      <c r="CO18" s="162" t="s">
        <v>3186</v>
      </c>
      <c r="CP18" s="462"/>
      <c r="CQ18" s="12"/>
      <c r="CR18" s="168"/>
      <c r="CS18" s="154"/>
      <c r="CT18" s="198"/>
      <c r="CU18" s="12"/>
      <c r="CV18" s="12"/>
      <c r="CW18" s="12"/>
      <c r="CX18" s="444" t="e" cm="1">
        <f t="array" ref="CX18">INDEX(Einatmen!$A$21:$A$26,MATCH(CV18&amp;CW18,Einatmen!$C$21:$C$26&amp;Einatmen!$B$21:$B$26,0))</f>
        <v>#N/A</v>
      </c>
      <c r="CY18" s="12"/>
      <c r="CZ18" s="444" t="e">
        <f t="array" ref="CZ18">INDEX(Einatmen!$A$38:$A$49,MATCH(CV18&amp;CY18,Einatmen!$C$38:$C$49&amp;Einatmen!$B$38:$B$49,0))</f>
        <v>#N/A</v>
      </c>
      <c r="DA18" s="444" t="e">
        <f t="array" ref="DA18">INDEX(Einatmen!$D$52:$D$159,MATCH(CU18&amp;CX18&amp;CZ18&amp;CV18,Einatmen!$A$52:$A$159&amp;Einatmen!$B$52:$B$159&amp;Einatmen!$C$52:$C$159&amp;Einatmen!$E$52:$E$159,0))</f>
        <v>#N/A</v>
      </c>
      <c r="DB18" s="12"/>
      <c r="DC18" s="353" t="str">
        <f t="shared" si="25"/>
        <v/>
      </c>
      <c r="DD18" s="147" t="str">
        <f>IFERROR(VLOOKUP(DB18,Schutzleitfäden!$A$3:$C$46,3,FALSE),"")</f>
        <v/>
      </c>
      <c r="DE18" s="199"/>
      <c r="DF18" s="12"/>
      <c r="DG18" s="12"/>
      <c r="DH18" s="444" t="str">
        <f>IF(DG18=Haut!$A$12,Haut!$B$12,(IF(DG18=Haut!$A$13,Haut!$B$13,"")))</f>
        <v/>
      </c>
      <c r="DI18" s="12"/>
      <c r="DJ18" s="444" t="str">
        <f>IF(DI18=Haut!$A$18,Haut!$C$18,(IF(DI18=Haut!$A$19,Haut!$C$19,"")))</f>
        <v/>
      </c>
      <c r="DK18" s="444" t="e">
        <f t="array" ref="DK18">INDEX(Haut!$D$22:$D$45,MATCH(DF18&amp;DH18&amp;DJ18,Haut!$A$22:$A$45&amp;Haut!$B$22:$B$45&amp;Haut!$C$22:$C$45,0))</f>
        <v>#N/A</v>
      </c>
      <c r="DL18" s="444" t="str">
        <f>IF(ISNA(DK18),"",(IF(DK18=Haut!$D$49,Haut!$E$49,(IF(DK18=Haut!$D$50,Haut!$E$50,(IF(DK18=Haut!$D$51,Haut!$E$51,(IF(DK18=Haut!$D$52,Haut!$E$52,(IF(DK18=Haut!$D$53,Haut!$E$53,"")))))))))))</f>
        <v/>
      </c>
      <c r="DM18" s="353" t="str">
        <f t="shared" si="26"/>
        <v/>
      </c>
      <c r="DN18" s="147" t="str">
        <f>IFERROR(VLOOKUP(DL18,Schutzleitfäden!$A$3:$C$46,3,FALSE),"")</f>
        <v/>
      </c>
      <c r="DO18" s="324"/>
      <c r="DP18" s="194"/>
      <c r="DQ18" s="444">
        <f t="shared" si="27"/>
        <v>0</v>
      </c>
      <c r="DR18" s="444">
        <f t="shared" si="28"/>
        <v>0</v>
      </c>
      <c r="DS18" s="444" t="e">
        <f t="array" ref="DS18">INDEX(Brand_EX!$A$15:$A$20,MATCH(DQ18&amp;DR18,Brand_EX!$C$15:$C$20&amp;Brand_EX!$B$15:$B$20,0))</f>
        <v>#N/A</v>
      </c>
      <c r="DT18" s="444">
        <f t="shared" si="29"/>
        <v>0</v>
      </c>
      <c r="DU18" s="444" t="e">
        <f t="array" ref="DU18">INDEX(Brand_EX!$A$31:$A$41,MATCH(DQ18&amp;DT18,Brand_EX!$C$31:$C$41&amp;Brand_EX!$B$31:$B$41,0))</f>
        <v>#N/A</v>
      </c>
      <c r="DV18" s="444" t="e">
        <f t="array" ref="DV18">INDEX(Brand_EX!$D$44:$D$133,MATCH(DP18&amp;DS18&amp;DU18&amp;DQ18,Brand_EX!$A$44:$A$133&amp;Brand_EX!$B$44:$B$133&amp;Brand_EX!$C$44:$C$133&amp;Brand_EX!$E$44:$E$133,0))</f>
        <v>#N/A</v>
      </c>
      <c r="DW18" s="12"/>
      <c r="DX18" s="354" t="str">
        <f t="shared" si="30"/>
        <v/>
      </c>
      <c r="DY18" s="147" t="str">
        <f>IFERROR(VLOOKUP(DW18,Schutzleitfäden!$A$3:$C$46,3,FALSE),"")</f>
        <v/>
      </c>
      <c r="DZ18" s="200"/>
      <c r="EA18" s="102" t="s">
        <v>7471</v>
      </c>
      <c r="EB18" s="12"/>
      <c r="EC18" s="12"/>
      <c r="ED18" s="102"/>
      <c r="EE18" s="338"/>
      <c r="EF18" s="13"/>
      <c r="EG18" s="13"/>
      <c r="EH18" s="13"/>
      <c r="EI18" s="448"/>
      <c r="EJ18" s="437" t="str">
        <f t="shared" si="31"/>
        <v>nein</v>
      </c>
      <c r="EK18" s="300"/>
      <c r="EL18" s="445"/>
      <c r="EM18" s="446"/>
      <c r="EN18" s="446"/>
      <c r="EO18" s="190" t="e">
        <f>VLOOKUP(EN18,Daten!$M$2:$N$18,2,FALSE)</f>
        <v>#N/A</v>
      </c>
      <c r="EP18" s="447" t="s">
        <v>511</v>
      </c>
      <c r="EQ18" s="445">
        <v>0</v>
      </c>
      <c r="ER18" s="446" t="s">
        <v>511</v>
      </c>
      <c r="ES18" s="446" t="s">
        <v>117</v>
      </c>
      <c r="ET18" s="191" t="str">
        <f>VLOOKUP(ES18,Daten!$M$2:$N$18,2,FALSE)</f>
        <v>entfällt</v>
      </c>
      <c r="EU18" s="447" t="s">
        <v>511</v>
      </c>
      <c r="EV18" s="445">
        <v>0</v>
      </c>
      <c r="EW18" s="446" t="s">
        <v>511</v>
      </c>
      <c r="EX18" s="446" t="s">
        <v>117</v>
      </c>
      <c r="EY18" s="191" t="str">
        <f>VLOOKUP(EX18,Daten!$M$2:$N$18,2,FALSE)</f>
        <v>entfällt</v>
      </c>
      <c r="EZ18" s="192"/>
      <c r="FA18" s="102"/>
      <c r="FB18" s="147" t="str">
        <f t="shared" si="32"/>
        <v/>
      </c>
      <c r="FC18" s="102"/>
      <c r="FD18" s="147" t="str">
        <f t="shared" si="33"/>
        <v/>
      </c>
      <c r="FE18" s="102"/>
      <c r="FF18" s="147" t="str">
        <f t="shared" si="34"/>
        <v/>
      </c>
      <c r="FG18" s="193"/>
      <c r="FH18" s="450" t="s">
        <v>7452</v>
      </c>
      <c r="FI18" s="421" t="s">
        <v>7426</v>
      </c>
      <c r="FJ18" s="449"/>
      <c r="FK18" s="421"/>
      <c r="FL18" s="421"/>
      <c r="FM18" s="421"/>
      <c r="FN18" s="450" t="s">
        <v>7453</v>
      </c>
      <c r="FO18" s="421" t="s">
        <v>7425</v>
      </c>
      <c r="FP18" s="451" t="s">
        <v>7460</v>
      </c>
      <c r="FQ18" s="421"/>
      <c r="FR18" s="421"/>
      <c r="FS18" s="451" t="s">
        <v>7460</v>
      </c>
      <c r="FT18" s="421"/>
      <c r="FU18" s="421"/>
      <c r="FV18" s="287"/>
      <c r="FW18" s="452"/>
      <c r="FX18" s="285" t="str">
        <f t="shared" si="35"/>
        <v/>
      </c>
      <c r="FY18" s="285" t="str">
        <f t="shared" si="36"/>
        <v/>
      </c>
      <c r="FZ18" s="147" t="str">
        <f t="shared" si="37"/>
        <v/>
      </c>
      <c r="GA18" s="453"/>
      <c r="GB18" s="200"/>
      <c r="GC18" s="459"/>
      <c r="GD18" s="102"/>
      <c r="GE18" s="102"/>
      <c r="GF18" s="102"/>
      <c r="GG18" s="102"/>
      <c r="GH18" s="102"/>
      <c r="GI18" s="102"/>
      <c r="GJ18" s="102"/>
      <c r="GK18" s="102"/>
      <c r="GL18" s="102"/>
      <c r="GM18" s="102"/>
      <c r="GN18" s="102"/>
    </row>
    <row r="19" spans="1:196" ht="30" customHeight="1" x14ac:dyDescent="0.3">
      <c r="A19" s="420" t="s">
        <v>838</v>
      </c>
      <c r="B19" s="102" t="s">
        <v>7546</v>
      </c>
      <c r="C19" s="102" t="s">
        <v>7530</v>
      </c>
      <c r="D19" s="15"/>
      <c r="E19" s="157" t="str">
        <f t="shared" si="12"/>
        <v>2</v>
      </c>
      <c r="F19" s="418"/>
      <c r="G19" s="157" t="str">
        <f>IF(AJ19&lt;&gt;"",HYPERLINK(CONCATENATE("BAG\",AJ19,".pdf"),"2"),HYPERLINK(CONCATENATE("BAG\BAG_",A19,".pdf"),"2"))</f>
        <v>2</v>
      </c>
      <c r="H19" s="169" t="str">
        <f t="shared" si="0"/>
        <v/>
      </c>
      <c r="I19" s="169" t="str">
        <f t="shared" si="13"/>
        <v/>
      </c>
      <c r="J19" s="169" t="str">
        <f t="shared" si="14"/>
        <v/>
      </c>
      <c r="K19" s="169" t="str">
        <f t="shared" si="15"/>
        <v/>
      </c>
      <c r="L19" s="169" t="str">
        <f t="shared" si="16"/>
        <v/>
      </c>
      <c r="M19" s="169" t="str">
        <f t="shared" si="17"/>
        <v/>
      </c>
      <c r="N19" s="169" t="str">
        <f t="shared" si="18"/>
        <v/>
      </c>
      <c r="O19" s="169" t="str">
        <f t="shared" si="19"/>
        <v/>
      </c>
      <c r="P19" s="169" t="str">
        <f t="shared" si="20"/>
        <v/>
      </c>
      <c r="Q19" s="169" t="str">
        <f t="shared" si="1"/>
        <v/>
      </c>
      <c r="R19" s="169" t="str">
        <f t="shared" si="2"/>
        <v/>
      </c>
      <c r="S19" s="12"/>
      <c r="T19" s="12"/>
      <c r="U19" s="196"/>
      <c r="V19" s="465" t="str">
        <f t="shared" si="21"/>
        <v>y</v>
      </c>
      <c r="W19" s="337"/>
      <c r="X19" s="316"/>
      <c r="Y19" s="315"/>
      <c r="Z19" s="316"/>
      <c r="AA19" s="315"/>
      <c r="AB19" s="316"/>
      <c r="AC19" s="315"/>
      <c r="AD19" s="316"/>
      <c r="AE19" s="315"/>
      <c r="AF19" s="316"/>
      <c r="AG19" s="300" t="s">
        <v>7485</v>
      </c>
      <c r="AH19" s="404"/>
      <c r="AI19" s="13"/>
      <c r="AJ19" s="291"/>
      <c r="AK19" s="291"/>
      <c r="AL19" s="291"/>
      <c r="AM19" s="291"/>
      <c r="AN19" s="439" t="str">
        <f>HYPERLINK(CONCATENATE("TDB\TDB_",A19,".pdf"),"2")</f>
        <v>2</v>
      </c>
      <c r="AO19" s="295"/>
      <c r="AP19" s="300"/>
      <c r="AQ19" s="225" t="s">
        <v>798</v>
      </c>
      <c r="AR19" s="13">
        <v>270</v>
      </c>
      <c r="AS19" s="13" t="s">
        <v>499</v>
      </c>
      <c r="AT19" s="154"/>
      <c r="AU19" s="440">
        <f t="shared" si="22"/>
        <v>0</v>
      </c>
      <c r="AV19" s="440" t="str">
        <f t="shared" si="23"/>
        <v>Liter</v>
      </c>
      <c r="AW19" s="405"/>
      <c r="AX19" s="339"/>
      <c r="AY19" s="441" t="str">
        <f>IFERROR(VLOOKUP($AX19,Zusammenlagerung!$A$3:$AA$28,2,FALSE),"")</f>
        <v/>
      </c>
      <c r="AZ19" s="441" t="str">
        <f>IFERROR(VLOOKUP($AX19,Zusammenlagerung!$A$3:$AA$28,3,FALSE),"")</f>
        <v/>
      </c>
      <c r="BA19" s="441" t="str">
        <f>IFERROR(VLOOKUP($AX19,Zusammenlagerung!$A$3:$AA$28,4,FALSE),"")</f>
        <v/>
      </c>
      <c r="BB19" s="441" t="str">
        <f>IFERROR(VLOOKUP($AX19,Zusammenlagerung!$A$3:$AA$28,5,FALSE),"")</f>
        <v/>
      </c>
      <c r="BC19" s="441" t="str">
        <f>IFERROR(VLOOKUP($AX19,Zusammenlagerung!$A$3:$AA$28,6,FALSE),"")</f>
        <v/>
      </c>
      <c r="BD19" s="441" t="str">
        <f>IFERROR(VLOOKUP($AX19,Zusammenlagerung!$A$3:$AA$28,7,FALSE),"")</f>
        <v/>
      </c>
      <c r="BE19" s="441" t="str">
        <f>IFERROR(VLOOKUP($AX19,Zusammenlagerung!$A$3:$AA$28,8,FALSE),"")</f>
        <v/>
      </c>
      <c r="BF19" s="441" t="str">
        <f>IFERROR(VLOOKUP($AX19,Zusammenlagerung!$A$3:$AA$28,9,FALSE),"")</f>
        <v/>
      </c>
      <c r="BG19" s="441" t="str">
        <f>IFERROR(VLOOKUP($AX19,Zusammenlagerung!$A$3:$AA$28,10,FALSE),"")</f>
        <v/>
      </c>
      <c r="BH19" s="441" t="str">
        <f>IFERROR(VLOOKUP($AX19,Zusammenlagerung!$A$3:$AA$28,11,FALSE),"")</f>
        <v/>
      </c>
      <c r="BI19" s="441" t="str">
        <f>IFERROR(VLOOKUP($AX19,Zusammenlagerung!$A$3:$AA$28,12,FALSE),"")</f>
        <v/>
      </c>
      <c r="BJ19" s="441" t="str">
        <f>IFERROR(VLOOKUP($AX19,Zusammenlagerung!$A$3:$AA$28,13,FALSE),"")</f>
        <v/>
      </c>
      <c r="BK19" s="441" t="str">
        <f>IFERROR(VLOOKUP($AX19,Zusammenlagerung!$A$3:$AA$28,14,FALSE),"")</f>
        <v/>
      </c>
      <c r="BL19" s="441" t="str">
        <f>IFERROR(VLOOKUP($AX19,Zusammenlagerung!$A$3:$AA$28,15,FALSE),"")</f>
        <v/>
      </c>
      <c r="BM19" s="441" t="str">
        <f>IFERROR(VLOOKUP($AX19,Zusammenlagerung!$A$3:$AA$28,16,FALSE),"")</f>
        <v/>
      </c>
      <c r="BN19" s="441" t="str">
        <f>IFERROR(VLOOKUP($AX19,Zusammenlagerung!$A$3:$AA$28,17,FALSE),"")</f>
        <v/>
      </c>
      <c r="BO19" s="441" t="str">
        <f>IFERROR(VLOOKUP($AX19,Zusammenlagerung!$A$3:$AA$28,18,FALSE),"")</f>
        <v/>
      </c>
      <c r="BP19" s="441" t="str">
        <f>IFERROR(VLOOKUP($AX19,Zusammenlagerung!$A$3:$AA$28,19,FALSE),"")</f>
        <v/>
      </c>
      <c r="BQ19" s="441" t="str">
        <f>IFERROR(VLOOKUP($AX19,Zusammenlagerung!$A$3:$AA$28,20,FALSE),"")</f>
        <v/>
      </c>
      <c r="BR19" s="441" t="str">
        <f>IFERROR(VLOOKUP($AX19,Zusammenlagerung!$A$3:$AA$28,21,FALSE),"")</f>
        <v/>
      </c>
      <c r="BS19" s="442"/>
      <c r="BT19" s="441" t="str">
        <f>IFERROR(VLOOKUP($AX19,Zusammenlagerung!$A$3:$AA$28,23,FALSE),"")</f>
        <v/>
      </c>
      <c r="BU19" s="441" t="str">
        <f>IFERROR(VLOOKUP($AX19,Zusammenlagerung!$A$3:$AA$28,24,FALSE),"")</f>
        <v/>
      </c>
      <c r="BV19" s="441" t="str">
        <f>IFERROR(VLOOKUP($AX19,Zusammenlagerung!$A$3:$AA$28,25,FALSE),"")</f>
        <v/>
      </c>
      <c r="BW19" s="441" t="str">
        <f>IFERROR(VLOOKUP($AX19,Zusammenlagerung!$A$3:$AA$28,26,FALSE),"")</f>
        <v/>
      </c>
      <c r="BX19" s="441" t="str">
        <f>IFERROR(VLOOKUP($AX19,Zusammenlagerung!$A$3:$AA$28,27,FALSE),"")</f>
        <v/>
      </c>
      <c r="BY19" s="443" t="str">
        <f t="shared" si="24"/>
        <v/>
      </c>
      <c r="BZ19" s="197"/>
      <c r="CA19" s="102"/>
      <c r="CB19" s="12"/>
      <c r="CC19" s="12"/>
      <c r="CD19" s="12"/>
      <c r="CE19" s="12"/>
      <c r="CF19" s="12"/>
      <c r="CG19" s="12"/>
      <c r="CH19" s="12"/>
      <c r="CI19" s="12"/>
      <c r="CJ19" s="12"/>
      <c r="CK19" s="12"/>
      <c r="CL19" s="348"/>
      <c r="CM19" s="348"/>
      <c r="CN19" s="349"/>
      <c r="CO19" s="162" t="s">
        <v>3186</v>
      </c>
      <c r="CP19" s="462"/>
      <c r="CQ19" s="12"/>
      <c r="CR19" s="168"/>
      <c r="CS19" s="154"/>
      <c r="CT19" s="198"/>
      <c r="CU19" s="12"/>
      <c r="CV19" s="12"/>
      <c r="CW19" s="12"/>
      <c r="CX19" s="444" t="e" cm="1">
        <f t="array" ref="CX19">INDEX(Einatmen!$A$21:$A$26,MATCH(CV19&amp;CW19,Einatmen!$C$21:$C$26&amp;Einatmen!$B$21:$B$26,0))</f>
        <v>#N/A</v>
      </c>
      <c r="CY19" s="12"/>
      <c r="CZ19" s="444" t="e">
        <f t="array" ref="CZ19">INDEX(Einatmen!$A$38:$A$49,MATCH(CV19&amp;CY19,Einatmen!$C$38:$C$49&amp;Einatmen!$B$38:$B$49,0))</f>
        <v>#N/A</v>
      </c>
      <c r="DA19" s="444" t="e">
        <f t="array" ref="DA19">INDEX(Einatmen!$D$52:$D$159,MATCH(CU19&amp;CX19&amp;CZ19&amp;CV19,Einatmen!$A$52:$A$159&amp;Einatmen!$B$52:$B$159&amp;Einatmen!$C$52:$C$159&amp;Einatmen!$E$52:$E$159,0))</f>
        <v>#N/A</v>
      </c>
      <c r="DB19" s="12"/>
      <c r="DC19" s="353" t="str">
        <f t="shared" si="25"/>
        <v/>
      </c>
      <c r="DD19" s="147" t="str">
        <f>IFERROR(VLOOKUP(DB19,Schutzleitfäden!$A$3:$C$46,3,FALSE),"")</f>
        <v/>
      </c>
      <c r="DE19" s="199"/>
      <c r="DF19" s="12"/>
      <c r="DG19" s="12"/>
      <c r="DH19" s="444" t="str">
        <f>IF(DG19=Haut!$A$12,Haut!$B$12,(IF(DG19=Haut!$A$13,Haut!$B$13,"")))</f>
        <v/>
      </c>
      <c r="DI19" s="12"/>
      <c r="DJ19" s="444" t="str">
        <f>IF(DI19=Haut!$A$18,Haut!$C$18,(IF(DI19=Haut!$A$19,Haut!$C$19,"")))</f>
        <v/>
      </c>
      <c r="DK19" s="444" t="e">
        <f t="array" ref="DK19">INDEX(Haut!$D$22:$D$45,MATCH(DF19&amp;DH19&amp;DJ19,Haut!$A$22:$A$45&amp;Haut!$B$22:$B$45&amp;Haut!$C$22:$C$45,0))</f>
        <v>#N/A</v>
      </c>
      <c r="DL19" s="444" t="str">
        <f>IF(ISNA(DK19),"",(IF(DK19=Haut!$D$49,Haut!$E$49,(IF(DK19=Haut!$D$50,Haut!$E$50,(IF(DK19=Haut!$D$51,Haut!$E$51,(IF(DK19=Haut!$D$52,Haut!$E$52,(IF(DK19=Haut!$D$53,Haut!$E$53,"")))))))))))</f>
        <v/>
      </c>
      <c r="DM19" s="353" t="str">
        <f t="shared" si="26"/>
        <v/>
      </c>
      <c r="DN19" s="147" t="str">
        <f>IFERROR(VLOOKUP(DL19,Schutzleitfäden!$A$3:$C$46,3,FALSE),"")</f>
        <v/>
      </c>
      <c r="DO19" s="324"/>
      <c r="DP19" s="194"/>
      <c r="DQ19" s="444">
        <f t="shared" si="27"/>
        <v>0</v>
      </c>
      <c r="DR19" s="444">
        <f t="shared" si="28"/>
        <v>0</v>
      </c>
      <c r="DS19" s="444" t="e">
        <f t="array" ref="DS19">INDEX(Brand_EX!$A$15:$A$20,MATCH(DQ19&amp;DR19,Brand_EX!$C$15:$C$20&amp;Brand_EX!$B$15:$B$20,0))</f>
        <v>#N/A</v>
      </c>
      <c r="DT19" s="444">
        <f t="shared" si="29"/>
        <v>0</v>
      </c>
      <c r="DU19" s="444" t="e">
        <f t="array" ref="DU19">INDEX(Brand_EX!$A$31:$A$41,MATCH(DQ19&amp;DT19,Brand_EX!$C$31:$C$41&amp;Brand_EX!$B$31:$B$41,0))</f>
        <v>#N/A</v>
      </c>
      <c r="DV19" s="444" t="e">
        <f t="array" ref="DV19">INDEX(Brand_EX!$D$44:$D$133,MATCH(DP19&amp;DS19&amp;DU19&amp;DQ19,Brand_EX!$A$44:$A$133&amp;Brand_EX!$B$44:$B$133&amp;Brand_EX!$C$44:$C$133&amp;Brand_EX!$E$44:$E$133,0))</f>
        <v>#N/A</v>
      </c>
      <c r="DW19" s="12"/>
      <c r="DX19" s="354" t="str">
        <f t="shared" si="30"/>
        <v/>
      </c>
      <c r="DY19" s="147" t="str">
        <f>IFERROR(VLOOKUP(DW19,Schutzleitfäden!$A$3:$C$46,3,FALSE),"")</f>
        <v/>
      </c>
      <c r="DZ19" s="200"/>
      <c r="EA19" s="102" t="s">
        <v>7471</v>
      </c>
      <c r="EB19" s="12"/>
      <c r="EC19" s="12"/>
      <c r="ED19" s="102"/>
      <c r="EE19" s="338"/>
      <c r="EF19" s="13"/>
      <c r="EG19" s="13"/>
      <c r="EH19" s="13"/>
      <c r="EI19" s="448"/>
      <c r="EJ19" s="437" t="str">
        <f t="shared" si="31"/>
        <v>nein</v>
      </c>
      <c r="EK19" s="300"/>
      <c r="EL19" s="445"/>
      <c r="EM19" s="446"/>
      <c r="EN19" s="446"/>
      <c r="EO19" s="190" t="e">
        <f>VLOOKUP(EN19,Daten!$M$2:$N$18,2,FALSE)</f>
        <v>#N/A</v>
      </c>
      <c r="EP19" s="447" t="s">
        <v>511</v>
      </c>
      <c r="EQ19" s="445">
        <v>0</v>
      </c>
      <c r="ER19" s="446" t="s">
        <v>511</v>
      </c>
      <c r="ES19" s="446" t="s">
        <v>117</v>
      </c>
      <c r="ET19" s="191" t="str">
        <f>VLOOKUP(ES19,Daten!$M$2:$N$18,2,FALSE)</f>
        <v>entfällt</v>
      </c>
      <c r="EU19" s="447" t="s">
        <v>511</v>
      </c>
      <c r="EV19" s="445">
        <v>0</v>
      </c>
      <c r="EW19" s="446" t="s">
        <v>511</v>
      </c>
      <c r="EX19" s="446" t="s">
        <v>117</v>
      </c>
      <c r="EY19" s="191" t="str">
        <f>VLOOKUP(EX19,Daten!$M$2:$N$18,2,FALSE)</f>
        <v>entfällt</v>
      </c>
      <c r="EZ19" s="192"/>
      <c r="FA19" s="102"/>
      <c r="FB19" s="147" t="str">
        <f t="shared" si="32"/>
        <v/>
      </c>
      <c r="FC19" s="102"/>
      <c r="FD19" s="147" t="str">
        <f t="shared" si="33"/>
        <v/>
      </c>
      <c r="FE19" s="102"/>
      <c r="FF19" s="147" t="str">
        <f t="shared" si="34"/>
        <v/>
      </c>
      <c r="FG19" s="193"/>
      <c r="FH19" s="450" t="s">
        <v>7452</v>
      </c>
      <c r="FI19" s="421" t="s">
        <v>7426</v>
      </c>
      <c r="FJ19" s="449"/>
      <c r="FK19" s="421"/>
      <c r="FL19" s="421"/>
      <c r="FM19" s="421"/>
      <c r="FN19" s="450" t="s">
        <v>7453</v>
      </c>
      <c r="FO19" s="421" t="s">
        <v>7425</v>
      </c>
      <c r="FP19" s="451" t="s">
        <v>7460</v>
      </c>
      <c r="FQ19" s="421"/>
      <c r="FR19" s="421"/>
      <c r="FS19" s="451" t="s">
        <v>7460</v>
      </c>
      <c r="FT19" s="421"/>
      <c r="FU19" s="421"/>
      <c r="FV19" s="287"/>
      <c r="FW19" s="452"/>
      <c r="FX19" s="285" t="str">
        <f t="shared" si="35"/>
        <v/>
      </c>
      <c r="FY19" s="285" t="str">
        <f t="shared" si="36"/>
        <v/>
      </c>
      <c r="FZ19" s="147" t="str">
        <f t="shared" si="37"/>
        <v/>
      </c>
      <c r="GA19" s="453"/>
      <c r="GB19" s="200"/>
      <c r="GC19" s="459"/>
      <c r="GD19" s="102"/>
      <c r="GE19" s="102"/>
      <c r="GF19" s="102"/>
      <c r="GG19" s="102"/>
      <c r="GH19" s="102"/>
      <c r="GI19" s="102"/>
      <c r="GJ19" s="102"/>
      <c r="GK19" s="102"/>
      <c r="GL19" s="102"/>
      <c r="GM19" s="102"/>
      <c r="GN19" s="102"/>
    </row>
    <row r="20" spans="1:196" ht="30" customHeight="1" x14ac:dyDescent="0.3">
      <c r="A20" s="420" t="s">
        <v>839</v>
      </c>
      <c r="B20" s="102" t="s">
        <v>7547</v>
      </c>
      <c r="C20" s="102" t="s">
        <v>7537</v>
      </c>
      <c r="D20" s="15"/>
      <c r="E20" s="157" t="str">
        <f t="shared" si="12"/>
        <v>2</v>
      </c>
      <c r="F20" s="418"/>
      <c r="G20" s="157" t="str">
        <f>IF(AJ20&lt;&gt;"",HYPERLINK(CONCATENATE("BAG\",AJ20,".pdf"),"2"),HYPERLINK(CONCATENATE("BAG\BAG_",A20,".pdf"),"2"))</f>
        <v>2</v>
      </c>
      <c r="H20" s="169" t="str">
        <f t="shared" si="0"/>
        <v/>
      </c>
      <c r="I20" s="169" t="str">
        <f t="shared" si="13"/>
        <v/>
      </c>
      <c r="J20" s="169" t="str">
        <f t="shared" si="14"/>
        <v/>
      </c>
      <c r="K20" s="169" t="str">
        <f t="shared" si="15"/>
        <v/>
      </c>
      <c r="L20" s="169" t="str">
        <f t="shared" si="16"/>
        <v/>
      </c>
      <c r="M20" s="169" t="str">
        <f t="shared" si="17"/>
        <v/>
      </c>
      <c r="N20" s="169" t="str">
        <f t="shared" si="18"/>
        <v/>
      </c>
      <c r="O20" s="169" t="str">
        <f t="shared" si="19"/>
        <v/>
      </c>
      <c r="P20" s="169" t="str">
        <f t="shared" si="20"/>
        <v/>
      </c>
      <c r="Q20" s="169" t="str">
        <f t="shared" si="1"/>
        <v/>
      </c>
      <c r="R20" s="169" t="str">
        <f t="shared" si="2"/>
        <v/>
      </c>
      <c r="S20" s="12"/>
      <c r="T20" s="12"/>
      <c r="U20" s="196"/>
      <c r="V20" s="465" t="str">
        <f t="shared" si="21"/>
        <v>y</v>
      </c>
      <c r="W20" s="337"/>
      <c r="X20" s="316"/>
      <c r="Y20" s="315"/>
      <c r="Z20" s="316"/>
      <c r="AA20" s="315"/>
      <c r="AB20" s="316"/>
      <c r="AC20" s="315"/>
      <c r="AD20" s="316"/>
      <c r="AE20" s="315"/>
      <c r="AF20" s="316"/>
      <c r="AG20" s="300" t="s">
        <v>7485</v>
      </c>
      <c r="AH20" s="404"/>
      <c r="AI20" s="13"/>
      <c r="AJ20" s="291"/>
      <c r="AK20" s="291"/>
      <c r="AL20" s="291"/>
      <c r="AM20" s="291"/>
      <c r="AN20" s="439" t="str">
        <f>HYPERLINK(CONCATENATE("TDB\TDB_",A20,".pdf"),"2")</f>
        <v>2</v>
      </c>
      <c r="AO20" s="295"/>
      <c r="AP20" s="300"/>
      <c r="AQ20" s="225" t="s">
        <v>798</v>
      </c>
      <c r="AR20" s="13">
        <v>400</v>
      </c>
      <c r="AS20" s="13" t="s">
        <v>499</v>
      </c>
      <c r="AT20" s="154"/>
      <c r="AU20" s="440">
        <f t="shared" si="22"/>
        <v>0</v>
      </c>
      <c r="AV20" s="440" t="str">
        <f t="shared" si="23"/>
        <v>Liter</v>
      </c>
      <c r="AW20" s="405"/>
      <c r="AX20" s="339"/>
      <c r="AY20" s="441" t="str">
        <f>IFERROR(VLOOKUP($AX20,Zusammenlagerung!$A$3:$AA$28,2,FALSE),"")</f>
        <v/>
      </c>
      <c r="AZ20" s="441" t="str">
        <f>IFERROR(VLOOKUP($AX20,Zusammenlagerung!$A$3:$AA$28,3,FALSE),"")</f>
        <v/>
      </c>
      <c r="BA20" s="441" t="str">
        <f>IFERROR(VLOOKUP($AX20,Zusammenlagerung!$A$3:$AA$28,4,FALSE),"")</f>
        <v/>
      </c>
      <c r="BB20" s="441" t="str">
        <f>IFERROR(VLOOKUP($AX20,Zusammenlagerung!$A$3:$AA$28,5,FALSE),"")</f>
        <v/>
      </c>
      <c r="BC20" s="441" t="str">
        <f>IFERROR(VLOOKUP($AX20,Zusammenlagerung!$A$3:$AA$28,6,FALSE),"")</f>
        <v/>
      </c>
      <c r="BD20" s="441" t="str">
        <f>IFERROR(VLOOKUP($AX20,Zusammenlagerung!$A$3:$AA$28,7,FALSE),"")</f>
        <v/>
      </c>
      <c r="BE20" s="441" t="str">
        <f>IFERROR(VLOOKUP($AX20,Zusammenlagerung!$A$3:$AA$28,8,FALSE),"")</f>
        <v/>
      </c>
      <c r="BF20" s="441" t="str">
        <f>IFERROR(VLOOKUP($AX20,Zusammenlagerung!$A$3:$AA$28,9,FALSE),"")</f>
        <v/>
      </c>
      <c r="BG20" s="441" t="str">
        <f>IFERROR(VLOOKUP($AX20,Zusammenlagerung!$A$3:$AA$28,10,FALSE),"")</f>
        <v/>
      </c>
      <c r="BH20" s="441" t="str">
        <f>IFERROR(VLOOKUP($AX20,Zusammenlagerung!$A$3:$AA$28,11,FALSE),"")</f>
        <v/>
      </c>
      <c r="BI20" s="441" t="str">
        <f>IFERROR(VLOOKUP($AX20,Zusammenlagerung!$A$3:$AA$28,12,FALSE),"")</f>
        <v/>
      </c>
      <c r="BJ20" s="441" t="str">
        <f>IFERROR(VLOOKUP($AX20,Zusammenlagerung!$A$3:$AA$28,13,FALSE),"")</f>
        <v/>
      </c>
      <c r="BK20" s="441" t="str">
        <f>IFERROR(VLOOKUP($AX20,Zusammenlagerung!$A$3:$AA$28,14,FALSE),"")</f>
        <v/>
      </c>
      <c r="BL20" s="441" t="str">
        <f>IFERROR(VLOOKUP($AX20,Zusammenlagerung!$A$3:$AA$28,15,FALSE),"")</f>
        <v/>
      </c>
      <c r="BM20" s="441" t="str">
        <f>IFERROR(VLOOKUP($AX20,Zusammenlagerung!$A$3:$AA$28,16,FALSE),"")</f>
        <v/>
      </c>
      <c r="BN20" s="441" t="str">
        <f>IFERROR(VLOOKUP($AX20,Zusammenlagerung!$A$3:$AA$28,17,FALSE),"")</f>
        <v/>
      </c>
      <c r="BO20" s="441" t="str">
        <f>IFERROR(VLOOKUP($AX20,Zusammenlagerung!$A$3:$AA$28,18,FALSE),"")</f>
        <v/>
      </c>
      <c r="BP20" s="441" t="str">
        <f>IFERROR(VLOOKUP($AX20,Zusammenlagerung!$A$3:$AA$28,19,FALSE),"")</f>
        <v/>
      </c>
      <c r="BQ20" s="441" t="str">
        <f>IFERROR(VLOOKUP($AX20,Zusammenlagerung!$A$3:$AA$28,20,FALSE),"")</f>
        <v/>
      </c>
      <c r="BR20" s="441" t="str">
        <f>IFERROR(VLOOKUP($AX20,Zusammenlagerung!$A$3:$AA$28,21,FALSE),"")</f>
        <v/>
      </c>
      <c r="BS20" s="442"/>
      <c r="BT20" s="441" t="str">
        <f>IFERROR(VLOOKUP($AX20,Zusammenlagerung!$A$3:$AA$28,23,FALSE),"")</f>
        <v/>
      </c>
      <c r="BU20" s="441" t="str">
        <f>IFERROR(VLOOKUP($AX20,Zusammenlagerung!$A$3:$AA$28,24,FALSE),"")</f>
        <v/>
      </c>
      <c r="BV20" s="441" t="str">
        <f>IFERROR(VLOOKUP($AX20,Zusammenlagerung!$A$3:$AA$28,25,FALSE),"")</f>
        <v/>
      </c>
      <c r="BW20" s="441" t="str">
        <f>IFERROR(VLOOKUP($AX20,Zusammenlagerung!$A$3:$AA$28,26,FALSE),"")</f>
        <v/>
      </c>
      <c r="BX20" s="441" t="str">
        <f>IFERROR(VLOOKUP($AX20,Zusammenlagerung!$A$3:$AA$28,27,FALSE),"")</f>
        <v/>
      </c>
      <c r="BY20" s="443" t="str">
        <f t="shared" si="24"/>
        <v/>
      </c>
      <c r="BZ20" s="197"/>
      <c r="CA20" s="102"/>
      <c r="CB20" s="12"/>
      <c r="CC20" s="12"/>
      <c r="CD20" s="12"/>
      <c r="CE20" s="12"/>
      <c r="CF20" s="12"/>
      <c r="CG20" s="12"/>
      <c r="CH20" s="12"/>
      <c r="CI20" s="12"/>
      <c r="CJ20" s="12"/>
      <c r="CK20" s="12"/>
      <c r="CL20" s="348"/>
      <c r="CM20" s="348"/>
      <c r="CN20" s="349"/>
      <c r="CO20" s="162" t="s">
        <v>3186</v>
      </c>
      <c r="CP20" s="462"/>
      <c r="CQ20" s="12"/>
      <c r="CR20" s="168"/>
      <c r="CS20" s="154"/>
      <c r="CT20" s="198"/>
      <c r="CU20" s="12"/>
      <c r="CV20" s="12"/>
      <c r="CW20" s="12"/>
      <c r="CX20" s="444" t="e" cm="1">
        <f t="array" ref="CX20">INDEX(Einatmen!$A$21:$A$26,MATCH(CV20&amp;CW20,Einatmen!$C$21:$C$26&amp;Einatmen!$B$21:$B$26,0))</f>
        <v>#N/A</v>
      </c>
      <c r="CY20" s="12"/>
      <c r="CZ20" s="444" t="e">
        <f t="array" ref="CZ20">INDEX(Einatmen!$A$38:$A$49,MATCH(CV20&amp;CY20,Einatmen!$C$38:$C$49&amp;Einatmen!$B$38:$B$49,0))</f>
        <v>#N/A</v>
      </c>
      <c r="DA20" s="444" t="e">
        <f t="array" ref="DA20">INDEX(Einatmen!$D$52:$D$159,MATCH(CU20&amp;CX20&amp;CZ20&amp;CV20,Einatmen!$A$52:$A$159&amp;Einatmen!$B$52:$B$159&amp;Einatmen!$C$52:$C$159&amp;Einatmen!$E$52:$E$159,0))</f>
        <v>#N/A</v>
      </c>
      <c r="DB20" s="12"/>
      <c r="DC20" s="353" t="str">
        <f t="shared" si="25"/>
        <v/>
      </c>
      <c r="DD20" s="147" t="str">
        <f>IFERROR(VLOOKUP(DB20,Schutzleitfäden!$A$3:$C$46,3,FALSE),"")</f>
        <v/>
      </c>
      <c r="DE20" s="199"/>
      <c r="DF20" s="12"/>
      <c r="DG20" s="12"/>
      <c r="DH20" s="444" t="str">
        <f>IF(DG20=Haut!$A$12,Haut!$B$12,(IF(DG20=Haut!$A$13,Haut!$B$13,"")))</f>
        <v/>
      </c>
      <c r="DI20" s="12"/>
      <c r="DJ20" s="444" t="str">
        <f>IF(DI20=Haut!$A$18,Haut!$C$18,(IF(DI20=Haut!$A$19,Haut!$C$19,"")))</f>
        <v/>
      </c>
      <c r="DK20" s="444" t="e">
        <f t="array" ref="DK20">INDEX(Haut!$D$22:$D$45,MATCH(DF20&amp;DH20&amp;DJ20,Haut!$A$22:$A$45&amp;Haut!$B$22:$B$45&amp;Haut!$C$22:$C$45,0))</f>
        <v>#N/A</v>
      </c>
      <c r="DL20" s="444" t="str">
        <f>IF(ISNA(DK20),"",(IF(DK20=Haut!$D$49,Haut!$E$49,(IF(DK20=Haut!$D$50,Haut!$E$50,(IF(DK20=Haut!$D$51,Haut!$E$51,(IF(DK20=Haut!$D$52,Haut!$E$52,(IF(DK20=Haut!$D$53,Haut!$E$53,"")))))))))))</f>
        <v/>
      </c>
      <c r="DM20" s="353" t="str">
        <f t="shared" si="26"/>
        <v/>
      </c>
      <c r="DN20" s="147" t="str">
        <f>IFERROR(VLOOKUP(DL20,Schutzleitfäden!$A$3:$C$46,3,FALSE),"")</f>
        <v/>
      </c>
      <c r="DO20" s="324"/>
      <c r="DP20" s="194"/>
      <c r="DQ20" s="444">
        <f t="shared" si="27"/>
        <v>0</v>
      </c>
      <c r="DR20" s="444">
        <f t="shared" si="28"/>
        <v>0</v>
      </c>
      <c r="DS20" s="444" t="e">
        <f t="array" ref="DS20">INDEX(Brand_EX!$A$15:$A$20,MATCH(DQ20&amp;DR20,Brand_EX!$C$15:$C$20&amp;Brand_EX!$B$15:$B$20,0))</f>
        <v>#N/A</v>
      </c>
      <c r="DT20" s="444">
        <f t="shared" si="29"/>
        <v>0</v>
      </c>
      <c r="DU20" s="444" t="e">
        <f t="array" ref="DU20">INDEX(Brand_EX!$A$31:$A$41,MATCH(DQ20&amp;DT20,Brand_EX!$C$31:$C$41&amp;Brand_EX!$B$31:$B$41,0))</f>
        <v>#N/A</v>
      </c>
      <c r="DV20" s="444" t="e">
        <f t="array" ref="DV20">INDEX(Brand_EX!$D$44:$D$133,MATCH(DP20&amp;DS20&amp;DU20&amp;DQ20,Brand_EX!$A$44:$A$133&amp;Brand_EX!$B$44:$B$133&amp;Brand_EX!$C$44:$C$133&amp;Brand_EX!$E$44:$E$133,0))</f>
        <v>#N/A</v>
      </c>
      <c r="DW20" s="12"/>
      <c r="DX20" s="354" t="str">
        <f t="shared" si="30"/>
        <v/>
      </c>
      <c r="DY20" s="147" t="str">
        <f>IFERROR(VLOOKUP(DW20,Schutzleitfäden!$A$3:$C$46,3,FALSE),"")</f>
        <v/>
      </c>
      <c r="DZ20" s="200"/>
      <c r="EA20" s="102" t="s">
        <v>7471</v>
      </c>
      <c r="EB20" s="12"/>
      <c r="EC20" s="12"/>
      <c r="ED20" s="102"/>
      <c r="EE20" s="338"/>
      <c r="EF20" s="13"/>
      <c r="EG20" s="13"/>
      <c r="EH20" s="13"/>
      <c r="EI20" s="448"/>
      <c r="EJ20" s="437" t="str">
        <f t="shared" si="31"/>
        <v>nein</v>
      </c>
      <c r="EK20" s="300"/>
      <c r="EL20" s="445"/>
      <c r="EM20" s="446"/>
      <c r="EN20" s="446"/>
      <c r="EO20" s="190" t="e">
        <f>VLOOKUP(EN20,Daten!$M$2:$N$18,2,FALSE)</f>
        <v>#N/A</v>
      </c>
      <c r="EP20" s="447" t="s">
        <v>511</v>
      </c>
      <c r="EQ20" s="445">
        <v>0</v>
      </c>
      <c r="ER20" s="446" t="s">
        <v>511</v>
      </c>
      <c r="ES20" s="446" t="s">
        <v>117</v>
      </c>
      <c r="ET20" s="191" t="str">
        <f>VLOOKUP(ES20,Daten!$M$2:$N$18,2,FALSE)</f>
        <v>entfällt</v>
      </c>
      <c r="EU20" s="447" t="s">
        <v>511</v>
      </c>
      <c r="EV20" s="445">
        <v>0</v>
      </c>
      <c r="EW20" s="446" t="s">
        <v>511</v>
      </c>
      <c r="EX20" s="446" t="s">
        <v>117</v>
      </c>
      <c r="EY20" s="191" t="str">
        <f>VLOOKUP(EX20,Daten!$M$2:$N$18,2,FALSE)</f>
        <v>entfällt</v>
      </c>
      <c r="EZ20" s="192"/>
      <c r="FA20" s="102"/>
      <c r="FB20" s="147" t="str">
        <f t="shared" si="32"/>
        <v/>
      </c>
      <c r="FC20" s="102"/>
      <c r="FD20" s="147" t="str">
        <f t="shared" si="33"/>
        <v/>
      </c>
      <c r="FE20" s="102"/>
      <c r="FF20" s="147" t="str">
        <f t="shared" si="34"/>
        <v/>
      </c>
      <c r="FG20" s="193"/>
      <c r="FH20" s="450" t="s">
        <v>7452</v>
      </c>
      <c r="FI20" s="421" t="s">
        <v>7426</v>
      </c>
      <c r="FJ20" s="449"/>
      <c r="FK20" s="421"/>
      <c r="FL20" s="421"/>
      <c r="FM20" s="421"/>
      <c r="FN20" s="450" t="s">
        <v>7453</v>
      </c>
      <c r="FO20" s="421" t="s">
        <v>7425</v>
      </c>
      <c r="FP20" s="451" t="s">
        <v>7460</v>
      </c>
      <c r="FQ20" s="421"/>
      <c r="FR20" s="421"/>
      <c r="FS20" s="451" t="s">
        <v>7460</v>
      </c>
      <c r="FT20" s="421"/>
      <c r="FU20" s="421"/>
      <c r="FV20" s="287"/>
      <c r="FW20" s="452"/>
      <c r="FX20" s="285" t="str">
        <f t="shared" si="35"/>
        <v/>
      </c>
      <c r="FY20" s="285" t="str">
        <f t="shared" si="36"/>
        <v/>
      </c>
      <c r="FZ20" s="147" t="str">
        <f t="shared" si="37"/>
        <v/>
      </c>
      <c r="GA20" s="453"/>
      <c r="GB20" s="200"/>
      <c r="GC20" s="459"/>
      <c r="GD20" s="102"/>
      <c r="GE20" s="102"/>
      <c r="GF20" s="102"/>
      <c r="GG20" s="102"/>
      <c r="GH20" s="102"/>
      <c r="GI20" s="102"/>
      <c r="GJ20" s="102"/>
      <c r="GK20" s="102"/>
      <c r="GL20" s="102"/>
      <c r="GM20" s="102"/>
      <c r="GN20" s="102"/>
    </row>
    <row r="21" spans="1:196" ht="30" customHeight="1" x14ac:dyDescent="0.3">
      <c r="A21" s="420" t="s">
        <v>840</v>
      </c>
      <c r="B21" s="102"/>
      <c r="C21" s="102"/>
      <c r="D21" s="15"/>
      <c r="E21" s="157" t="str">
        <f t="shared" ref="E21:E28" si="38">HYPERLINK(CONCATENATE("SDB\SDB_",A21,".pdf"),"2")</f>
        <v>2</v>
      </c>
      <c r="F21" s="167"/>
      <c r="G21" s="157" t="str">
        <f>IF(AJ21&lt;&gt;"",HYPERLINK(CONCATENATE("BAG\",AJ21,".pdf"),"2"),HYPERLINK(CONCATENATE("BAG\BAG_",A21,".pdf"),"2"))</f>
        <v>2</v>
      </c>
      <c r="H21" s="169" t="str">
        <f t="shared" ref="H21:H28" si="39">IF(ISERROR(FIND("GHS 01",$CA21)),"","●")</f>
        <v/>
      </c>
      <c r="I21" s="169" t="str">
        <f t="shared" ref="I21:I28" si="40">IF(ISERROR(FIND("GHS 02",$CA21)),"","●")</f>
        <v/>
      </c>
      <c r="J21" s="169" t="str">
        <f t="shared" ref="J21:J28" si="41">IF(ISERROR(FIND("GHS 03",$CA21)),"","●")</f>
        <v/>
      </c>
      <c r="K21" s="169" t="str">
        <f t="shared" ref="K21:K28" si="42">IF(ISERROR(FIND("GHS 04",$CA21)),"","●")</f>
        <v/>
      </c>
      <c r="L21" s="169" t="str">
        <f t="shared" ref="L21:L28" si="43">IF(ISERROR(FIND("GHS 05",$CA21)),"","●")</f>
        <v/>
      </c>
      <c r="M21" s="169" t="str">
        <f t="shared" ref="M21:M28" si="44">IF(ISERROR(FIND("GHS 06",$CA21)),"","●")</f>
        <v/>
      </c>
      <c r="N21" s="169" t="str">
        <f t="shared" ref="N21:N28" si="45">IF(ISERROR(FIND("GHS 07",$CA21)),"","●")</f>
        <v/>
      </c>
      <c r="O21" s="169" t="str">
        <f t="shared" ref="O21:O28" si="46">IF(ISERROR(FIND("GHS 08",$CA21)),"","●")</f>
        <v/>
      </c>
      <c r="P21" s="169" t="str">
        <f t="shared" ref="P21:P28" si="47">IF(ISERROR(FIND("GHS 09",$CA21)),"","●")</f>
        <v/>
      </c>
      <c r="Q21" s="169" t="str">
        <f t="shared" ref="Q21:Q28" si="48">IF(ISERROR(FIND("Achtung",$CA21)),"","A")</f>
        <v/>
      </c>
      <c r="R21" s="169" t="str">
        <f t="shared" ref="R21:R28" si="49">IF(ISERROR(FIND("Gefahr",$CA21)),"","G")</f>
        <v/>
      </c>
      <c r="S21" s="12"/>
      <c r="T21" s="12"/>
      <c r="U21" s="196"/>
      <c r="V21" s="465" t="str">
        <f t="shared" ref="V21:V28" si="50">HYPERLINK(CONCATENATE("Bilder\",A21,".jpg"),"y")</f>
        <v>y</v>
      </c>
      <c r="W21" s="300"/>
      <c r="X21" s="316"/>
      <c r="Y21" s="315"/>
      <c r="Z21" s="316"/>
      <c r="AA21" s="315"/>
      <c r="AB21" s="316"/>
      <c r="AC21" s="315"/>
      <c r="AD21" s="316"/>
      <c r="AE21" s="315"/>
      <c r="AF21" s="316"/>
      <c r="AG21" s="300"/>
      <c r="AH21" s="404"/>
      <c r="AI21" s="13"/>
      <c r="AJ21" s="291"/>
      <c r="AK21" s="291"/>
      <c r="AL21" s="291"/>
      <c r="AM21" s="291"/>
      <c r="AN21" s="439" t="str">
        <f t="shared" ref="AN21:AN28" si="51">HYPERLINK(CONCATENATE("TDB\TDB_",A21,".pdf"),"2")</f>
        <v>2</v>
      </c>
      <c r="AO21" s="295"/>
      <c r="AP21" s="300"/>
      <c r="AQ21" s="225"/>
      <c r="AR21" s="13"/>
      <c r="AS21" s="13"/>
      <c r="AT21" s="154"/>
      <c r="AU21" s="440" t="str">
        <f t="shared" ref="AU21:AU28" si="52">IF(AS21="","",(IF(AS21="ml",(AR21/1000)*AT21,IF(AS21="Liter",AR21*AT21,IF(AS21="g",(AR21/1000)*AT21,IF(AS21="kg",AR21*AT21))))))</f>
        <v/>
      </c>
      <c r="AV21" s="440" t="str">
        <f t="shared" ref="AV21:AV28" si="53">IF(AS21="","",(IF(AS21="ml","Liter",IF(AS21="Liter","Liter",IF(AS21="g","kg",IF(AS21="kg","kg"))))))</f>
        <v/>
      </c>
      <c r="AW21" s="405"/>
      <c r="AX21" s="339"/>
      <c r="AY21" s="441" t="str">
        <f>IFERROR(VLOOKUP($AX21,Zusammenlagerung!$A$3:$AA$28,2,FALSE),"")</f>
        <v/>
      </c>
      <c r="AZ21" s="441" t="str">
        <f>IFERROR(VLOOKUP($AX21,Zusammenlagerung!$A$3:$AA$28,3,FALSE),"")</f>
        <v/>
      </c>
      <c r="BA21" s="441" t="str">
        <f>IFERROR(VLOOKUP($AX21,Zusammenlagerung!$A$3:$AA$28,4,FALSE),"")</f>
        <v/>
      </c>
      <c r="BB21" s="441" t="str">
        <f>IFERROR(VLOOKUP($AX21,Zusammenlagerung!$A$3:$AA$28,5,FALSE),"")</f>
        <v/>
      </c>
      <c r="BC21" s="441" t="str">
        <f>IFERROR(VLOOKUP($AX21,Zusammenlagerung!$A$3:$AA$28,6,FALSE),"")</f>
        <v/>
      </c>
      <c r="BD21" s="441" t="str">
        <f>IFERROR(VLOOKUP($AX21,Zusammenlagerung!$A$3:$AA$28,7,FALSE),"")</f>
        <v/>
      </c>
      <c r="BE21" s="441" t="str">
        <f>IFERROR(VLOOKUP($AX21,Zusammenlagerung!$A$3:$AA$28,8,FALSE),"")</f>
        <v/>
      </c>
      <c r="BF21" s="441" t="str">
        <f>IFERROR(VLOOKUP($AX21,Zusammenlagerung!$A$3:$AA$28,9,FALSE),"")</f>
        <v/>
      </c>
      <c r="BG21" s="441" t="str">
        <f>IFERROR(VLOOKUP($AX21,Zusammenlagerung!$A$3:$AA$28,10,FALSE),"")</f>
        <v/>
      </c>
      <c r="BH21" s="441" t="str">
        <f>IFERROR(VLOOKUP($AX21,Zusammenlagerung!$A$3:$AA$28,11,FALSE),"")</f>
        <v/>
      </c>
      <c r="BI21" s="441" t="str">
        <f>IFERROR(VLOOKUP($AX21,Zusammenlagerung!$A$3:$AA$28,12,FALSE),"")</f>
        <v/>
      </c>
      <c r="BJ21" s="441" t="str">
        <f>IFERROR(VLOOKUP($AX21,Zusammenlagerung!$A$3:$AA$28,13,FALSE),"")</f>
        <v/>
      </c>
      <c r="BK21" s="441" t="str">
        <f>IFERROR(VLOOKUP($AX21,Zusammenlagerung!$A$3:$AA$28,14,FALSE),"")</f>
        <v/>
      </c>
      <c r="BL21" s="441" t="str">
        <f>IFERROR(VLOOKUP($AX21,Zusammenlagerung!$A$3:$AA$28,15,FALSE),"")</f>
        <v/>
      </c>
      <c r="BM21" s="441" t="str">
        <f>IFERROR(VLOOKUP($AX21,Zusammenlagerung!$A$3:$AA$28,16,FALSE),"")</f>
        <v/>
      </c>
      <c r="BN21" s="441" t="str">
        <f>IFERROR(VLOOKUP($AX21,Zusammenlagerung!$A$3:$AA$28,17,FALSE),"")</f>
        <v/>
      </c>
      <c r="BO21" s="441" t="str">
        <f>IFERROR(VLOOKUP($AX21,Zusammenlagerung!$A$3:$AA$28,18,FALSE),"")</f>
        <v/>
      </c>
      <c r="BP21" s="441" t="str">
        <f>IFERROR(VLOOKUP($AX21,Zusammenlagerung!$A$3:$AA$28,19,FALSE),"")</f>
        <v/>
      </c>
      <c r="BQ21" s="441" t="str">
        <f>IFERROR(VLOOKUP($AX21,Zusammenlagerung!$A$3:$AA$28,20,FALSE),"")</f>
        <v/>
      </c>
      <c r="BR21" s="441" t="str">
        <f>IFERROR(VLOOKUP($AX21,Zusammenlagerung!$A$3:$AA$28,21,FALSE),"")</f>
        <v/>
      </c>
      <c r="BS21" s="442"/>
      <c r="BT21" s="441" t="str">
        <f>IFERROR(VLOOKUP($AX21,Zusammenlagerung!$A$3:$AA$28,23,FALSE),"")</f>
        <v/>
      </c>
      <c r="BU21" s="441" t="str">
        <f>IFERROR(VLOOKUP($AX21,Zusammenlagerung!$A$3:$AA$28,24,FALSE),"")</f>
        <v/>
      </c>
      <c r="BV21" s="441" t="str">
        <f>IFERROR(VLOOKUP($AX21,Zusammenlagerung!$A$3:$AA$28,25,FALSE),"")</f>
        <v/>
      </c>
      <c r="BW21" s="441" t="str">
        <f>IFERROR(VLOOKUP($AX21,Zusammenlagerung!$A$3:$AA$28,26,FALSE),"")</f>
        <v/>
      </c>
      <c r="BX21" s="441" t="str">
        <f>IFERROR(VLOOKUP($AX21,Zusammenlagerung!$A$3:$AA$28,27,FALSE),"")</f>
        <v/>
      </c>
      <c r="BY21" s="443" t="str">
        <f t="shared" ref="BY21:BY28" si="54">IF(CB21&lt;&gt;"",(IF(COUNTIFS(CB21,"*H220*")&gt;0,"Liter",(IF(COUNTIFS(CB21,"*H221*")&gt;0,"Liter",IF(COUNTIFS(CB21,"*H270*")&gt;0,"Liter",IF(COUNTIFS(CB21,"*H280*")&gt;0,"Liter",IF(COUNTIFS(CB21,"*H281*")&gt;0,"Liter","kg"))))))),"")</f>
        <v/>
      </c>
      <c r="BZ21" s="197"/>
      <c r="CA21" s="102"/>
      <c r="CB21" s="12"/>
      <c r="CC21" s="12"/>
      <c r="CD21" s="12"/>
      <c r="CE21" s="12"/>
      <c r="CF21" s="12"/>
      <c r="CG21" s="12"/>
      <c r="CH21" s="12"/>
      <c r="CI21" s="12"/>
      <c r="CJ21" s="12"/>
      <c r="CK21" s="12"/>
      <c r="CL21" s="348"/>
      <c r="CM21" s="348"/>
      <c r="CN21" s="349"/>
      <c r="CO21" s="162" t="s">
        <v>3186</v>
      </c>
      <c r="CP21" s="462"/>
      <c r="CQ21" s="12"/>
      <c r="CR21" s="168"/>
      <c r="CS21" s="154"/>
      <c r="CT21" s="198"/>
      <c r="CU21" s="12"/>
      <c r="CV21" s="12"/>
      <c r="CW21" s="12"/>
      <c r="CX21" s="444" t="e">
        <f t="array" ref="CX21">INDEX(Einatmen!$A$21:$A$26,MATCH(CV21&amp;CW21,Einatmen!$C$21:$C$26&amp;Einatmen!$B$21:$B$26,0))</f>
        <v>#N/A</v>
      </c>
      <c r="CY21" s="12"/>
      <c r="CZ21" s="444" t="e">
        <f t="array" ref="CZ21">INDEX(Einatmen!$A$38:$A$49,MATCH(CV21&amp;CY21,Einatmen!$C$38:$C$49&amp;Einatmen!$B$38:$B$49,0))</f>
        <v>#N/A</v>
      </c>
      <c r="DA21" s="444" t="e">
        <f t="array" ref="DA21">INDEX(Einatmen!$D$52:$D$159,MATCH(CU21&amp;CX21&amp;CZ21&amp;CV21,Einatmen!$A$52:$A$159&amp;Einatmen!$B$52:$B$159&amp;Einatmen!$C$52:$C$159&amp;Einatmen!$E$52:$E$159,0))</f>
        <v>#N/A</v>
      </c>
      <c r="DB21" s="12"/>
      <c r="DC21" s="353" t="str">
        <f t="shared" ref="DC21:DC28" si="55">IF(ISNA(DA21),"",(IF(DB21="","",(HYPERLINK(CONCATENATE("Schutzleitfäden\",DB21,".pdf"),"1")))))</f>
        <v/>
      </c>
      <c r="DD21" s="147" t="str">
        <f>IFERROR(VLOOKUP(DB21,Schutzleitfäden!$A$3:$C$46,3,FALSE),"")</f>
        <v/>
      </c>
      <c r="DE21" s="199"/>
      <c r="DF21" s="12"/>
      <c r="DG21" s="12"/>
      <c r="DH21" s="444" t="str">
        <f>IF(DG21=Haut!$A$12,Haut!$B$12,(IF(DG21=Haut!$A$13,Haut!$B$13,"")))</f>
        <v/>
      </c>
      <c r="DI21" s="12"/>
      <c r="DJ21" s="444" t="str">
        <f>IF(DI21=Haut!$A$18,Haut!$C$18,(IF(DI21=Haut!$A$19,Haut!$C$19,"")))</f>
        <v/>
      </c>
      <c r="DK21" s="444" t="e">
        <f t="array" ref="DK21">INDEX(Haut!$D$22:$D$45,MATCH(DF21&amp;DH21&amp;DJ21,Haut!$A$22:$A$45&amp;Haut!$B$22:$B$45&amp;Haut!$C$22:$C$45,0))</f>
        <v>#N/A</v>
      </c>
      <c r="DL21" s="444" t="str">
        <f>IF(ISNA(DK21),"",(IF(DK21=Haut!$D$49,Haut!$E$49,(IF(DK21=Haut!$D$50,Haut!$E$50,(IF(DK21=Haut!$D$51,Haut!$E$51,(IF(DK21=Haut!$D$52,Haut!$E$52,(IF(DK21=Haut!$D$53,Haut!$E$53,"")))))))))))</f>
        <v/>
      </c>
      <c r="DM21" s="353" t="str">
        <f t="shared" ref="DM21:DM28" si="56">IF(ISNA(DK21),"",(HYPERLINK(CONCATENATE("Schutzleitfäden\",DL21,".pdf"),"1")))</f>
        <v/>
      </c>
      <c r="DN21" s="147" t="str">
        <f>IFERROR(VLOOKUP(DL21,Schutzleitfäden!$A$3:$C$46,3,FALSE),"")</f>
        <v/>
      </c>
      <c r="DO21" s="324"/>
      <c r="DP21" s="194"/>
      <c r="DQ21" s="444">
        <f t="shared" ref="DQ21:DQ28" si="57">CV21</f>
        <v>0</v>
      </c>
      <c r="DR21" s="444">
        <f t="shared" ref="DR21:DR28" si="58">CW21</f>
        <v>0</v>
      </c>
      <c r="DS21" s="444" t="e">
        <f t="array" ref="DS21">INDEX(Brand_EX!$A$15:$A$20,MATCH(DQ21&amp;DR21,Brand_EX!$C$15:$C$20&amp;Brand_EX!$B$15:$B$20,0))</f>
        <v>#N/A</v>
      </c>
      <c r="DT21" s="444">
        <f t="shared" ref="DT21:DT28" si="59">CY21</f>
        <v>0</v>
      </c>
      <c r="DU21" s="444" t="e">
        <f t="array" ref="DU21">INDEX(Brand_EX!$A$31:$A$41,MATCH(DQ21&amp;DT21,Brand_EX!$C$31:$C$41&amp;Brand_EX!$B$31:$B$41,0))</f>
        <v>#N/A</v>
      </c>
      <c r="DV21" s="444" t="e">
        <f t="array" ref="DV21">INDEX(Brand_EX!$D$44:$D$133,MATCH(DP21&amp;DS21&amp;DU21&amp;DQ21,Brand_EX!$A$44:$A$133&amp;Brand_EX!$B$44:$B$133&amp;Brand_EX!$C$44:$C$133&amp;Brand_EX!$E$44:$E$133,0))</f>
        <v>#N/A</v>
      </c>
      <c r="DW21" s="12"/>
      <c r="DX21" s="354" t="str">
        <f t="shared" ref="DX21:DX28" si="60">IF(ISNA(DV21),"",(IF(DW21="","",(HYPERLINK(CONCATENATE("Schutzleitfäden\",DW21,".pdf"),"1")))))</f>
        <v/>
      </c>
      <c r="DY21" s="147" t="str">
        <f>IFERROR(VLOOKUP(DW21,Schutzleitfäden!$A$3:$C$46,3,FALSE),"")</f>
        <v/>
      </c>
      <c r="DZ21" s="200"/>
      <c r="EA21" s="102"/>
      <c r="EB21" s="12"/>
      <c r="EC21" s="12"/>
      <c r="ED21" s="102"/>
      <c r="EE21" s="338"/>
      <c r="EF21" s="13"/>
      <c r="EG21" s="13"/>
      <c r="EH21" s="13"/>
      <c r="EI21" s="448"/>
      <c r="EJ21" s="437" t="str">
        <f t="shared" ref="EJ21:EJ28" si="61">IF(EM21="Kat. 1A","ja",IF(EM21="Kat. 1B","ja",IF(ER21="Kat. 1A","ja",IF(ER21="Kat. 1B","ja",IF(EW21="Kat. 1A","ja",IF(EW21="Kat. 1B","ja","nein"))))))</f>
        <v>nein</v>
      </c>
      <c r="EK21" s="300"/>
      <c r="EL21" s="445">
        <v>0</v>
      </c>
      <c r="EM21" s="446"/>
      <c r="EN21" s="446"/>
      <c r="EO21" s="190" t="e">
        <f>VLOOKUP(EN21,Daten!$M$2:$N$18,2,FALSE)</f>
        <v>#N/A</v>
      </c>
      <c r="EP21" s="447" t="s">
        <v>511</v>
      </c>
      <c r="EQ21" s="445">
        <v>0</v>
      </c>
      <c r="ER21" s="446" t="s">
        <v>511</v>
      </c>
      <c r="ES21" s="446" t="s">
        <v>117</v>
      </c>
      <c r="ET21" s="191" t="str">
        <f>VLOOKUP(ES21,Daten!$M$2:$N$18,2,FALSE)</f>
        <v>entfällt</v>
      </c>
      <c r="EU21" s="447" t="s">
        <v>511</v>
      </c>
      <c r="EV21" s="445">
        <v>0</v>
      </c>
      <c r="EW21" s="446" t="s">
        <v>511</v>
      </c>
      <c r="EX21" s="446" t="s">
        <v>117</v>
      </c>
      <c r="EY21" s="191" t="str">
        <f>VLOOKUP(EX21,Daten!$M$2:$N$18,2,FALSE)</f>
        <v>entfällt</v>
      </c>
      <c r="EZ21" s="192"/>
      <c r="FA21" s="102"/>
      <c r="FB21" s="147" t="str">
        <f t="shared" ref="FB21:FB28" si="62">IF(ISERROR(VLOOKUP(FA21,Entsorgung,2,FALSE)),"",VLOOKUP(FA21,Entsorgung,2,FALSE))</f>
        <v/>
      </c>
      <c r="FC21" s="102"/>
      <c r="FD21" s="147" t="str">
        <f t="shared" ref="FD21:FD28" si="63">IF(ISERROR(VLOOKUP(FC21,Entsorgung,2,FALSE)),"",VLOOKUP(FC21,Entsorgung,2,FALSE))</f>
        <v/>
      </c>
      <c r="FE21" s="102"/>
      <c r="FF21" s="147" t="str">
        <f t="shared" ref="FF21:FF28" si="64">IF(ISERROR(VLOOKUP(FE21,Entsorgung,2,FALSE)),"",VLOOKUP(FE21,Entsorgung,2,FALSE))</f>
        <v/>
      </c>
      <c r="FG21" s="193"/>
      <c r="FH21" s="450"/>
      <c r="FI21" s="421"/>
      <c r="FJ21" s="449"/>
      <c r="FK21" s="421"/>
      <c r="FL21" s="421"/>
      <c r="FM21" s="421"/>
      <c r="FN21" s="450"/>
      <c r="FO21" s="421"/>
      <c r="FP21" s="451"/>
      <c r="FQ21" s="421"/>
      <c r="FR21" s="421"/>
      <c r="FS21" s="451"/>
      <c r="FT21" s="421"/>
      <c r="FU21" s="421"/>
      <c r="FV21" s="287"/>
      <c r="FW21" s="452"/>
      <c r="FX21" s="285" t="str">
        <f t="shared" ref="FX21:FX28" si="65">IF(ISERROR(VLOOKUP(FW21,Gefahrgut,2,FALSE)),"",VLOOKUP(FW21,Gefahrgut,2,FALSE))</f>
        <v/>
      </c>
      <c r="FY21" s="285" t="str">
        <f t="shared" ref="FY21:FY28" si="66">IF(ISERROR(VLOOKUP(FW21,Gefahrgut,3,FALSE)),"",VLOOKUP(FW21,Gefahrgut,3,FALSE))</f>
        <v/>
      </c>
      <c r="FZ21" s="147" t="str">
        <f t="shared" ref="FZ21:FZ28" si="67">IF(ISERROR(VLOOKUP(FW21,Gefahrgut,4,FALSE)),"",VLOOKUP(FW21,Gefahrgut,4,FALSE))</f>
        <v/>
      </c>
      <c r="GA21" s="453"/>
      <c r="GB21" s="200"/>
      <c r="GC21" s="102"/>
      <c r="GD21" s="102"/>
      <c r="GE21" s="102"/>
      <c r="GF21" s="102"/>
      <c r="GG21" s="102"/>
      <c r="GH21" s="102"/>
      <c r="GI21" s="102"/>
      <c r="GJ21" s="102"/>
      <c r="GK21" s="102"/>
      <c r="GL21" s="102"/>
      <c r="GM21" s="102"/>
      <c r="GN21" s="102"/>
    </row>
    <row r="22" spans="1:196" ht="30" customHeight="1" x14ac:dyDescent="0.3">
      <c r="A22" s="420" t="s">
        <v>841</v>
      </c>
      <c r="B22" s="102"/>
      <c r="C22" s="102"/>
      <c r="D22" s="15"/>
      <c r="E22" s="157" t="str">
        <f t="shared" si="38"/>
        <v>2</v>
      </c>
      <c r="F22" s="167"/>
      <c r="G22" s="157" t="str">
        <f>IF(AJ22&lt;&gt;"",HYPERLINK(CONCATENATE("BAG\",AJ22,".pdf"),"2"),HYPERLINK(CONCATENATE("BAG\BAG_",A22,".pdf"),"2"))</f>
        <v>2</v>
      </c>
      <c r="H22" s="169" t="str">
        <f t="shared" si="39"/>
        <v/>
      </c>
      <c r="I22" s="169" t="str">
        <f t="shared" si="40"/>
        <v/>
      </c>
      <c r="J22" s="169" t="str">
        <f t="shared" si="41"/>
        <v/>
      </c>
      <c r="K22" s="169" t="str">
        <f t="shared" si="42"/>
        <v/>
      </c>
      <c r="L22" s="169" t="str">
        <f t="shared" si="43"/>
        <v/>
      </c>
      <c r="M22" s="169" t="str">
        <f t="shared" si="44"/>
        <v/>
      </c>
      <c r="N22" s="169" t="str">
        <f t="shared" si="45"/>
        <v/>
      </c>
      <c r="O22" s="169" t="str">
        <f t="shared" si="46"/>
        <v/>
      </c>
      <c r="P22" s="169" t="str">
        <f t="shared" si="47"/>
        <v/>
      </c>
      <c r="Q22" s="169" t="str">
        <f t="shared" si="48"/>
        <v/>
      </c>
      <c r="R22" s="169" t="str">
        <f t="shared" si="49"/>
        <v/>
      </c>
      <c r="S22" s="12"/>
      <c r="T22" s="12"/>
      <c r="U22" s="196"/>
      <c r="V22" s="465" t="str">
        <f t="shared" si="50"/>
        <v>y</v>
      </c>
      <c r="W22" s="300"/>
      <c r="X22" s="316"/>
      <c r="Y22" s="315"/>
      <c r="Z22" s="316"/>
      <c r="AA22" s="315"/>
      <c r="AB22" s="316"/>
      <c r="AC22" s="315"/>
      <c r="AD22" s="316"/>
      <c r="AE22" s="315"/>
      <c r="AF22" s="316"/>
      <c r="AG22" s="300"/>
      <c r="AH22" s="404"/>
      <c r="AI22" s="13"/>
      <c r="AJ22" s="291"/>
      <c r="AK22" s="291"/>
      <c r="AL22" s="291"/>
      <c r="AM22" s="291"/>
      <c r="AN22" s="439" t="str">
        <f t="shared" si="51"/>
        <v>2</v>
      </c>
      <c r="AO22" s="295"/>
      <c r="AP22" s="300"/>
      <c r="AQ22" s="225"/>
      <c r="AR22" s="13"/>
      <c r="AS22" s="13"/>
      <c r="AT22" s="154"/>
      <c r="AU22" s="440" t="str">
        <f t="shared" si="52"/>
        <v/>
      </c>
      <c r="AV22" s="440" t="str">
        <f t="shared" si="53"/>
        <v/>
      </c>
      <c r="AW22" s="405"/>
      <c r="AX22" s="339"/>
      <c r="AY22" s="441" t="str">
        <f>IFERROR(VLOOKUP($AX22,Zusammenlagerung!$A$3:$AA$28,2,FALSE),"")</f>
        <v/>
      </c>
      <c r="AZ22" s="441" t="str">
        <f>IFERROR(VLOOKUP($AX22,Zusammenlagerung!$A$3:$AA$28,3,FALSE),"")</f>
        <v/>
      </c>
      <c r="BA22" s="441" t="str">
        <f>IFERROR(VLOOKUP($AX22,Zusammenlagerung!$A$3:$AA$28,4,FALSE),"")</f>
        <v/>
      </c>
      <c r="BB22" s="441" t="str">
        <f>IFERROR(VLOOKUP($AX22,Zusammenlagerung!$A$3:$AA$28,5,FALSE),"")</f>
        <v/>
      </c>
      <c r="BC22" s="441" t="str">
        <f>IFERROR(VLOOKUP($AX22,Zusammenlagerung!$A$3:$AA$28,6,FALSE),"")</f>
        <v/>
      </c>
      <c r="BD22" s="441" t="str">
        <f>IFERROR(VLOOKUP($AX22,Zusammenlagerung!$A$3:$AA$28,7,FALSE),"")</f>
        <v/>
      </c>
      <c r="BE22" s="441" t="str">
        <f>IFERROR(VLOOKUP($AX22,Zusammenlagerung!$A$3:$AA$28,8,FALSE),"")</f>
        <v/>
      </c>
      <c r="BF22" s="441" t="str">
        <f>IFERROR(VLOOKUP($AX22,Zusammenlagerung!$A$3:$AA$28,9,FALSE),"")</f>
        <v/>
      </c>
      <c r="BG22" s="441" t="str">
        <f>IFERROR(VLOOKUP($AX22,Zusammenlagerung!$A$3:$AA$28,10,FALSE),"")</f>
        <v/>
      </c>
      <c r="BH22" s="441" t="str">
        <f>IFERROR(VLOOKUP($AX22,Zusammenlagerung!$A$3:$AA$28,11,FALSE),"")</f>
        <v/>
      </c>
      <c r="BI22" s="441" t="str">
        <f>IFERROR(VLOOKUP($AX22,Zusammenlagerung!$A$3:$AA$28,12,FALSE),"")</f>
        <v/>
      </c>
      <c r="BJ22" s="441" t="str">
        <f>IFERROR(VLOOKUP($AX22,Zusammenlagerung!$A$3:$AA$28,13,FALSE),"")</f>
        <v/>
      </c>
      <c r="BK22" s="441" t="str">
        <f>IFERROR(VLOOKUP($AX22,Zusammenlagerung!$A$3:$AA$28,14,FALSE),"")</f>
        <v/>
      </c>
      <c r="BL22" s="441" t="str">
        <f>IFERROR(VLOOKUP($AX22,Zusammenlagerung!$A$3:$AA$28,15,FALSE),"")</f>
        <v/>
      </c>
      <c r="BM22" s="441" t="str">
        <f>IFERROR(VLOOKUP($AX22,Zusammenlagerung!$A$3:$AA$28,16,FALSE),"")</f>
        <v/>
      </c>
      <c r="BN22" s="441" t="str">
        <f>IFERROR(VLOOKUP($AX22,Zusammenlagerung!$A$3:$AA$28,17,FALSE),"")</f>
        <v/>
      </c>
      <c r="BO22" s="441" t="str">
        <f>IFERROR(VLOOKUP($AX22,Zusammenlagerung!$A$3:$AA$28,18,FALSE),"")</f>
        <v/>
      </c>
      <c r="BP22" s="441" t="str">
        <f>IFERROR(VLOOKUP($AX22,Zusammenlagerung!$A$3:$AA$28,19,FALSE),"")</f>
        <v/>
      </c>
      <c r="BQ22" s="441" t="str">
        <f>IFERROR(VLOOKUP($AX22,Zusammenlagerung!$A$3:$AA$28,20,FALSE),"")</f>
        <v/>
      </c>
      <c r="BR22" s="441" t="str">
        <f>IFERROR(VLOOKUP($AX22,Zusammenlagerung!$A$3:$AA$28,21,FALSE),"")</f>
        <v/>
      </c>
      <c r="BS22" s="442"/>
      <c r="BT22" s="441" t="str">
        <f>IFERROR(VLOOKUP($AX22,Zusammenlagerung!$A$3:$AA$28,23,FALSE),"")</f>
        <v/>
      </c>
      <c r="BU22" s="441" t="str">
        <f>IFERROR(VLOOKUP($AX22,Zusammenlagerung!$A$3:$AA$28,24,FALSE),"")</f>
        <v/>
      </c>
      <c r="BV22" s="441" t="str">
        <f>IFERROR(VLOOKUP($AX22,Zusammenlagerung!$A$3:$AA$28,25,FALSE),"")</f>
        <v/>
      </c>
      <c r="BW22" s="441" t="str">
        <f>IFERROR(VLOOKUP($AX22,Zusammenlagerung!$A$3:$AA$28,26,FALSE),"")</f>
        <v/>
      </c>
      <c r="BX22" s="441" t="str">
        <f>IFERROR(VLOOKUP($AX22,Zusammenlagerung!$A$3:$AA$28,27,FALSE),"")</f>
        <v/>
      </c>
      <c r="BY22" s="443" t="str">
        <f t="shared" si="54"/>
        <v/>
      </c>
      <c r="BZ22" s="197"/>
      <c r="CA22" s="102"/>
      <c r="CB22" s="12"/>
      <c r="CC22" s="12"/>
      <c r="CD22" s="12"/>
      <c r="CE22" s="12"/>
      <c r="CF22" s="12"/>
      <c r="CG22" s="12"/>
      <c r="CH22" s="12"/>
      <c r="CI22" s="12"/>
      <c r="CJ22" s="12"/>
      <c r="CK22" s="12"/>
      <c r="CL22" s="348"/>
      <c r="CM22" s="348"/>
      <c r="CN22" s="349"/>
      <c r="CO22" s="162" t="s">
        <v>3186</v>
      </c>
      <c r="CP22" s="462"/>
      <c r="CQ22" s="12"/>
      <c r="CR22" s="168"/>
      <c r="CS22" s="154"/>
      <c r="CT22" s="198"/>
      <c r="CU22" s="12"/>
      <c r="CV22" s="12"/>
      <c r="CW22" s="12"/>
      <c r="CX22" s="444" t="e">
        <f t="array" ref="CX22">INDEX(Einatmen!$A$21:$A$26,MATCH(CV22&amp;CW22,Einatmen!$C$21:$C$26&amp;Einatmen!$B$21:$B$26,0))</f>
        <v>#N/A</v>
      </c>
      <c r="CY22" s="12"/>
      <c r="CZ22" s="444" t="e">
        <f t="array" ref="CZ22">INDEX(Einatmen!$A$38:$A$49,MATCH(CV22&amp;CY22,Einatmen!$C$38:$C$49&amp;Einatmen!$B$38:$B$49,0))</f>
        <v>#N/A</v>
      </c>
      <c r="DA22" s="444" t="e">
        <f t="array" ref="DA22">INDEX(Einatmen!$D$52:$D$159,MATCH(CU22&amp;CX22&amp;CZ22&amp;CV22,Einatmen!$A$52:$A$159&amp;Einatmen!$B$52:$B$159&amp;Einatmen!$C$52:$C$159&amp;Einatmen!$E$52:$E$159,0))</f>
        <v>#N/A</v>
      </c>
      <c r="DB22" s="12"/>
      <c r="DC22" s="353" t="str">
        <f t="shared" si="55"/>
        <v/>
      </c>
      <c r="DD22" s="147" t="str">
        <f>IFERROR(VLOOKUP(DB22,Schutzleitfäden!$A$3:$C$46,3,FALSE),"")</f>
        <v/>
      </c>
      <c r="DE22" s="199"/>
      <c r="DF22" s="12"/>
      <c r="DG22" s="12"/>
      <c r="DH22" s="444" t="str">
        <f>IF(DG22=Haut!$A$12,Haut!$B$12,(IF(DG22=Haut!$A$13,Haut!$B$13,"")))</f>
        <v/>
      </c>
      <c r="DI22" s="12"/>
      <c r="DJ22" s="444" t="str">
        <f>IF(DI22=Haut!$A$18,Haut!$C$18,(IF(DI22=Haut!$A$19,Haut!$C$19,"")))</f>
        <v/>
      </c>
      <c r="DK22" s="444" t="e">
        <f t="array" ref="DK22">INDEX(Haut!$D$22:$D$45,MATCH(DF22&amp;DH22&amp;DJ22,Haut!$A$22:$A$45&amp;Haut!$B$22:$B$45&amp;Haut!$C$22:$C$45,0))</f>
        <v>#N/A</v>
      </c>
      <c r="DL22" s="444" t="str">
        <f>IF(ISNA(DK22),"",(IF(DK22=Haut!$D$49,Haut!$E$49,(IF(DK22=Haut!$D$50,Haut!$E$50,(IF(DK22=Haut!$D$51,Haut!$E$51,(IF(DK22=Haut!$D$52,Haut!$E$52,(IF(DK22=Haut!$D$53,Haut!$E$53,"")))))))))))</f>
        <v/>
      </c>
      <c r="DM22" s="353" t="str">
        <f t="shared" si="56"/>
        <v/>
      </c>
      <c r="DN22" s="147" t="str">
        <f>IFERROR(VLOOKUP(DL22,Schutzleitfäden!$A$3:$C$46,3,FALSE),"")</f>
        <v/>
      </c>
      <c r="DO22" s="324"/>
      <c r="DP22" s="194"/>
      <c r="DQ22" s="444">
        <f t="shared" si="57"/>
        <v>0</v>
      </c>
      <c r="DR22" s="444">
        <f t="shared" si="58"/>
        <v>0</v>
      </c>
      <c r="DS22" s="444" t="e">
        <f t="array" ref="DS22">INDEX(Brand_EX!$A$15:$A$20,MATCH(DQ22&amp;DR22,Brand_EX!$C$15:$C$20&amp;Brand_EX!$B$15:$B$20,0))</f>
        <v>#N/A</v>
      </c>
      <c r="DT22" s="444">
        <f t="shared" si="59"/>
        <v>0</v>
      </c>
      <c r="DU22" s="444" t="e">
        <f t="array" ref="DU22">INDEX(Brand_EX!$A$31:$A$41,MATCH(DQ22&amp;DT22,Brand_EX!$C$31:$C$41&amp;Brand_EX!$B$31:$B$41,0))</f>
        <v>#N/A</v>
      </c>
      <c r="DV22" s="444" t="e">
        <f t="array" ref="DV22">INDEX(Brand_EX!$D$44:$D$133,MATCH(DP22&amp;DS22&amp;DU22&amp;DQ22,Brand_EX!$A$44:$A$133&amp;Brand_EX!$B$44:$B$133&amp;Brand_EX!$C$44:$C$133&amp;Brand_EX!$E$44:$E$133,0))</f>
        <v>#N/A</v>
      </c>
      <c r="DW22" s="12"/>
      <c r="DX22" s="354" t="str">
        <f t="shared" si="60"/>
        <v/>
      </c>
      <c r="DY22" s="147" t="str">
        <f>IFERROR(VLOOKUP(DW22,Schutzleitfäden!$A$3:$C$46,3,FALSE),"")</f>
        <v/>
      </c>
      <c r="DZ22" s="200"/>
      <c r="EA22" s="102"/>
      <c r="EB22" s="12"/>
      <c r="EC22" s="12"/>
      <c r="ED22" s="102"/>
      <c r="EE22" s="338"/>
      <c r="EF22" s="13"/>
      <c r="EG22" s="13"/>
      <c r="EH22" s="13"/>
      <c r="EI22" s="448"/>
      <c r="EJ22" s="437" t="str">
        <f t="shared" si="61"/>
        <v>nein</v>
      </c>
      <c r="EK22" s="300"/>
      <c r="EL22" s="445">
        <v>0</v>
      </c>
      <c r="EM22" s="446"/>
      <c r="EN22" s="446"/>
      <c r="EO22" s="190" t="e">
        <f>VLOOKUP(EN22,Daten!$M$2:$N$18,2,FALSE)</f>
        <v>#N/A</v>
      </c>
      <c r="EP22" s="447" t="s">
        <v>511</v>
      </c>
      <c r="EQ22" s="445">
        <v>0</v>
      </c>
      <c r="ER22" s="446" t="s">
        <v>511</v>
      </c>
      <c r="ES22" s="446" t="s">
        <v>117</v>
      </c>
      <c r="ET22" s="191" t="str">
        <f>VLOOKUP(ES22,Daten!$M$2:$N$18,2,FALSE)</f>
        <v>entfällt</v>
      </c>
      <c r="EU22" s="447" t="s">
        <v>511</v>
      </c>
      <c r="EV22" s="445">
        <v>0</v>
      </c>
      <c r="EW22" s="446" t="s">
        <v>511</v>
      </c>
      <c r="EX22" s="446" t="s">
        <v>117</v>
      </c>
      <c r="EY22" s="191" t="str">
        <f>VLOOKUP(EX22,Daten!$M$2:$N$18,2,FALSE)</f>
        <v>entfällt</v>
      </c>
      <c r="EZ22" s="192"/>
      <c r="FA22" s="102"/>
      <c r="FB22" s="147" t="str">
        <f t="shared" si="62"/>
        <v/>
      </c>
      <c r="FC22" s="102"/>
      <c r="FD22" s="147" t="str">
        <f t="shared" si="63"/>
        <v/>
      </c>
      <c r="FE22" s="102"/>
      <c r="FF22" s="147" t="str">
        <f t="shared" si="64"/>
        <v/>
      </c>
      <c r="FG22" s="193"/>
      <c r="FH22" s="450"/>
      <c r="FI22" s="421"/>
      <c r="FJ22" s="449"/>
      <c r="FK22" s="421"/>
      <c r="FL22" s="421"/>
      <c r="FM22" s="421"/>
      <c r="FN22" s="450"/>
      <c r="FO22" s="421"/>
      <c r="FP22" s="451"/>
      <c r="FQ22" s="421"/>
      <c r="FR22" s="421"/>
      <c r="FS22" s="451"/>
      <c r="FT22" s="421"/>
      <c r="FU22" s="421"/>
      <c r="FV22" s="287"/>
      <c r="FW22" s="452"/>
      <c r="FX22" s="285" t="str">
        <f t="shared" si="65"/>
        <v/>
      </c>
      <c r="FY22" s="285" t="str">
        <f t="shared" si="66"/>
        <v/>
      </c>
      <c r="FZ22" s="147" t="str">
        <f t="shared" si="67"/>
        <v/>
      </c>
      <c r="GA22" s="453"/>
      <c r="GB22" s="200"/>
      <c r="GC22" s="102"/>
      <c r="GD22" s="102"/>
      <c r="GE22" s="102"/>
      <c r="GF22" s="102"/>
      <c r="GG22" s="102"/>
      <c r="GH22" s="102"/>
      <c r="GI22" s="102"/>
      <c r="GJ22" s="102"/>
      <c r="GK22" s="102"/>
      <c r="GL22" s="102"/>
      <c r="GM22" s="102"/>
      <c r="GN22" s="102"/>
    </row>
    <row r="23" spans="1:196" ht="30" customHeight="1" x14ac:dyDescent="0.3">
      <c r="A23" s="420" t="s">
        <v>842</v>
      </c>
      <c r="B23" s="102"/>
      <c r="C23" s="102"/>
      <c r="D23" s="15"/>
      <c r="E23" s="157" t="str">
        <f t="shared" si="38"/>
        <v>2</v>
      </c>
      <c r="F23" s="167"/>
      <c r="G23" s="157" t="str">
        <f>IF(AJ23&lt;&gt;"",HYPERLINK(CONCATENATE("BAG\",AJ23,".pdf"),"2"),HYPERLINK(CONCATENATE("BAG\BAG_",A23,".pdf"),"2"))</f>
        <v>2</v>
      </c>
      <c r="H23" s="169" t="str">
        <f t="shared" si="39"/>
        <v/>
      </c>
      <c r="I23" s="169" t="str">
        <f t="shared" si="40"/>
        <v/>
      </c>
      <c r="J23" s="169" t="str">
        <f t="shared" si="41"/>
        <v/>
      </c>
      <c r="K23" s="169" t="str">
        <f t="shared" si="42"/>
        <v/>
      </c>
      <c r="L23" s="169" t="str">
        <f t="shared" si="43"/>
        <v/>
      </c>
      <c r="M23" s="169" t="str">
        <f t="shared" si="44"/>
        <v/>
      </c>
      <c r="N23" s="169" t="str">
        <f t="shared" si="45"/>
        <v/>
      </c>
      <c r="O23" s="169" t="str">
        <f t="shared" si="46"/>
        <v/>
      </c>
      <c r="P23" s="169" t="str">
        <f t="shared" si="47"/>
        <v/>
      </c>
      <c r="Q23" s="169" t="str">
        <f t="shared" si="48"/>
        <v/>
      </c>
      <c r="R23" s="169" t="str">
        <f t="shared" si="49"/>
        <v/>
      </c>
      <c r="S23" s="12"/>
      <c r="T23" s="12"/>
      <c r="U23" s="196"/>
      <c r="V23" s="465" t="str">
        <f t="shared" si="50"/>
        <v>y</v>
      </c>
      <c r="W23" s="300"/>
      <c r="X23" s="316"/>
      <c r="Y23" s="315"/>
      <c r="Z23" s="316"/>
      <c r="AA23" s="315"/>
      <c r="AB23" s="316"/>
      <c r="AC23" s="315"/>
      <c r="AD23" s="316"/>
      <c r="AE23" s="315"/>
      <c r="AF23" s="316"/>
      <c r="AG23" s="300"/>
      <c r="AH23" s="404"/>
      <c r="AI23" s="13"/>
      <c r="AJ23" s="291"/>
      <c r="AK23" s="291"/>
      <c r="AL23" s="291"/>
      <c r="AM23" s="291"/>
      <c r="AN23" s="439" t="str">
        <f t="shared" si="51"/>
        <v>2</v>
      </c>
      <c r="AO23" s="295"/>
      <c r="AP23" s="300"/>
      <c r="AQ23" s="225"/>
      <c r="AR23" s="13"/>
      <c r="AS23" s="13"/>
      <c r="AT23" s="154"/>
      <c r="AU23" s="440" t="str">
        <f t="shared" si="52"/>
        <v/>
      </c>
      <c r="AV23" s="440" t="str">
        <f t="shared" si="53"/>
        <v/>
      </c>
      <c r="AW23" s="405"/>
      <c r="AX23" s="339"/>
      <c r="AY23" s="441" t="str">
        <f>IFERROR(VLOOKUP($AX23,Zusammenlagerung!$A$3:$AA$28,2,FALSE),"")</f>
        <v/>
      </c>
      <c r="AZ23" s="441" t="str">
        <f>IFERROR(VLOOKUP($AX23,Zusammenlagerung!$A$3:$AA$28,3,FALSE),"")</f>
        <v/>
      </c>
      <c r="BA23" s="441" t="str">
        <f>IFERROR(VLOOKUP($AX23,Zusammenlagerung!$A$3:$AA$28,4,FALSE),"")</f>
        <v/>
      </c>
      <c r="BB23" s="441" t="str">
        <f>IFERROR(VLOOKUP($AX23,Zusammenlagerung!$A$3:$AA$28,5,FALSE),"")</f>
        <v/>
      </c>
      <c r="BC23" s="441" t="str">
        <f>IFERROR(VLOOKUP($AX23,Zusammenlagerung!$A$3:$AA$28,6,FALSE),"")</f>
        <v/>
      </c>
      <c r="BD23" s="441" t="str">
        <f>IFERROR(VLOOKUP($AX23,Zusammenlagerung!$A$3:$AA$28,7,FALSE),"")</f>
        <v/>
      </c>
      <c r="BE23" s="441" t="str">
        <f>IFERROR(VLOOKUP($AX23,Zusammenlagerung!$A$3:$AA$28,8,FALSE),"")</f>
        <v/>
      </c>
      <c r="BF23" s="441" t="str">
        <f>IFERROR(VLOOKUP($AX23,Zusammenlagerung!$A$3:$AA$28,9,FALSE),"")</f>
        <v/>
      </c>
      <c r="BG23" s="441" t="str">
        <f>IFERROR(VLOOKUP($AX23,Zusammenlagerung!$A$3:$AA$28,10,FALSE),"")</f>
        <v/>
      </c>
      <c r="BH23" s="441" t="str">
        <f>IFERROR(VLOOKUP($AX23,Zusammenlagerung!$A$3:$AA$28,11,FALSE),"")</f>
        <v/>
      </c>
      <c r="BI23" s="441" t="str">
        <f>IFERROR(VLOOKUP($AX23,Zusammenlagerung!$A$3:$AA$28,12,FALSE),"")</f>
        <v/>
      </c>
      <c r="BJ23" s="441" t="str">
        <f>IFERROR(VLOOKUP($AX23,Zusammenlagerung!$A$3:$AA$28,13,FALSE),"")</f>
        <v/>
      </c>
      <c r="BK23" s="441" t="str">
        <f>IFERROR(VLOOKUP($AX23,Zusammenlagerung!$A$3:$AA$28,14,FALSE),"")</f>
        <v/>
      </c>
      <c r="BL23" s="441" t="str">
        <f>IFERROR(VLOOKUP($AX23,Zusammenlagerung!$A$3:$AA$28,15,FALSE),"")</f>
        <v/>
      </c>
      <c r="BM23" s="441" t="str">
        <f>IFERROR(VLOOKUP($AX23,Zusammenlagerung!$A$3:$AA$28,16,FALSE),"")</f>
        <v/>
      </c>
      <c r="BN23" s="441" t="str">
        <f>IFERROR(VLOOKUP($AX23,Zusammenlagerung!$A$3:$AA$28,17,FALSE),"")</f>
        <v/>
      </c>
      <c r="BO23" s="441" t="str">
        <f>IFERROR(VLOOKUP($AX23,Zusammenlagerung!$A$3:$AA$28,18,FALSE),"")</f>
        <v/>
      </c>
      <c r="BP23" s="441" t="str">
        <f>IFERROR(VLOOKUP($AX23,Zusammenlagerung!$A$3:$AA$28,19,FALSE),"")</f>
        <v/>
      </c>
      <c r="BQ23" s="441" t="str">
        <f>IFERROR(VLOOKUP($AX23,Zusammenlagerung!$A$3:$AA$28,20,FALSE),"")</f>
        <v/>
      </c>
      <c r="BR23" s="441" t="str">
        <f>IFERROR(VLOOKUP($AX23,Zusammenlagerung!$A$3:$AA$28,21,FALSE),"")</f>
        <v/>
      </c>
      <c r="BS23" s="442"/>
      <c r="BT23" s="441" t="str">
        <f>IFERROR(VLOOKUP($AX23,Zusammenlagerung!$A$3:$AA$28,23,FALSE),"")</f>
        <v/>
      </c>
      <c r="BU23" s="441" t="str">
        <f>IFERROR(VLOOKUP($AX23,Zusammenlagerung!$A$3:$AA$28,24,FALSE),"")</f>
        <v/>
      </c>
      <c r="BV23" s="441" t="str">
        <f>IFERROR(VLOOKUP($AX23,Zusammenlagerung!$A$3:$AA$28,25,FALSE),"")</f>
        <v/>
      </c>
      <c r="BW23" s="441" t="str">
        <f>IFERROR(VLOOKUP($AX23,Zusammenlagerung!$A$3:$AA$28,26,FALSE),"")</f>
        <v/>
      </c>
      <c r="BX23" s="441" t="str">
        <f>IFERROR(VLOOKUP($AX23,Zusammenlagerung!$A$3:$AA$28,27,FALSE),"")</f>
        <v/>
      </c>
      <c r="BY23" s="443" t="str">
        <f t="shared" si="54"/>
        <v/>
      </c>
      <c r="BZ23" s="197"/>
      <c r="CA23" s="102"/>
      <c r="CB23" s="12"/>
      <c r="CC23" s="12"/>
      <c r="CD23" s="12"/>
      <c r="CE23" s="12"/>
      <c r="CF23" s="12"/>
      <c r="CG23" s="12"/>
      <c r="CH23" s="12"/>
      <c r="CI23" s="12"/>
      <c r="CJ23" s="12"/>
      <c r="CK23" s="12"/>
      <c r="CL23" s="348"/>
      <c r="CM23" s="348"/>
      <c r="CN23" s="349"/>
      <c r="CO23" s="162" t="s">
        <v>3186</v>
      </c>
      <c r="CP23" s="462"/>
      <c r="CQ23" s="12"/>
      <c r="CR23" s="168"/>
      <c r="CS23" s="154"/>
      <c r="CT23" s="198"/>
      <c r="CU23" s="12"/>
      <c r="CV23" s="12"/>
      <c r="CW23" s="12"/>
      <c r="CX23" s="444" t="e">
        <f t="array" ref="CX23">INDEX(Einatmen!$A$21:$A$26,MATCH(CV23&amp;CW23,Einatmen!$C$21:$C$26&amp;Einatmen!$B$21:$B$26,0))</f>
        <v>#N/A</v>
      </c>
      <c r="CY23" s="12"/>
      <c r="CZ23" s="444" t="e">
        <f t="array" ref="CZ23">INDEX(Einatmen!$A$38:$A$49,MATCH(CV23&amp;CY23,Einatmen!$C$38:$C$49&amp;Einatmen!$B$38:$B$49,0))</f>
        <v>#N/A</v>
      </c>
      <c r="DA23" s="444" t="e">
        <f t="array" ref="DA23">INDEX(Einatmen!$D$52:$D$159,MATCH(CU23&amp;CX23&amp;CZ23&amp;CV23,Einatmen!$A$52:$A$159&amp;Einatmen!$B$52:$B$159&amp;Einatmen!$C$52:$C$159&amp;Einatmen!$E$52:$E$159,0))</f>
        <v>#N/A</v>
      </c>
      <c r="DB23" s="12"/>
      <c r="DC23" s="353" t="str">
        <f t="shared" si="55"/>
        <v/>
      </c>
      <c r="DD23" s="147" t="str">
        <f>IFERROR(VLOOKUP(DB23,Schutzleitfäden!$A$3:$C$46,3,FALSE),"")</f>
        <v/>
      </c>
      <c r="DE23" s="199"/>
      <c r="DF23" s="12"/>
      <c r="DG23" s="12"/>
      <c r="DH23" s="444" t="str">
        <f>IF(DG23=Haut!$A$12,Haut!$B$12,(IF(DG23=Haut!$A$13,Haut!$B$13,"")))</f>
        <v/>
      </c>
      <c r="DI23" s="12"/>
      <c r="DJ23" s="444" t="str">
        <f>IF(DI23=Haut!$A$18,Haut!$C$18,(IF(DI23=Haut!$A$19,Haut!$C$19,"")))</f>
        <v/>
      </c>
      <c r="DK23" s="444" t="e">
        <f t="array" ref="DK23">INDEX(Haut!$D$22:$D$45,MATCH(DF23&amp;DH23&amp;DJ23,Haut!$A$22:$A$45&amp;Haut!$B$22:$B$45&amp;Haut!$C$22:$C$45,0))</f>
        <v>#N/A</v>
      </c>
      <c r="DL23" s="444" t="str">
        <f>IF(ISNA(DK23),"",(IF(DK23=Haut!$D$49,Haut!$E$49,(IF(DK23=Haut!$D$50,Haut!$E$50,(IF(DK23=Haut!$D$51,Haut!$E$51,(IF(DK23=Haut!$D$52,Haut!$E$52,(IF(DK23=Haut!$D$53,Haut!$E$53,"")))))))))))</f>
        <v/>
      </c>
      <c r="DM23" s="353" t="str">
        <f t="shared" si="56"/>
        <v/>
      </c>
      <c r="DN23" s="147" t="str">
        <f>IFERROR(VLOOKUP(DL23,Schutzleitfäden!$A$3:$C$46,3,FALSE),"")</f>
        <v/>
      </c>
      <c r="DO23" s="324"/>
      <c r="DP23" s="194"/>
      <c r="DQ23" s="444">
        <f t="shared" si="57"/>
        <v>0</v>
      </c>
      <c r="DR23" s="444">
        <f t="shared" si="58"/>
        <v>0</v>
      </c>
      <c r="DS23" s="444" t="e">
        <f t="array" ref="DS23">INDEX(Brand_EX!$A$15:$A$20,MATCH(DQ23&amp;DR23,Brand_EX!$C$15:$C$20&amp;Brand_EX!$B$15:$B$20,0))</f>
        <v>#N/A</v>
      </c>
      <c r="DT23" s="444">
        <f t="shared" si="59"/>
        <v>0</v>
      </c>
      <c r="DU23" s="444" t="e">
        <f t="array" ref="DU23">INDEX(Brand_EX!$A$31:$A$41,MATCH(DQ23&amp;DT23,Brand_EX!$C$31:$C$41&amp;Brand_EX!$B$31:$B$41,0))</f>
        <v>#N/A</v>
      </c>
      <c r="DV23" s="444" t="e">
        <f t="array" ref="DV23">INDEX(Brand_EX!$D$44:$D$133,MATCH(DP23&amp;DS23&amp;DU23&amp;DQ23,Brand_EX!$A$44:$A$133&amp;Brand_EX!$B$44:$B$133&amp;Brand_EX!$C$44:$C$133&amp;Brand_EX!$E$44:$E$133,0))</f>
        <v>#N/A</v>
      </c>
      <c r="DW23" s="12"/>
      <c r="DX23" s="354" t="str">
        <f t="shared" si="60"/>
        <v/>
      </c>
      <c r="DY23" s="147" t="str">
        <f>IFERROR(VLOOKUP(DW23,Schutzleitfäden!$A$3:$C$46,3,FALSE),"")</f>
        <v/>
      </c>
      <c r="DZ23" s="200"/>
      <c r="EA23" s="102"/>
      <c r="EB23" s="12"/>
      <c r="EC23" s="12"/>
      <c r="ED23" s="102"/>
      <c r="EE23" s="338"/>
      <c r="EF23" s="13"/>
      <c r="EG23" s="13"/>
      <c r="EH23" s="13"/>
      <c r="EI23" s="448"/>
      <c r="EJ23" s="437" t="str">
        <f t="shared" si="61"/>
        <v>nein</v>
      </c>
      <c r="EK23" s="300"/>
      <c r="EL23" s="445">
        <v>0</v>
      </c>
      <c r="EM23" s="446"/>
      <c r="EN23" s="446"/>
      <c r="EO23" s="190" t="e">
        <f>VLOOKUP(EN23,Daten!$M$2:$N$18,2,FALSE)</f>
        <v>#N/A</v>
      </c>
      <c r="EP23" s="447" t="s">
        <v>511</v>
      </c>
      <c r="EQ23" s="445">
        <v>0</v>
      </c>
      <c r="ER23" s="446" t="s">
        <v>511</v>
      </c>
      <c r="ES23" s="446" t="s">
        <v>117</v>
      </c>
      <c r="ET23" s="191" t="str">
        <f>VLOOKUP(ES23,Daten!$M$2:$N$18,2,FALSE)</f>
        <v>entfällt</v>
      </c>
      <c r="EU23" s="447" t="s">
        <v>511</v>
      </c>
      <c r="EV23" s="445">
        <v>0</v>
      </c>
      <c r="EW23" s="446" t="s">
        <v>511</v>
      </c>
      <c r="EX23" s="446" t="s">
        <v>117</v>
      </c>
      <c r="EY23" s="191" t="str">
        <f>VLOOKUP(EX23,Daten!$M$2:$N$18,2,FALSE)</f>
        <v>entfällt</v>
      </c>
      <c r="EZ23" s="192"/>
      <c r="FA23" s="102"/>
      <c r="FB23" s="147" t="str">
        <f t="shared" si="62"/>
        <v/>
      </c>
      <c r="FC23" s="102"/>
      <c r="FD23" s="147" t="str">
        <f t="shared" si="63"/>
        <v/>
      </c>
      <c r="FE23" s="102"/>
      <c r="FF23" s="147" t="str">
        <f t="shared" si="64"/>
        <v/>
      </c>
      <c r="FG23" s="193"/>
      <c r="FH23" s="450"/>
      <c r="FI23" s="421"/>
      <c r="FJ23" s="449"/>
      <c r="FK23" s="421"/>
      <c r="FL23" s="421"/>
      <c r="FM23" s="421"/>
      <c r="FN23" s="450"/>
      <c r="FO23" s="421"/>
      <c r="FP23" s="451"/>
      <c r="FQ23" s="421"/>
      <c r="FR23" s="421"/>
      <c r="FS23" s="451"/>
      <c r="FT23" s="421"/>
      <c r="FU23" s="421"/>
      <c r="FV23" s="287"/>
      <c r="FW23" s="452"/>
      <c r="FX23" s="285" t="str">
        <f t="shared" si="65"/>
        <v/>
      </c>
      <c r="FY23" s="285" t="str">
        <f t="shared" si="66"/>
        <v/>
      </c>
      <c r="FZ23" s="147" t="str">
        <f t="shared" si="67"/>
        <v/>
      </c>
      <c r="GA23" s="453"/>
      <c r="GB23" s="200"/>
      <c r="GC23" s="102"/>
      <c r="GD23" s="102"/>
      <c r="GE23" s="102"/>
      <c r="GF23" s="102"/>
      <c r="GG23" s="102"/>
      <c r="GH23" s="102"/>
      <c r="GI23" s="102"/>
      <c r="GJ23" s="102"/>
      <c r="GK23" s="102"/>
      <c r="GL23" s="102"/>
      <c r="GM23" s="102"/>
      <c r="GN23" s="102"/>
    </row>
    <row r="24" spans="1:196" ht="30" customHeight="1" x14ac:dyDescent="0.3">
      <c r="A24" s="420" t="s">
        <v>2598</v>
      </c>
      <c r="B24" s="102"/>
      <c r="C24" s="102"/>
      <c r="D24" s="15"/>
      <c r="E24" s="157" t="str">
        <f t="shared" si="38"/>
        <v>2</v>
      </c>
      <c r="F24" s="167"/>
      <c r="G24" s="157" t="str">
        <f>IF(AJ24&lt;&gt;"",HYPERLINK(CONCATENATE("BAG\",AJ24,".pdf"),"2"),HYPERLINK(CONCATENATE("BAG\BAG_",A24,".pdf"),"2"))</f>
        <v>2</v>
      </c>
      <c r="H24" s="169" t="str">
        <f t="shared" si="39"/>
        <v/>
      </c>
      <c r="I24" s="169" t="str">
        <f t="shared" si="40"/>
        <v/>
      </c>
      <c r="J24" s="169" t="str">
        <f t="shared" si="41"/>
        <v/>
      </c>
      <c r="K24" s="169" t="str">
        <f t="shared" si="42"/>
        <v/>
      </c>
      <c r="L24" s="169" t="str">
        <f t="shared" si="43"/>
        <v/>
      </c>
      <c r="M24" s="169" t="str">
        <f t="shared" si="44"/>
        <v/>
      </c>
      <c r="N24" s="169" t="str">
        <f t="shared" si="45"/>
        <v/>
      </c>
      <c r="O24" s="169" t="str">
        <f t="shared" si="46"/>
        <v/>
      </c>
      <c r="P24" s="169" t="str">
        <f t="shared" si="47"/>
        <v/>
      </c>
      <c r="Q24" s="169" t="str">
        <f t="shared" si="48"/>
        <v/>
      </c>
      <c r="R24" s="169" t="str">
        <f t="shared" si="49"/>
        <v/>
      </c>
      <c r="S24" s="12"/>
      <c r="T24" s="12"/>
      <c r="U24" s="196"/>
      <c r="V24" s="465" t="str">
        <f t="shared" si="50"/>
        <v>y</v>
      </c>
      <c r="W24" s="300"/>
      <c r="X24" s="316"/>
      <c r="Y24" s="315"/>
      <c r="Z24" s="316"/>
      <c r="AA24" s="315"/>
      <c r="AB24" s="316"/>
      <c r="AC24" s="315"/>
      <c r="AD24" s="316"/>
      <c r="AE24" s="315"/>
      <c r="AF24" s="316"/>
      <c r="AG24" s="300"/>
      <c r="AH24" s="404"/>
      <c r="AI24" s="13"/>
      <c r="AJ24" s="291"/>
      <c r="AK24" s="291"/>
      <c r="AL24" s="291"/>
      <c r="AM24" s="291"/>
      <c r="AN24" s="439" t="str">
        <f t="shared" si="51"/>
        <v>2</v>
      </c>
      <c r="AO24" s="295"/>
      <c r="AP24" s="300"/>
      <c r="AQ24" s="225"/>
      <c r="AR24" s="13"/>
      <c r="AS24" s="13"/>
      <c r="AT24" s="154"/>
      <c r="AU24" s="440" t="str">
        <f t="shared" si="52"/>
        <v/>
      </c>
      <c r="AV24" s="440" t="str">
        <f t="shared" si="53"/>
        <v/>
      </c>
      <c r="AW24" s="405"/>
      <c r="AX24" s="339"/>
      <c r="AY24" s="441" t="str">
        <f>IFERROR(VLOOKUP($AX24,Zusammenlagerung!$A$3:$AA$28,2,FALSE),"")</f>
        <v/>
      </c>
      <c r="AZ24" s="441" t="str">
        <f>IFERROR(VLOOKUP($AX24,Zusammenlagerung!$A$3:$AA$28,3,FALSE),"")</f>
        <v/>
      </c>
      <c r="BA24" s="441" t="str">
        <f>IFERROR(VLOOKUP($AX24,Zusammenlagerung!$A$3:$AA$28,4,FALSE),"")</f>
        <v/>
      </c>
      <c r="BB24" s="441" t="str">
        <f>IFERROR(VLOOKUP($AX24,Zusammenlagerung!$A$3:$AA$28,5,FALSE),"")</f>
        <v/>
      </c>
      <c r="BC24" s="441" t="str">
        <f>IFERROR(VLOOKUP($AX24,Zusammenlagerung!$A$3:$AA$28,6,FALSE),"")</f>
        <v/>
      </c>
      <c r="BD24" s="441" t="str">
        <f>IFERROR(VLOOKUP($AX24,Zusammenlagerung!$A$3:$AA$28,7,FALSE),"")</f>
        <v/>
      </c>
      <c r="BE24" s="441" t="str">
        <f>IFERROR(VLOOKUP($AX24,Zusammenlagerung!$A$3:$AA$28,8,FALSE),"")</f>
        <v/>
      </c>
      <c r="BF24" s="441" t="str">
        <f>IFERROR(VLOOKUP($AX24,Zusammenlagerung!$A$3:$AA$28,9,FALSE),"")</f>
        <v/>
      </c>
      <c r="BG24" s="441" t="str">
        <f>IFERROR(VLOOKUP($AX24,Zusammenlagerung!$A$3:$AA$28,10,FALSE),"")</f>
        <v/>
      </c>
      <c r="BH24" s="441" t="str">
        <f>IFERROR(VLOOKUP($AX24,Zusammenlagerung!$A$3:$AA$28,11,FALSE),"")</f>
        <v/>
      </c>
      <c r="BI24" s="441" t="str">
        <f>IFERROR(VLOOKUP($AX24,Zusammenlagerung!$A$3:$AA$28,12,FALSE),"")</f>
        <v/>
      </c>
      <c r="BJ24" s="441" t="str">
        <f>IFERROR(VLOOKUP($AX24,Zusammenlagerung!$A$3:$AA$28,13,FALSE),"")</f>
        <v/>
      </c>
      <c r="BK24" s="441" t="str">
        <f>IFERROR(VLOOKUP($AX24,Zusammenlagerung!$A$3:$AA$28,14,FALSE),"")</f>
        <v/>
      </c>
      <c r="BL24" s="441" t="str">
        <f>IFERROR(VLOOKUP($AX24,Zusammenlagerung!$A$3:$AA$28,15,FALSE),"")</f>
        <v/>
      </c>
      <c r="BM24" s="441" t="str">
        <f>IFERROR(VLOOKUP($AX24,Zusammenlagerung!$A$3:$AA$28,16,FALSE),"")</f>
        <v/>
      </c>
      <c r="BN24" s="441" t="str">
        <f>IFERROR(VLOOKUP($AX24,Zusammenlagerung!$A$3:$AA$28,17,FALSE),"")</f>
        <v/>
      </c>
      <c r="BO24" s="441" t="str">
        <f>IFERROR(VLOOKUP($AX24,Zusammenlagerung!$A$3:$AA$28,18,FALSE),"")</f>
        <v/>
      </c>
      <c r="BP24" s="441" t="str">
        <f>IFERROR(VLOOKUP($AX24,Zusammenlagerung!$A$3:$AA$28,19,FALSE),"")</f>
        <v/>
      </c>
      <c r="BQ24" s="441" t="str">
        <f>IFERROR(VLOOKUP($AX24,Zusammenlagerung!$A$3:$AA$28,20,FALSE),"")</f>
        <v/>
      </c>
      <c r="BR24" s="441" t="str">
        <f>IFERROR(VLOOKUP($AX24,Zusammenlagerung!$A$3:$AA$28,21,FALSE),"")</f>
        <v/>
      </c>
      <c r="BS24" s="442"/>
      <c r="BT24" s="441" t="str">
        <f>IFERROR(VLOOKUP($AX24,Zusammenlagerung!$A$3:$AA$28,23,FALSE),"")</f>
        <v/>
      </c>
      <c r="BU24" s="441" t="str">
        <f>IFERROR(VLOOKUP($AX24,Zusammenlagerung!$A$3:$AA$28,24,FALSE),"")</f>
        <v/>
      </c>
      <c r="BV24" s="441" t="str">
        <f>IFERROR(VLOOKUP($AX24,Zusammenlagerung!$A$3:$AA$28,25,FALSE),"")</f>
        <v/>
      </c>
      <c r="BW24" s="441" t="str">
        <f>IFERROR(VLOOKUP($AX24,Zusammenlagerung!$A$3:$AA$28,26,FALSE),"")</f>
        <v/>
      </c>
      <c r="BX24" s="441" t="str">
        <f>IFERROR(VLOOKUP($AX24,Zusammenlagerung!$A$3:$AA$28,27,FALSE),"")</f>
        <v/>
      </c>
      <c r="BY24" s="443" t="str">
        <f t="shared" si="54"/>
        <v/>
      </c>
      <c r="BZ24" s="197"/>
      <c r="CA24" s="102"/>
      <c r="CB24" s="12"/>
      <c r="CC24" s="12"/>
      <c r="CD24" s="12"/>
      <c r="CE24" s="12"/>
      <c r="CF24" s="12"/>
      <c r="CG24" s="12"/>
      <c r="CH24" s="12"/>
      <c r="CI24" s="12"/>
      <c r="CJ24" s="12"/>
      <c r="CK24" s="12"/>
      <c r="CL24" s="348"/>
      <c r="CM24" s="348"/>
      <c r="CN24" s="349"/>
      <c r="CO24" s="162" t="s">
        <v>3186</v>
      </c>
      <c r="CP24" s="462"/>
      <c r="CQ24" s="12"/>
      <c r="CR24" s="168"/>
      <c r="CS24" s="154"/>
      <c r="CT24" s="198"/>
      <c r="CU24" s="12"/>
      <c r="CV24" s="12"/>
      <c r="CW24" s="12"/>
      <c r="CX24" s="444" t="e">
        <f t="array" ref="CX24">INDEX(Einatmen!$A$21:$A$26,MATCH(CV24&amp;CW24,Einatmen!$C$21:$C$26&amp;Einatmen!$B$21:$B$26,0))</f>
        <v>#N/A</v>
      </c>
      <c r="CY24" s="12"/>
      <c r="CZ24" s="444" t="e">
        <f t="array" ref="CZ24">INDEX(Einatmen!$A$38:$A$49,MATCH(CV24&amp;CY24,Einatmen!$C$38:$C$49&amp;Einatmen!$B$38:$B$49,0))</f>
        <v>#N/A</v>
      </c>
      <c r="DA24" s="444" t="e">
        <f t="array" ref="DA24">INDEX(Einatmen!$D$52:$D$159,MATCH(CU24&amp;CX24&amp;CZ24&amp;CV24,Einatmen!$A$52:$A$159&amp;Einatmen!$B$52:$B$159&amp;Einatmen!$C$52:$C$159&amp;Einatmen!$E$52:$E$159,0))</f>
        <v>#N/A</v>
      </c>
      <c r="DB24" s="12"/>
      <c r="DC24" s="353" t="str">
        <f t="shared" si="55"/>
        <v/>
      </c>
      <c r="DD24" s="147" t="str">
        <f>IFERROR(VLOOKUP(DB24,Schutzleitfäden!$A$3:$C$46,3,FALSE),"")</f>
        <v/>
      </c>
      <c r="DE24" s="199"/>
      <c r="DF24" s="12"/>
      <c r="DG24" s="12"/>
      <c r="DH24" s="444" t="str">
        <f>IF(DG24=Haut!$A$12,Haut!$B$12,(IF(DG24=Haut!$A$13,Haut!$B$13,"")))</f>
        <v/>
      </c>
      <c r="DI24" s="12"/>
      <c r="DJ24" s="444" t="str">
        <f>IF(DI24=Haut!$A$18,Haut!$C$18,(IF(DI24=Haut!$A$19,Haut!$C$19,"")))</f>
        <v/>
      </c>
      <c r="DK24" s="444" t="e">
        <f t="array" ref="DK24">INDEX(Haut!$D$22:$D$45,MATCH(DF24&amp;DH24&amp;DJ24,Haut!$A$22:$A$45&amp;Haut!$B$22:$B$45&amp;Haut!$C$22:$C$45,0))</f>
        <v>#N/A</v>
      </c>
      <c r="DL24" s="444" t="str">
        <f>IF(ISNA(DK24),"",(IF(DK24=Haut!$D$49,Haut!$E$49,(IF(DK24=Haut!$D$50,Haut!$E$50,(IF(DK24=Haut!$D$51,Haut!$E$51,(IF(DK24=Haut!$D$52,Haut!$E$52,(IF(DK24=Haut!$D$53,Haut!$E$53,"")))))))))))</f>
        <v/>
      </c>
      <c r="DM24" s="353" t="str">
        <f t="shared" si="56"/>
        <v/>
      </c>
      <c r="DN24" s="147" t="str">
        <f>IFERROR(VLOOKUP(DL24,Schutzleitfäden!$A$3:$C$46,3,FALSE),"")</f>
        <v/>
      </c>
      <c r="DO24" s="324"/>
      <c r="DP24" s="194"/>
      <c r="DQ24" s="444">
        <f t="shared" si="57"/>
        <v>0</v>
      </c>
      <c r="DR24" s="444">
        <f t="shared" si="58"/>
        <v>0</v>
      </c>
      <c r="DS24" s="444" t="e">
        <f t="array" ref="DS24">INDEX(Brand_EX!$A$15:$A$20,MATCH(DQ24&amp;DR24,Brand_EX!$C$15:$C$20&amp;Brand_EX!$B$15:$B$20,0))</f>
        <v>#N/A</v>
      </c>
      <c r="DT24" s="444">
        <f t="shared" si="59"/>
        <v>0</v>
      </c>
      <c r="DU24" s="444" t="e">
        <f t="array" ref="DU24">INDEX(Brand_EX!$A$31:$A$41,MATCH(DQ24&amp;DT24,Brand_EX!$C$31:$C$41&amp;Brand_EX!$B$31:$B$41,0))</f>
        <v>#N/A</v>
      </c>
      <c r="DV24" s="444" t="e">
        <f t="array" ref="DV24">INDEX(Brand_EX!$D$44:$D$133,MATCH(DP24&amp;DS24&amp;DU24&amp;DQ24,Brand_EX!$A$44:$A$133&amp;Brand_EX!$B$44:$B$133&amp;Brand_EX!$C$44:$C$133&amp;Brand_EX!$E$44:$E$133,0))</f>
        <v>#N/A</v>
      </c>
      <c r="DW24" s="12"/>
      <c r="DX24" s="354" t="str">
        <f t="shared" si="60"/>
        <v/>
      </c>
      <c r="DY24" s="147" t="str">
        <f>IFERROR(VLOOKUP(DW24,Schutzleitfäden!$A$3:$C$46,3,FALSE),"")</f>
        <v/>
      </c>
      <c r="DZ24" s="200"/>
      <c r="EA24" s="102"/>
      <c r="EB24" s="12"/>
      <c r="EC24" s="12"/>
      <c r="ED24" s="102"/>
      <c r="EE24" s="338"/>
      <c r="EF24" s="13"/>
      <c r="EG24" s="13"/>
      <c r="EH24" s="13"/>
      <c r="EI24" s="448"/>
      <c r="EJ24" s="437" t="str">
        <f t="shared" si="61"/>
        <v>nein</v>
      </c>
      <c r="EK24" s="300"/>
      <c r="EL24" s="445">
        <v>0</v>
      </c>
      <c r="EM24" s="446"/>
      <c r="EN24" s="446"/>
      <c r="EO24" s="190" t="e">
        <f>VLOOKUP(EN24,Daten!$M$2:$N$18,2,FALSE)</f>
        <v>#N/A</v>
      </c>
      <c r="EP24" s="447" t="s">
        <v>511</v>
      </c>
      <c r="EQ24" s="445">
        <v>0</v>
      </c>
      <c r="ER24" s="446" t="s">
        <v>511</v>
      </c>
      <c r="ES24" s="446" t="s">
        <v>117</v>
      </c>
      <c r="ET24" s="191" t="str">
        <f>VLOOKUP(ES24,Daten!$M$2:$N$18,2,FALSE)</f>
        <v>entfällt</v>
      </c>
      <c r="EU24" s="447" t="s">
        <v>511</v>
      </c>
      <c r="EV24" s="445">
        <v>0</v>
      </c>
      <c r="EW24" s="446" t="s">
        <v>511</v>
      </c>
      <c r="EX24" s="446" t="s">
        <v>117</v>
      </c>
      <c r="EY24" s="191" t="str">
        <f>VLOOKUP(EX24,Daten!$M$2:$N$18,2,FALSE)</f>
        <v>entfällt</v>
      </c>
      <c r="EZ24" s="192"/>
      <c r="FA24" s="102"/>
      <c r="FB24" s="147" t="str">
        <f t="shared" si="62"/>
        <v/>
      </c>
      <c r="FC24" s="102"/>
      <c r="FD24" s="147" t="str">
        <f t="shared" si="63"/>
        <v/>
      </c>
      <c r="FE24" s="102"/>
      <c r="FF24" s="147" t="str">
        <f t="shared" si="64"/>
        <v/>
      </c>
      <c r="FG24" s="193"/>
      <c r="FH24" s="450"/>
      <c r="FI24" s="421"/>
      <c r="FJ24" s="449"/>
      <c r="FK24" s="421"/>
      <c r="FL24" s="421"/>
      <c r="FM24" s="421"/>
      <c r="FN24" s="450"/>
      <c r="FO24" s="421"/>
      <c r="FP24" s="451"/>
      <c r="FQ24" s="421"/>
      <c r="FR24" s="421"/>
      <c r="FS24" s="451"/>
      <c r="FT24" s="421"/>
      <c r="FU24" s="421"/>
      <c r="FV24" s="287"/>
      <c r="FW24" s="452"/>
      <c r="FX24" s="285" t="str">
        <f t="shared" si="65"/>
        <v/>
      </c>
      <c r="FY24" s="285" t="str">
        <f t="shared" si="66"/>
        <v/>
      </c>
      <c r="FZ24" s="147" t="str">
        <f t="shared" si="67"/>
        <v/>
      </c>
      <c r="GA24" s="453"/>
      <c r="GB24" s="200"/>
      <c r="GC24" s="102"/>
      <c r="GD24" s="102"/>
      <c r="GE24" s="102"/>
      <c r="GF24" s="102"/>
      <c r="GG24" s="102"/>
      <c r="GH24" s="102"/>
      <c r="GI24" s="102"/>
      <c r="GJ24" s="102"/>
      <c r="GK24" s="102"/>
      <c r="GL24" s="102"/>
      <c r="GM24" s="102"/>
      <c r="GN24" s="102"/>
    </row>
    <row r="25" spans="1:196" ht="30" customHeight="1" x14ac:dyDescent="0.3">
      <c r="A25" s="420" t="s">
        <v>2599</v>
      </c>
      <c r="B25" s="102"/>
      <c r="C25" s="102"/>
      <c r="D25" s="15"/>
      <c r="E25" s="157" t="str">
        <f t="shared" si="38"/>
        <v>2</v>
      </c>
      <c r="F25" s="167"/>
      <c r="G25" s="157" t="str">
        <f>IF(AJ25&lt;&gt;"",HYPERLINK(CONCATENATE("BAG\",AJ25,".pdf"),"2"),HYPERLINK(CONCATENATE("BAG\BAG_",A25,".pdf"),"2"))</f>
        <v>2</v>
      </c>
      <c r="H25" s="169" t="str">
        <f t="shared" si="39"/>
        <v/>
      </c>
      <c r="I25" s="169" t="str">
        <f t="shared" si="40"/>
        <v/>
      </c>
      <c r="J25" s="169" t="str">
        <f t="shared" si="41"/>
        <v/>
      </c>
      <c r="K25" s="169" t="str">
        <f t="shared" si="42"/>
        <v/>
      </c>
      <c r="L25" s="169" t="str">
        <f t="shared" si="43"/>
        <v/>
      </c>
      <c r="M25" s="169" t="str">
        <f t="shared" si="44"/>
        <v/>
      </c>
      <c r="N25" s="169" t="str">
        <f t="shared" si="45"/>
        <v/>
      </c>
      <c r="O25" s="169" t="str">
        <f t="shared" si="46"/>
        <v/>
      </c>
      <c r="P25" s="169" t="str">
        <f t="shared" si="47"/>
        <v/>
      </c>
      <c r="Q25" s="169" t="str">
        <f t="shared" si="48"/>
        <v/>
      </c>
      <c r="R25" s="169" t="str">
        <f t="shared" si="49"/>
        <v/>
      </c>
      <c r="S25" s="12"/>
      <c r="T25" s="12"/>
      <c r="U25" s="196"/>
      <c r="V25" s="465" t="str">
        <f t="shared" si="50"/>
        <v>y</v>
      </c>
      <c r="W25" s="300"/>
      <c r="X25" s="316"/>
      <c r="Y25" s="315"/>
      <c r="Z25" s="316"/>
      <c r="AA25" s="315"/>
      <c r="AB25" s="316"/>
      <c r="AC25" s="315"/>
      <c r="AD25" s="316"/>
      <c r="AE25" s="315"/>
      <c r="AF25" s="316"/>
      <c r="AG25" s="300"/>
      <c r="AH25" s="404"/>
      <c r="AI25" s="13"/>
      <c r="AJ25" s="291"/>
      <c r="AK25" s="291"/>
      <c r="AL25" s="291"/>
      <c r="AM25" s="291"/>
      <c r="AN25" s="439" t="str">
        <f t="shared" si="51"/>
        <v>2</v>
      </c>
      <c r="AO25" s="295"/>
      <c r="AP25" s="300"/>
      <c r="AQ25" s="225"/>
      <c r="AR25" s="13"/>
      <c r="AS25" s="13"/>
      <c r="AT25" s="154"/>
      <c r="AU25" s="440" t="str">
        <f t="shared" si="52"/>
        <v/>
      </c>
      <c r="AV25" s="440" t="str">
        <f t="shared" si="53"/>
        <v/>
      </c>
      <c r="AW25" s="405"/>
      <c r="AX25" s="339"/>
      <c r="AY25" s="441" t="str">
        <f>IFERROR(VLOOKUP($AX25,Zusammenlagerung!$A$3:$AA$28,2,FALSE),"")</f>
        <v/>
      </c>
      <c r="AZ25" s="441" t="str">
        <f>IFERROR(VLOOKUP($AX25,Zusammenlagerung!$A$3:$AA$28,3,FALSE),"")</f>
        <v/>
      </c>
      <c r="BA25" s="441" t="str">
        <f>IFERROR(VLOOKUP($AX25,Zusammenlagerung!$A$3:$AA$28,4,FALSE),"")</f>
        <v/>
      </c>
      <c r="BB25" s="441" t="str">
        <f>IFERROR(VLOOKUP($AX25,Zusammenlagerung!$A$3:$AA$28,5,FALSE),"")</f>
        <v/>
      </c>
      <c r="BC25" s="441" t="str">
        <f>IFERROR(VLOOKUP($AX25,Zusammenlagerung!$A$3:$AA$28,6,FALSE),"")</f>
        <v/>
      </c>
      <c r="BD25" s="441" t="str">
        <f>IFERROR(VLOOKUP($AX25,Zusammenlagerung!$A$3:$AA$28,7,FALSE),"")</f>
        <v/>
      </c>
      <c r="BE25" s="441" t="str">
        <f>IFERROR(VLOOKUP($AX25,Zusammenlagerung!$A$3:$AA$28,8,FALSE),"")</f>
        <v/>
      </c>
      <c r="BF25" s="441" t="str">
        <f>IFERROR(VLOOKUP($AX25,Zusammenlagerung!$A$3:$AA$28,9,FALSE),"")</f>
        <v/>
      </c>
      <c r="BG25" s="441" t="str">
        <f>IFERROR(VLOOKUP($AX25,Zusammenlagerung!$A$3:$AA$28,10,FALSE),"")</f>
        <v/>
      </c>
      <c r="BH25" s="441" t="str">
        <f>IFERROR(VLOOKUP($AX25,Zusammenlagerung!$A$3:$AA$28,11,FALSE),"")</f>
        <v/>
      </c>
      <c r="BI25" s="441" t="str">
        <f>IFERROR(VLOOKUP($AX25,Zusammenlagerung!$A$3:$AA$28,12,FALSE),"")</f>
        <v/>
      </c>
      <c r="BJ25" s="441" t="str">
        <f>IFERROR(VLOOKUP($AX25,Zusammenlagerung!$A$3:$AA$28,13,FALSE),"")</f>
        <v/>
      </c>
      <c r="BK25" s="441" t="str">
        <f>IFERROR(VLOOKUP($AX25,Zusammenlagerung!$A$3:$AA$28,14,FALSE),"")</f>
        <v/>
      </c>
      <c r="BL25" s="441" t="str">
        <f>IFERROR(VLOOKUP($AX25,Zusammenlagerung!$A$3:$AA$28,15,FALSE),"")</f>
        <v/>
      </c>
      <c r="BM25" s="441" t="str">
        <f>IFERROR(VLOOKUP($AX25,Zusammenlagerung!$A$3:$AA$28,16,FALSE),"")</f>
        <v/>
      </c>
      <c r="BN25" s="441" t="str">
        <f>IFERROR(VLOOKUP($AX25,Zusammenlagerung!$A$3:$AA$28,17,FALSE),"")</f>
        <v/>
      </c>
      <c r="BO25" s="441" t="str">
        <f>IFERROR(VLOOKUP($AX25,Zusammenlagerung!$A$3:$AA$28,18,FALSE),"")</f>
        <v/>
      </c>
      <c r="BP25" s="441" t="str">
        <f>IFERROR(VLOOKUP($AX25,Zusammenlagerung!$A$3:$AA$28,19,FALSE),"")</f>
        <v/>
      </c>
      <c r="BQ25" s="441" t="str">
        <f>IFERROR(VLOOKUP($AX25,Zusammenlagerung!$A$3:$AA$28,20,FALSE),"")</f>
        <v/>
      </c>
      <c r="BR25" s="441" t="str">
        <f>IFERROR(VLOOKUP($AX25,Zusammenlagerung!$A$3:$AA$28,21,FALSE),"")</f>
        <v/>
      </c>
      <c r="BS25" s="442"/>
      <c r="BT25" s="441" t="str">
        <f>IFERROR(VLOOKUP($AX25,Zusammenlagerung!$A$3:$AA$28,23,FALSE),"")</f>
        <v/>
      </c>
      <c r="BU25" s="441" t="str">
        <f>IFERROR(VLOOKUP($AX25,Zusammenlagerung!$A$3:$AA$28,24,FALSE),"")</f>
        <v/>
      </c>
      <c r="BV25" s="441" t="str">
        <f>IFERROR(VLOOKUP($AX25,Zusammenlagerung!$A$3:$AA$28,25,FALSE),"")</f>
        <v/>
      </c>
      <c r="BW25" s="441" t="str">
        <f>IFERROR(VLOOKUP($AX25,Zusammenlagerung!$A$3:$AA$28,26,FALSE),"")</f>
        <v/>
      </c>
      <c r="BX25" s="441" t="str">
        <f>IFERROR(VLOOKUP($AX25,Zusammenlagerung!$A$3:$AA$28,27,FALSE),"")</f>
        <v/>
      </c>
      <c r="BY25" s="443" t="str">
        <f t="shared" si="54"/>
        <v/>
      </c>
      <c r="BZ25" s="197"/>
      <c r="CA25" s="102"/>
      <c r="CB25" s="12"/>
      <c r="CC25" s="12"/>
      <c r="CD25" s="12"/>
      <c r="CE25" s="12"/>
      <c r="CF25" s="12"/>
      <c r="CG25" s="12"/>
      <c r="CH25" s="12"/>
      <c r="CI25" s="12"/>
      <c r="CJ25" s="12"/>
      <c r="CK25" s="12"/>
      <c r="CL25" s="348"/>
      <c r="CM25" s="348"/>
      <c r="CN25" s="349"/>
      <c r="CO25" s="162" t="s">
        <v>3186</v>
      </c>
      <c r="CP25" s="462"/>
      <c r="CQ25" s="12"/>
      <c r="CR25" s="168"/>
      <c r="CS25" s="154"/>
      <c r="CT25" s="198"/>
      <c r="CU25" s="12"/>
      <c r="CV25" s="12"/>
      <c r="CW25" s="12"/>
      <c r="CX25" s="444" t="e">
        <f t="array" ref="CX25">INDEX(Einatmen!$A$21:$A$26,MATCH(CV25&amp;CW25,Einatmen!$C$21:$C$26&amp;Einatmen!$B$21:$B$26,0))</f>
        <v>#N/A</v>
      </c>
      <c r="CY25" s="12"/>
      <c r="CZ25" s="444" t="e">
        <f t="array" ref="CZ25">INDEX(Einatmen!$A$38:$A$49,MATCH(CV25&amp;CY25,Einatmen!$C$38:$C$49&amp;Einatmen!$B$38:$B$49,0))</f>
        <v>#N/A</v>
      </c>
      <c r="DA25" s="444" t="e">
        <f t="array" ref="DA25">INDEX(Einatmen!$D$52:$D$159,MATCH(CU25&amp;CX25&amp;CZ25&amp;CV25,Einatmen!$A$52:$A$159&amp;Einatmen!$B$52:$B$159&amp;Einatmen!$C$52:$C$159&amp;Einatmen!$E$52:$E$159,0))</f>
        <v>#N/A</v>
      </c>
      <c r="DB25" s="12"/>
      <c r="DC25" s="353" t="str">
        <f t="shared" si="55"/>
        <v/>
      </c>
      <c r="DD25" s="147" t="str">
        <f>IFERROR(VLOOKUP(DB25,Schutzleitfäden!$A$3:$C$46,3,FALSE),"")</f>
        <v/>
      </c>
      <c r="DE25" s="199"/>
      <c r="DF25" s="12"/>
      <c r="DG25" s="12"/>
      <c r="DH25" s="444" t="str">
        <f>IF(DG25=Haut!$A$12,Haut!$B$12,(IF(DG25=Haut!$A$13,Haut!$B$13,"")))</f>
        <v/>
      </c>
      <c r="DI25" s="12"/>
      <c r="DJ25" s="444" t="str">
        <f>IF(DI25=Haut!$A$18,Haut!$C$18,(IF(DI25=Haut!$A$19,Haut!$C$19,"")))</f>
        <v/>
      </c>
      <c r="DK25" s="444" t="e">
        <f t="array" ref="DK25">INDEX(Haut!$D$22:$D$45,MATCH(DF25&amp;DH25&amp;DJ25,Haut!$A$22:$A$45&amp;Haut!$B$22:$B$45&amp;Haut!$C$22:$C$45,0))</f>
        <v>#N/A</v>
      </c>
      <c r="DL25" s="444" t="str">
        <f>IF(ISNA(DK25),"",(IF(DK25=Haut!$D$49,Haut!$E$49,(IF(DK25=Haut!$D$50,Haut!$E$50,(IF(DK25=Haut!$D$51,Haut!$E$51,(IF(DK25=Haut!$D$52,Haut!$E$52,(IF(DK25=Haut!$D$53,Haut!$E$53,"")))))))))))</f>
        <v/>
      </c>
      <c r="DM25" s="353" t="str">
        <f t="shared" si="56"/>
        <v/>
      </c>
      <c r="DN25" s="147" t="str">
        <f>IFERROR(VLOOKUP(DL25,Schutzleitfäden!$A$3:$C$46,3,FALSE),"")</f>
        <v/>
      </c>
      <c r="DO25" s="324"/>
      <c r="DP25" s="194"/>
      <c r="DQ25" s="444">
        <f t="shared" si="57"/>
        <v>0</v>
      </c>
      <c r="DR25" s="444">
        <f t="shared" si="58"/>
        <v>0</v>
      </c>
      <c r="DS25" s="444" t="e">
        <f t="array" ref="DS25">INDEX(Brand_EX!$A$15:$A$20,MATCH(DQ25&amp;DR25,Brand_EX!$C$15:$C$20&amp;Brand_EX!$B$15:$B$20,0))</f>
        <v>#N/A</v>
      </c>
      <c r="DT25" s="444">
        <f t="shared" si="59"/>
        <v>0</v>
      </c>
      <c r="DU25" s="444" t="e">
        <f t="array" ref="DU25">INDEX(Brand_EX!$A$31:$A$41,MATCH(DQ25&amp;DT25,Brand_EX!$C$31:$C$41&amp;Brand_EX!$B$31:$B$41,0))</f>
        <v>#N/A</v>
      </c>
      <c r="DV25" s="444" t="e">
        <f t="array" ref="DV25">INDEX(Brand_EX!$D$44:$D$133,MATCH(DP25&amp;DS25&amp;DU25&amp;DQ25,Brand_EX!$A$44:$A$133&amp;Brand_EX!$B$44:$B$133&amp;Brand_EX!$C$44:$C$133&amp;Brand_EX!$E$44:$E$133,0))</f>
        <v>#N/A</v>
      </c>
      <c r="DW25" s="12"/>
      <c r="DX25" s="354" t="str">
        <f t="shared" si="60"/>
        <v/>
      </c>
      <c r="DY25" s="147" t="str">
        <f>IFERROR(VLOOKUP(DW25,Schutzleitfäden!$A$3:$C$46,3,FALSE),"")</f>
        <v/>
      </c>
      <c r="DZ25" s="200"/>
      <c r="EA25" s="102"/>
      <c r="EB25" s="12"/>
      <c r="EC25" s="12"/>
      <c r="ED25" s="102"/>
      <c r="EE25" s="338"/>
      <c r="EF25" s="13"/>
      <c r="EG25" s="13"/>
      <c r="EH25" s="13"/>
      <c r="EI25" s="448"/>
      <c r="EJ25" s="437" t="str">
        <f t="shared" si="61"/>
        <v>nein</v>
      </c>
      <c r="EK25" s="300"/>
      <c r="EL25" s="445">
        <v>0</v>
      </c>
      <c r="EM25" s="446"/>
      <c r="EN25" s="446"/>
      <c r="EO25" s="190" t="e">
        <f>VLOOKUP(EN25,Daten!$M$2:$N$18,2,FALSE)</f>
        <v>#N/A</v>
      </c>
      <c r="EP25" s="447" t="s">
        <v>511</v>
      </c>
      <c r="EQ25" s="445">
        <v>0</v>
      </c>
      <c r="ER25" s="446" t="s">
        <v>511</v>
      </c>
      <c r="ES25" s="446" t="s">
        <v>117</v>
      </c>
      <c r="ET25" s="191" t="str">
        <f>VLOOKUP(ES25,Daten!$M$2:$N$18,2,FALSE)</f>
        <v>entfällt</v>
      </c>
      <c r="EU25" s="447" t="s">
        <v>511</v>
      </c>
      <c r="EV25" s="445">
        <v>0</v>
      </c>
      <c r="EW25" s="446" t="s">
        <v>511</v>
      </c>
      <c r="EX25" s="446" t="s">
        <v>117</v>
      </c>
      <c r="EY25" s="191" t="str">
        <f>VLOOKUP(EX25,Daten!$M$2:$N$18,2,FALSE)</f>
        <v>entfällt</v>
      </c>
      <c r="EZ25" s="192"/>
      <c r="FA25" s="102"/>
      <c r="FB25" s="147" t="str">
        <f t="shared" si="62"/>
        <v/>
      </c>
      <c r="FC25" s="102"/>
      <c r="FD25" s="147" t="str">
        <f t="shared" si="63"/>
        <v/>
      </c>
      <c r="FE25" s="102"/>
      <c r="FF25" s="147" t="str">
        <f t="shared" si="64"/>
        <v/>
      </c>
      <c r="FG25" s="193"/>
      <c r="FH25" s="450"/>
      <c r="FI25" s="421"/>
      <c r="FJ25" s="449"/>
      <c r="FK25" s="421"/>
      <c r="FL25" s="421"/>
      <c r="FM25" s="421"/>
      <c r="FN25" s="450"/>
      <c r="FO25" s="421"/>
      <c r="FP25" s="451"/>
      <c r="FQ25" s="421"/>
      <c r="FR25" s="421"/>
      <c r="FS25" s="451"/>
      <c r="FT25" s="421"/>
      <c r="FU25" s="421"/>
      <c r="FV25" s="287"/>
      <c r="FW25" s="452"/>
      <c r="FX25" s="285" t="str">
        <f t="shared" si="65"/>
        <v/>
      </c>
      <c r="FY25" s="285" t="str">
        <f t="shared" si="66"/>
        <v/>
      </c>
      <c r="FZ25" s="147" t="str">
        <f t="shared" si="67"/>
        <v/>
      </c>
      <c r="GA25" s="453"/>
      <c r="GB25" s="200"/>
      <c r="GC25" s="102"/>
      <c r="GD25" s="102"/>
      <c r="GE25" s="102"/>
      <c r="GF25" s="102"/>
      <c r="GG25" s="102"/>
      <c r="GH25" s="102"/>
      <c r="GI25" s="102"/>
      <c r="GJ25" s="102"/>
      <c r="GK25" s="102"/>
      <c r="GL25" s="102"/>
      <c r="GM25" s="102"/>
      <c r="GN25" s="102"/>
    </row>
    <row r="26" spans="1:196" ht="30" customHeight="1" x14ac:dyDescent="0.3">
      <c r="A26" s="420" t="s">
        <v>843</v>
      </c>
      <c r="B26" s="102"/>
      <c r="C26" s="102"/>
      <c r="D26" s="15"/>
      <c r="E26" s="157" t="str">
        <f t="shared" si="38"/>
        <v>2</v>
      </c>
      <c r="F26" s="167"/>
      <c r="G26" s="157" t="str">
        <f>IF(AJ26&lt;&gt;"",HYPERLINK(CONCATENATE("BAG\",AJ26,".pdf"),"2"),HYPERLINK(CONCATENATE("BAG\BAG_",A26,".pdf"),"2"))</f>
        <v>2</v>
      </c>
      <c r="H26" s="169" t="str">
        <f t="shared" si="39"/>
        <v/>
      </c>
      <c r="I26" s="169" t="str">
        <f t="shared" si="40"/>
        <v/>
      </c>
      <c r="J26" s="169" t="str">
        <f t="shared" si="41"/>
        <v/>
      </c>
      <c r="K26" s="169" t="str">
        <f t="shared" si="42"/>
        <v/>
      </c>
      <c r="L26" s="169" t="str">
        <f t="shared" si="43"/>
        <v/>
      </c>
      <c r="M26" s="169" t="str">
        <f t="shared" si="44"/>
        <v/>
      </c>
      <c r="N26" s="169" t="str">
        <f t="shared" si="45"/>
        <v/>
      </c>
      <c r="O26" s="169" t="str">
        <f t="shared" si="46"/>
        <v/>
      </c>
      <c r="P26" s="169" t="str">
        <f t="shared" si="47"/>
        <v/>
      </c>
      <c r="Q26" s="169" t="str">
        <f t="shared" si="48"/>
        <v/>
      </c>
      <c r="R26" s="169" t="str">
        <f t="shared" si="49"/>
        <v/>
      </c>
      <c r="S26" s="12"/>
      <c r="T26" s="12"/>
      <c r="U26" s="196"/>
      <c r="V26" s="465" t="str">
        <f t="shared" si="50"/>
        <v>y</v>
      </c>
      <c r="W26" s="300"/>
      <c r="X26" s="316"/>
      <c r="Y26" s="315"/>
      <c r="Z26" s="316"/>
      <c r="AA26" s="315"/>
      <c r="AB26" s="316"/>
      <c r="AC26" s="315"/>
      <c r="AD26" s="316"/>
      <c r="AE26" s="315"/>
      <c r="AF26" s="316"/>
      <c r="AG26" s="300"/>
      <c r="AH26" s="404"/>
      <c r="AI26" s="13"/>
      <c r="AJ26" s="291"/>
      <c r="AK26" s="291"/>
      <c r="AL26" s="291"/>
      <c r="AM26" s="291"/>
      <c r="AN26" s="439" t="str">
        <f t="shared" si="51"/>
        <v>2</v>
      </c>
      <c r="AO26" s="295"/>
      <c r="AP26" s="300"/>
      <c r="AQ26" s="225"/>
      <c r="AR26" s="13"/>
      <c r="AS26" s="13"/>
      <c r="AT26" s="154"/>
      <c r="AU26" s="440" t="str">
        <f t="shared" si="52"/>
        <v/>
      </c>
      <c r="AV26" s="440" t="str">
        <f t="shared" si="53"/>
        <v/>
      </c>
      <c r="AW26" s="405"/>
      <c r="AX26" s="339"/>
      <c r="AY26" s="441" t="str">
        <f>IFERROR(VLOOKUP($AX26,Zusammenlagerung!$A$3:$AA$28,2,FALSE),"")</f>
        <v/>
      </c>
      <c r="AZ26" s="441" t="str">
        <f>IFERROR(VLOOKUP($AX26,Zusammenlagerung!$A$3:$AA$28,3,FALSE),"")</f>
        <v/>
      </c>
      <c r="BA26" s="441" t="str">
        <f>IFERROR(VLOOKUP($AX26,Zusammenlagerung!$A$3:$AA$28,4,FALSE),"")</f>
        <v/>
      </c>
      <c r="BB26" s="441" t="str">
        <f>IFERROR(VLOOKUP($AX26,Zusammenlagerung!$A$3:$AA$28,5,FALSE),"")</f>
        <v/>
      </c>
      <c r="BC26" s="441" t="str">
        <f>IFERROR(VLOOKUP($AX26,Zusammenlagerung!$A$3:$AA$28,6,FALSE),"")</f>
        <v/>
      </c>
      <c r="BD26" s="441" t="str">
        <f>IFERROR(VLOOKUP($AX26,Zusammenlagerung!$A$3:$AA$28,7,FALSE),"")</f>
        <v/>
      </c>
      <c r="BE26" s="441" t="str">
        <f>IFERROR(VLOOKUP($AX26,Zusammenlagerung!$A$3:$AA$28,8,FALSE),"")</f>
        <v/>
      </c>
      <c r="BF26" s="441" t="str">
        <f>IFERROR(VLOOKUP($AX26,Zusammenlagerung!$A$3:$AA$28,9,FALSE),"")</f>
        <v/>
      </c>
      <c r="BG26" s="441" t="str">
        <f>IFERROR(VLOOKUP($AX26,Zusammenlagerung!$A$3:$AA$28,10,FALSE),"")</f>
        <v/>
      </c>
      <c r="BH26" s="441" t="str">
        <f>IFERROR(VLOOKUP($AX26,Zusammenlagerung!$A$3:$AA$28,11,FALSE),"")</f>
        <v/>
      </c>
      <c r="BI26" s="441" t="str">
        <f>IFERROR(VLOOKUP($AX26,Zusammenlagerung!$A$3:$AA$28,12,FALSE),"")</f>
        <v/>
      </c>
      <c r="BJ26" s="441" t="str">
        <f>IFERROR(VLOOKUP($AX26,Zusammenlagerung!$A$3:$AA$28,13,FALSE),"")</f>
        <v/>
      </c>
      <c r="BK26" s="441" t="str">
        <f>IFERROR(VLOOKUP($AX26,Zusammenlagerung!$A$3:$AA$28,14,FALSE),"")</f>
        <v/>
      </c>
      <c r="BL26" s="441" t="str">
        <f>IFERROR(VLOOKUP($AX26,Zusammenlagerung!$A$3:$AA$28,15,FALSE),"")</f>
        <v/>
      </c>
      <c r="BM26" s="441" t="str">
        <f>IFERROR(VLOOKUP($AX26,Zusammenlagerung!$A$3:$AA$28,16,FALSE),"")</f>
        <v/>
      </c>
      <c r="BN26" s="441" t="str">
        <f>IFERROR(VLOOKUP($AX26,Zusammenlagerung!$A$3:$AA$28,17,FALSE),"")</f>
        <v/>
      </c>
      <c r="BO26" s="441" t="str">
        <f>IFERROR(VLOOKUP($AX26,Zusammenlagerung!$A$3:$AA$28,18,FALSE),"")</f>
        <v/>
      </c>
      <c r="BP26" s="441" t="str">
        <f>IFERROR(VLOOKUP($AX26,Zusammenlagerung!$A$3:$AA$28,19,FALSE),"")</f>
        <v/>
      </c>
      <c r="BQ26" s="441" t="str">
        <f>IFERROR(VLOOKUP($AX26,Zusammenlagerung!$A$3:$AA$28,20,FALSE),"")</f>
        <v/>
      </c>
      <c r="BR26" s="441" t="str">
        <f>IFERROR(VLOOKUP($AX26,Zusammenlagerung!$A$3:$AA$28,21,FALSE),"")</f>
        <v/>
      </c>
      <c r="BS26" s="442"/>
      <c r="BT26" s="441" t="str">
        <f>IFERROR(VLOOKUP($AX26,Zusammenlagerung!$A$3:$AA$28,23,FALSE),"")</f>
        <v/>
      </c>
      <c r="BU26" s="441" t="str">
        <f>IFERROR(VLOOKUP($AX26,Zusammenlagerung!$A$3:$AA$28,24,FALSE),"")</f>
        <v/>
      </c>
      <c r="BV26" s="441" t="str">
        <f>IFERROR(VLOOKUP($AX26,Zusammenlagerung!$A$3:$AA$28,25,FALSE),"")</f>
        <v/>
      </c>
      <c r="BW26" s="441" t="str">
        <f>IFERROR(VLOOKUP($AX26,Zusammenlagerung!$A$3:$AA$28,26,FALSE),"")</f>
        <v/>
      </c>
      <c r="BX26" s="441" t="str">
        <f>IFERROR(VLOOKUP($AX26,Zusammenlagerung!$A$3:$AA$28,27,FALSE),"")</f>
        <v/>
      </c>
      <c r="BY26" s="443" t="str">
        <f t="shared" si="54"/>
        <v/>
      </c>
      <c r="BZ26" s="197"/>
      <c r="CA26" s="102"/>
      <c r="CB26" s="12"/>
      <c r="CC26" s="12"/>
      <c r="CD26" s="12"/>
      <c r="CE26" s="12"/>
      <c r="CF26" s="12"/>
      <c r="CG26" s="12"/>
      <c r="CH26" s="12"/>
      <c r="CI26" s="12"/>
      <c r="CJ26" s="12"/>
      <c r="CK26" s="12"/>
      <c r="CL26" s="348"/>
      <c r="CM26" s="348"/>
      <c r="CN26" s="349"/>
      <c r="CO26" s="162" t="s">
        <v>3186</v>
      </c>
      <c r="CP26" s="462"/>
      <c r="CQ26" s="12"/>
      <c r="CR26" s="168"/>
      <c r="CS26" s="154"/>
      <c r="CT26" s="198"/>
      <c r="CU26" s="12"/>
      <c r="CV26" s="12"/>
      <c r="CW26" s="12"/>
      <c r="CX26" s="444" t="e">
        <f t="array" ref="CX26">INDEX(Einatmen!$A$21:$A$26,MATCH(CV26&amp;CW26,Einatmen!$C$21:$C$26&amp;Einatmen!$B$21:$B$26,0))</f>
        <v>#N/A</v>
      </c>
      <c r="CY26" s="12"/>
      <c r="CZ26" s="444" t="e">
        <f t="array" ref="CZ26">INDEX(Einatmen!$A$38:$A$49,MATCH(CV26&amp;CY26,Einatmen!$C$38:$C$49&amp;Einatmen!$B$38:$B$49,0))</f>
        <v>#N/A</v>
      </c>
      <c r="DA26" s="444" t="e">
        <f t="array" ref="DA26">INDEX(Einatmen!$D$52:$D$159,MATCH(CU26&amp;CX26&amp;CZ26&amp;CV26,Einatmen!$A$52:$A$159&amp;Einatmen!$B$52:$B$159&amp;Einatmen!$C$52:$C$159&amp;Einatmen!$E$52:$E$159,0))</f>
        <v>#N/A</v>
      </c>
      <c r="DB26" s="12"/>
      <c r="DC26" s="353" t="str">
        <f t="shared" si="55"/>
        <v/>
      </c>
      <c r="DD26" s="147" t="str">
        <f>IFERROR(VLOOKUP(DB26,Schutzleitfäden!$A$3:$C$46,3,FALSE),"")</f>
        <v/>
      </c>
      <c r="DE26" s="199"/>
      <c r="DF26" s="12"/>
      <c r="DG26" s="12"/>
      <c r="DH26" s="444" t="str">
        <f>IF(DG26=Haut!$A$12,Haut!$B$12,(IF(DG26=Haut!$A$13,Haut!$B$13,"")))</f>
        <v/>
      </c>
      <c r="DI26" s="12"/>
      <c r="DJ26" s="444" t="str">
        <f>IF(DI26=Haut!$A$18,Haut!$C$18,(IF(DI26=Haut!$A$19,Haut!$C$19,"")))</f>
        <v/>
      </c>
      <c r="DK26" s="444" t="e">
        <f t="array" ref="DK26">INDEX(Haut!$D$22:$D$45,MATCH(DF26&amp;DH26&amp;DJ26,Haut!$A$22:$A$45&amp;Haut!$B$22:$B$45&amp;Haut!$C$22:$C$45,0))</f>
        <v>#N/A</v>
      </c>
      <c r="DL26" s="444" t="str">
        <f>IF(ISNA(DK26),"",(IF(DK26=Haut!$D$49,Haut!$E$49,(IF(DK26=Haut!$D$50,Haut!$E$50,(IF(DK26=Haut!$D$51,Haut!$E$51,(IF(DK26=Haut!$D$52,Haut!$E$52,(IF(DK26=Haut!$D$53,Haut!$E$53,"")))))))))))</f>
        <v/>
      </c>
      <c r="DM26" s="353" t="str">
        <f t="shared" si="56"/>
        <v/>
      </c>
      <c r="DN26" s="147" t="str">
        <f>IFERROR(VLOOKUP(DL26,Schutzleitfäden!$A$3:$C$46,3,FALSE),"")</f>
        <v/>
      </c>
      <c r="DO26" s="324"/>
      <c r="DP26" s="194"/>
      <c r="DQ26" s="444">
        <f t="shared" si="57"/>
        <v>0</v>
      </c>
      <c r="DR26" s="444">
        <f t="shared" si="58"/>
        <v>0</v>
      </c>
      <c r="DS26" s="444" t="e">
        <f t="array" ref="DS26">INDEX(Brand_EX!$A$15:$A$20,MATCH(DQ26&amp;DR26,Brand_EX!$C$15:$C$20&amp;Brand_EX!$B$15:$B$20,0))</f>
        <v>#N/A</v>
      </c>
      <c r="DT26" s="444">
        <f t="shared" si="59"/>
        <v>0</v>
      </c>
      <c r="DU26" s="444" t="e">
        <f t="array" ref="DU26">INDEX(Brand_EX!$A$31:$A$41,MATCH(DQ26&amp;DT26,Brand_EX!$C$31:$C$41&amp;Brand_EX!$B$31:$B$41,0))</f>
        <v>#N/A</v>
      </c>
      <c r="DV26" s="444" t="e">
        <f t="array" ref="DV26">INDEX(Brand_EX!$D$44:$D$133,MATCH(DP26&amp;DS26&amp;DU26&amp;DQ26,Brand_EX!$A$44:$A$133&amp;Brand_EX!$B$44:$B$133&amp;Brand_EX!$C$44:$C$133&amp;Brand_EX!$E$44:$E$133,0))</f>
        <v>#N/A</v>
      </c>
      <c r="DW26" s="12"/>
      <c r="DX26" s="354" t="str">
        <f t="shared" si="60"/>
        <v/>
      </c>
      <c r="DY26" s="147" t="str">
        <f>IFERROR(VLOOKUP(DW26,Schutzleitfäden!$A$3:$C$46,3,FALSE),"")</f>
        <v/>
      </c>
      <c r="DZ26" s="200"/>
      <c r="EA26" s="102"/>
      <c r="EB26" s="12"/>
      <c r="EC26" s="12"/>
      <c r="ED26" s="102"/>
      <c r="EE26" s="338"/>
      <c r="EF26" s="13"/>
      <c r="EG26" s="13"/>
      <c r="EH26" s="13"/>
      <c r="EI26" s="448"/>
      <c r="EJ26" s="437" t="str">
        <f t="shared" si="61"/>
        <v>nein</v>
      </c>
      <c r="EK26" s="300"/>
      <c r="EL26" s="445">
        <v>0</v>
      </c>
      <c r="EM26" s="446"/>
      <c r="EN26" s="446"/>
      <c r="EO26" s="190" t="e">
        <f>VLOOKUP(EN26,Daten!$M$2:$N$18,2,FALSE)</f>
        <v>#N/A</v>
      </c>
      <c r="EP26" s="447" t="s">
        <v>511</v>
      </c>
      <c r="EQ26" s="445">
        <v>0</v>
      </c>
      <c r="ER26" s="446" t="s">
        <v>511</v>
      </c>
      <c r="ES26" s="446" t="s">
        <v>117</v>
      </c>
      <c r="ET26" s="191" t="str">
        <f>VLOOKUP(ES26,Daten!$M$2:$N$18,2,FALSE)</f>
        <v>entfällt</v>
      </c>
      <c r="EU26" s="447" t="s">
        <v>511</v>
      </c>
      <c r="EV26" s="445">
        <v>0</v>
      </c>
      <c r="EW26" s="446" t="s">
        <v>511</v>
      </c>
      <c r="EX26" s="446" t="s">
        <v>117</v>
      </c>
      <c r="EY26" s="191" t="str">
        <f>VLOOKUP(EX26,Daten!$M$2:$N$18,2,FALSE)</f>
        <v>entfällt</v>
      </c>
      <c r="EZ26" s="192"/>
      <c r="FA26" s="102"/>
      <c r="FB26" s="147" t="str">
        <f t="shared" si="62"/>
        <v/>
      </c>
      <c r="FC26" s="102"/>
      <c r="FD26" s="147" t="str">
        <f t="shared" si="63"/>
        <v/>
      </c>
      <c r="FE26" s="102"/>
      <c r="FF26" s="147" t="str">
        <f t="shared" si="64"/>
        <v/>
      </c>
      <c r="FG26" s="193"/>
      <c r="FH26" s="450"/>
      <c r="FI26" s="421"/>
      <c r="FJ26" s="449"/>
      <c r="FK26" s="421"/>
      <c r="FL26" s="421"/>
      <c r="FM26" s="421"/>
      <c r="FN26" s="450"/>
      <c r="FO26" s="421"/>
      <c r="FP26" s="451"/>
      <c r="FQ26" s="421"/>
      <c r="FR26" s="421"/>
      <c r="FS26" s="451"/>
      <c r="FT26" s="421"/>
      <c r="FU26" s="421"/>
      <c r="FV26" s="287"/>
      <c r="FW26" s="452"/>
      <c r="FX26" s="285" t="str">
        <f t="shared" si="65"/>
        <v/>
      </c>
      <c r="FY26" s="285" t="str">
        <f t="shared" si="66"/>
        <v/>
      </c>
      <c r="FZ26" s="147" t="str">
        <f t="shared" si="67"/>
        <v/>
      </c>
      <c r="GA26" s="453"/>
      <c r="GB26" s="200"/>
      <c r="GC26" s="102"/>
      <c r="GD26" s="102"/>
      <c r="GE26" s="102"/>
      <c r="GF26" s="102"/>
      <c r="GG26" s="102"/>
      <c r="GH26" s="102"/>
      <c r="GI26" s="102"/>
      <c r="GJ26" s="102"/>
      <c r="GK26" s="102"/>
      <c r="GL26" s="102"/>
      <c r="GM26" s="102"/>
      <c r="GN26" s="102"/>
    </row>
    <row r="27" spans="1:196" ht="30" customHeight="1" x14ac:dyDescent="0.3">
      <c r="A27" s="420" t="s">
        <v>7564</v>
      </c>
      <c r="B27" s="102"/>
      <c r="C27" s="102"/>
      <c r="D27" s="15"/>
      <c r="E27" s="157" t="str">
        <f t="shared" si="38"/>
        <v>2</v>
      </c>
      <c r="F27" s="167"/>
      <c r="G27" s="157" t="str">
        <f>IF(AJ27&lt;&gt;"",HYPERLINK(CONCATENATE("BAG\",AJ27,".pdf"),"2"),HYPERLINK(CONCATENATE("BAG\BAG_",A27,".pdf"),"2"))</f>
        <v>2</v>
      </c>
      <c r="H27" s="169" t="str">
        <f t="shared" si="39"/>
        <v/>
      </c>
      <c r="I27" s="169" t="str">
        <f t="shared" si="40"/>
        <v/>
      </c>
      <c r="J27" s="169" t="str">
        <f t="shared" si="41"/>
        <v/>
      </c>
      <c r="K27" s="169" t="str">
        <f t="shared" si="42"/>
        <v/>
      </c>
      <c r="L27" s="169" t="str">
        <f t="shared" si="43"/>
        <v/>
      </c>
      <c r="M27" s="169" t="str">
        <f t="shared" si="44"/>
        <v/>
      </c>
      <c r="N27" s="169" t="str">
        <f t="shared" si="45"/>
        <v/>
      </c>
      <c r="O27" s="169" t="str">
        <f t="shared" si="46"/>
        <v/>
      </c>
      <c r="P27" s="169" t="str">
        <f t="shared" si="47"/>
        <v/>
      </c>
      <c r="Q27" s="169" t="str">
        <f t="shared" si="48"/>
        <v/>
      </c>
      <c r="R27" s="169" t="str">
        <f t="shared" si="49"/>
        <v/>
      </c>
      <c r="S27" s="12"/>
      <c r="T27" s="12"/>
      <c r="U27" s="196"/>
      <c r="V27" s="465" t="str">
        <f t="shared" si="50"/>
        <v>y</v>
      </c>
      <c r="W27" s="300"/>
      <c r="X27" s="316"/>
      <c r="Y27" s="315"/>
      <c r="Z27" s="316"/>
      <c r="AA27" s="315"/>
      <c r="AB27" s="316"/>
      <c r="AC27" s="315"/>
      <c r="AD27" s="316"/>
      <c r="AE27" s="315"/>
      <c r="AF27" s="316"/>
      <c r="AG27" s="300"/>
      <c r="AH27" s="404"/>
      <c r="AI27" s="13"/>
      <c r="AJ27" s="291"/>
      <c r="AK27" s="291"/>
      <c r="AL27" s="291"/>
      <c r="AM27" s="291"/>
      <c r="AN27" s="439" t="str">
        <f t="shared" si="51"/>
        <v>2</v>
      </c>
      <c r="AO27" s="295"/>
      <c r="AP27" s="300"/>
      <c r="AQ27" s="225"/>
      <c r="AR27" s="13"/>
      <c r="AS27" s="13"/>
      <c r="AT27" s="154"/>
      <c r="AU27" s="440" t="str">
        <f t="shared" si="52"/>
        <v/>
      </c>
      <c r="AV27" s="440" t="str">
        <f t="shared" si="53"/>
        <v/>
      </c>
      <c r="AW27" s="405"/>
      <c r="AX27" s="339"/>
      <c r="AY27" s="441" t="str">
        <f>IFERROR(VLOOKUP($AX27,Zusammenlagerung!$A$3:$AA$28,2,FALSE),"")</f>
        <v/>
      </c>
      <c r="AZ27" s="441" t="str">
        <f>IFERROR(VLOOKUP($AX27,Zusammenlagerung!$A$3:$AA$28,3,FALSE),"")</f>
        <v/>
      </c>
      <c r="BA27" s="441" t="str">
        <f>IFERROR(VLOOKUP($AX27,Zusammenlagerung!$A$3:$AA$28,4,FALSE),"")</f>
        <v/>
      </c>
      <c r="BB27" s="441" t="str">
        <f>IFERROR(VLOOKUP($AX27,Zusammenlagerung!$A$3:$AA$28,5,FALSE),"")</f>
        <v/>
      </c>
      <c r="BC27" s="441" t="str">
        <f>IFERROR(VLOOKUP($AX27,Zusammenlagerung!$A$3:$AA$28,6,FALSE),"")</f>
        <v/>
      </c>
      <c r="BD27" s="441" t="str">
        <f>IFERROR(VLOOKUP($AX27,Zusammenlagerung!$A$3:$AA$28,7,FALSE),"")</f>
        <v/>
      </c>
      <c r="BE27" s="441" t="str">
        <f>IFERROR(VLOOKUP($AX27,Zusammenlagerung!$A$3:$AA$28,8,FALSE),"")</f>
        <v/>
      </c>
      <c r="BF27" s="441" t="str">
        <f>IFERROR(VLOOKUP($AX27,Zusammenlagerung!$A$3:$AA$28,9,FALSE),"")</f>
        <v/>
      </c>
      <c r="BG27" s="441" t="str">
        <f>IFERROR(VLOOKUP($AX27,Zusammenlagerung!$A$3:$AA$28,10,FALSE),"")</f>
        <v/>
      </c>
      <c r="BH27" s="441" t="str">
        <f>IFERROR(VLOOKUP($AX27,Zusammenlagerung!$A$3:$AA$28,11,FALSE),"")</f>
        <v/>
      </c>
      <c r="BI27" s="441" t="str">
        <f>IFERROR(VLOOKUP($AX27,Zusammenlagerung!$A$3:$AA$28,12,FALSE),"")</f>
        <v/>
      </c>
      <c r="BJ27" s="441" t="str">
        <f>IFERROR(VLOOKUP($AX27,Zusammenlagerung!$A$3:$AA$28,13,FALSE),"")</f>
        <v/>
      </c>
      <c r="BK27" s="441" t="str">
        <f>IFERROR(VLOOKUP($AX27,Zusammenlagerung!$A$3:$AA$28,14,FALSE),"")</f>
        <v/>
      </c>
      <c r="BL27" s="441" t="str">
        <f>IFERROR(VLOOKUP($AX27,Zusammenlagerung!$A$3:$AA$28,15,FALSE),"")</f>
        <v/>
      </c>
      <c r="BM27" s="441" t="str">
        <f>IFERROR(VLOOKUP($AX27,Zusammenlagerung!$A$3:$AA$28,16,FALSE),"")</f>
        <v/>
      </c>
      <c r="BN27" s="441" t="str">
        <f>IFERROR(VLOOKUP($AX27,Zusammenlagerung!$A$3:$AA$28,17,FALSE),"")</f>
        <v/>
      </c>
      <c r="BO27" s="441" t="str">
        <f>IFERROR(VLOOKUP($AX27,Zusammenlagerung!$A$3:$AA$28,18,FALSE),"")</f>
        <v/>
      </c>
      <c r="BP27" s="441" t="str">
        <f>IFERROR(VLOOKUP($AX27,Zusammenlagerung!$A$3:$AA$28,19,FALSE),"")</f>
        <v/>
      </c>
      <c r="BQ27" s="441" t="str">
        <f>IFERROR(VLOOKUP($AX27,Zusammenlagerung!$A$3:$AA$28,20,FALSE),"")</f>
        <v/>
      </c>
      <c r="BR27" s="441" t="str">
        <f>IFERROR(VLOOKUP($AX27,Zusammenlagerung!$A$3:$AA$28,21,FALSE),"")</f>
        <v/>
      </c>
      <c r="BS27" s="442"/>
      <c r="BT27" s="441" t="str">
        <f>IFERROR(VLOOKUP($AX27,Zusammenlagerung!$A$3:$AA$28,23,FALSE),"")</f>
        <v/>
      </c>
      <c r="BU27" s="441" t="str">
        <f>IFERROR(VLOOKUP($AX27,Zusammenlagerung!$A$3:$AA$28,24,FALSE),"")</f>
        <v/>
      </c>
      <c r="BV27" s="441" t="str">
        <f>IFERROR(VLOOKUP($AX27,Zusammenlagerung!$A$3:$AA$28,25,FALSE),"")</f>
        <v/>
      </c>
      <c r="BW27" s="441" t="str">
        <f>IFERROR(VLOOKUP($AX27,Zusammenlagerung!$A$3:$AA$28,26,FALSE),"")</f>
        <v/>
      </c>
      <c r="BX27" s="441" t="str">
        <f>IFERROR(VLOOKUP($AX27,Zusammenlagerung!$A$3:$AA$28,27,FALSE),"")</f>
        <v/>
      </c>
      <c r="BY27" s="443" t="str">
        <f t="shared" si="54"/>
        <v/>
      </c>
      <c r="BZ27" s="197"/>
      <c r="CA27" s="102"/>
      <c r="CB27" s="12"/>
      <c r="CC27" s="12"/>
      <c r="CD27" s="12"/>
      <c r="CE27" s="12"/>
      <c r="CF27" s="12"/>
      <c r="CG27" s="12"/>
      <c r="CH27" s="12"/>
      <c r="CI27" s="12"/>
      <c r="CJ27" s="12"/>
      <c r="CK27" s="12"/>
      <c r="CL27" s="348"/>
      <c r="CM27" s="348"/>
      <c r="CN27" s="349"/>
      <c r="CO27" s="162" t="s">
        <v>3186</v>
      </c>
      <c r="CP27" s="462"/>
      <c r="CQ27" s="12"/>
      <c r="CR27" s="168"/>
      <c r="CS27" s="154"/>
      <c r="CT27" s="198"/>
      <c r="CU27" s="12"/>
      <c r="CV27" s="12"/>
      <c r="CW27" s="12"/>
      <c r="CX27" s="444" t="e">
        <f t="array" ref="CX27">INDEX(Einatmen!$A$21:$A$26,MATCH(CV27&amp;CW27,Einatmen!$C$21:$C$26&amp;Einatmen!$B$21:$B$26,0))</f>
        <v>#N/A</v>
      </c>
      <c r="CY27" s="12"/>
      <c r="CZ27" s="444" t="e">
        <f t="array" ref="CZ27">INDEX(Einatmen!$A$38:$A$49,MATCH(CV27&amp;CY27,Einatmen!$C$38:$C$49&amp;Einatmen!$B$38:$B$49,0))</f>
        <v>#N/A</v>
      </c>
      <c r="DA27" s="444" t="e">
        <f t="array" ref="DA27">INDEX(Einatmen!$D$52:$D$159,MATCH(CU27&amp;CX27&amp;CZ27&amp;CV27,Einatmen!$A$52:$A$159&amp;Einatmen!$B$52:$B$159&amp;Einatmen!$C$52:$C$159&amp;Einatmen!$E$52:$E$159,0))</f>
        <v>#N/A</v>
      </c>
      <c r="DB27" s="12"/>
      <c r="DC27" s="353" t="str">
        <f t="shared" si="55"/>
        <v/>
      </c>
      <c r="DD27" s="147" t="str">
        <f>IFERROR(VLOOKUP(DB27,Schutzleitfäden!$A$3:$C$46,3,FALSE),"")</f>
        <v/>
      </c>
      <c r="DE27" s="199"/>
      <c r="DF27" s="12"/>
      <c r="DG27" s="12"/>
      <c r="DH27" s="444" t="str">
        <f>IF(DG27=Haut!$A$12,Haut!$B$12,(IF(DG27=Haut!$A$13,Haut!$B$13,"")))</f>
        <v/>
      </c>
      <c r="DI27" s="12"/>
      <c r="DJ27" s="444" t="str">
        <f>IF(DI27=Haut!$A$18,Haut!$C$18,(IF(DI27=Haut!$A$19,Haut!$C$19,"")))</f>
        <v/>
      </c>
      <c r="DK27" s="444" t="e">
        <f t="array" ref="DK27">INDEX(Haut!$D$22:$D$45,MATCH(DF27&amp;DH27&amp;DJ27,Haut!$A$22:$A$45&amp;Haut!$B$22:$B$45&amp;Haut!$C$22:$C$45,0))</f>
        <v>#N/A</v>
      </c>
      <c r="DL27" s="444" t="str">
        <f>IF(ISNA(DK27),"",(IF(DK27=Haut!$D$49,Haut!$E$49,(IF(DK27=Haut!$D$50,Haut!$E$50,(IF(DK27=Haut!$D$51,Haut!$E$51,(IF(DK27=Haut!$D$52,Haut!$E$52,(IF(DK27=Haut!$D$53,Haut!$E$53,"")))))))))))</f>
        <v/>
      </c>
      <c r="DM27" s="353" t="str">
        <f t="shared" si="56"/>
        <v/>
      </c>
      <c r="DN27" s="147" t="str">
        <f>IFERROR(VLOOKUP(DL27,Schutzleitfäden!$A$3:$C$46,3,FALSE),"")</f>
        <v/>
      </c>
      <c r="DO27" s="324"/>
      <c r="DP27" s="194"/>
      <c r="DQ27" s="444">
        <f t="shared" si="57"/>
        <v>0</v>
      </c>
      <c r="DR27" s="444">
        <f t="shared" si="58"/>
        <v>0</v>
      </c>
      <c r="DS27" s="444" t="e">
        <f t="array" ref="DS27">INDEX(Brand_EX!$A$15:$A$20,MATCH(DQ27&amp;DR27,Brand_EX!$C$15:$C$20&amp;Brand_EX!$B$15:$B$20,0))</f>
        <v>#N/A</v>
      </c>
      <c r="DT27" s="444">
        <f t="shared" si="59"/>
        <v>0</v>
      </c>
      <c r="DU27" s="444" t="e">
        <f t="array" ref="DU27">INDEX(Brand_EX!$A$31:$A$41,MATCH(DQ27&amp;DT27,Brand_EX!$C$31:$C$41&amp;Brand_EX!$B$31:$B$41,0))</f>
        <v>#N/A</v>
      </c>
      <c r="DV27" s="444" t="e">
        <f t="array" ref="DV27">INDEX(Brand_EX!$D$44:$D$133,MATCH(DP27&amp;DS27&amp;DU27&amp;DQ27,Brand_EX!$A$44:$A$133&amp;Brand_EX!$B$44:$B$133&amp;Brand_EX!$C$44:$C$133&amp;Brand_EX!$E$44:$E$133,0))</f>
        <v>#N/A</v>
      </c>
      <c r="DW27" s="12"/>
      <c r="DX27" s="354" t="str">
        <f t="shared" si="60"/>
        <v/>
      </c>
      <c r="DY27" s="147" t="str">
        <f>IFERROR(VLOOKUP(DW27,Schutzleitfäden!$A$3:$C$46,3,FALSE),"")</f>
        <v/>
      </c>
      <c r="DZ27" s="200"/>
      <c r="EA27" s="102"/>
      <c r="EB27" s="12"/>
      <c r="EC27" s="12"/>
      <c r="ED27" s="102"/>
      <c r="EE27" s="338"/>
      <c r="EF27" s="13"/>
      <c r="EG27" s="13"/>
      <c r="EH27" s="13"/>
      <c r="EI27" s="448"/>
      <c r="EJ27" s="437" t="str">
        <f t="shared" si="61"/>
        <v>nein</v>
      </c>
      <c r="EK27" s="300"/>
      <c r="EL27" s="445">
        <v>0</v>
      </c>
      <c r="EM27" s="446"/>
      <c r="EN27" s="446"/>
      <c r="EO27" s="190" t="e">
        <f>VLOOKUP(EN27,Daten!$M$2:$N$18,2,FALSE)</f>
        <v>#N/A</v>
      </c>
      <c r="EP27" s="447" t="s">
        <v>511</v>
      </c>
      <c r="EQ27" s="445">
        <v>0</v>
      </c>
      <c r="ER27" s="446" t="s">
        <v>511</v>
      </c>
      <c r="ES27" s="446" t="s">
        <v>117</v>
      </c>
      <c r="ET27" s="191" t="str">
        <f>VLOOKUP(ES27,Daten!$M$2:$N$18,2,FALSE)</f>
        <v>entfällt</v>
      </c>
      <c r="EU27" s="447" t="s">
        <v>511</v>
      </c>
      <c r="EV27" s="445">
        <v>0</v>
      </c>
      <c r="EW27" s="446" t="s">
        <v>511</v>
      </c>
      <c r="EX27" s="446" t="s">
        <v>117</v>
      </c>
      <c r="EY27" s="191" t="str">
        <f>VLOOKUP(EX27,Daten!$M$2:$N$18,2,FALSE)</f>
        <v>entfällt</v>
      </c>
      <c r="EZ27" s="192"/>
      <c r="FA27" s="102"/>
      <c r="FB27" s="147" t="str">
        <f t="shared" si="62"/>
        <v/>
      </c>
      <c r="FC27" s="102"/>
      <c r="FD27" s="147" t="str">
        <f t="shared" si="63"/>
        <v/>
      </c>
      <c r="FE27" s="102"/>
      <c r="FF27" s="147" t="str">
        <f t="shared" si="64"/>
        <v/>
      </c>
      <c r="FG27" s="193"/>
      <c r="FH27" s="450"/>
      <c r="FI27" s="421"/>
      <c r="FJ27" s="449"/>
      <c r="FK27" s="421"/>
      <c r="FL27" s="421"/>
      <c r="FM27" s="421"/>
      <c r="FN27" s="450"/>
      <c r="FO27" s="421"/>
      <c r="FP27" s="451"/>
      <c r="FQ27" s="421"/>
      <c r="FR27" s="421"/>
      <c r="FS27" s="451"/>
      <c r="FT27" s="421"/>
      <c r="FU27" s="421"/>
      <c r="FV27" s="287"/>
      <c r="FW27" s="452"/>
      <c r="FX27" s="285" t="str">
        <f t="shared" si="65"/>
        <v/>
      </c>
      <c r="FY27" s="285" t="str">
        <f t="shared" si="66"/>
        <v/>
      </c>
      <c r="FZ27" s="147" t="str">
        <f t="shared" si="67"/>
        <v/>
      </c>
      <c r="GA27" s="453"/>
      <c r="GB27" s="200"/>
      <c r="GC27" s="102"/>
      <c r="GD27" s="102"/>
      <c r="GE27" s="102"/>
      <c r="GF27" s="102"/>
      <c r="GG27" s="102"/>
      <c r="GH27" s="102"/>
      <c r="GI27" s="102"/>
      <c r="GJ27" s="102"/>
      <c r="GK27" s="102"/>
      <c r="GL27" s="102"/>
      <c r="GM27" s="102"/>
      <c r="GN27" s="102"/>
    </row>
    <row r="28" spans="1:196" ht="30" customHeight="1" x14ac:dyDescent="0.3">
      <c r="A28" s="420" t="s">
        <v>7564</v>
      </c>
      <c r="B28" s="102"/>
      <c r="C28" s="102"/>
      <c r="D28" s="15"/>
      <c r="E28" s="157" t="str">
        <f t="shared" si="38"/>
        <v>2</v>
      </c>
      <c r="F28" s="167"/>
      <c r="G28" s="157" t="str">
        <f>IF(AJ28&lt;&gt;"",HYPERLINK(CONCATENATE("BAG\",AJ28,".pdf"),"2"),HYPERLINK(CONCATENATE("BAG\BAG_",A28,".pdf"),"2"))</f>
        <v>2</v>
      </c>
      <c r="H28" s="169" t="str">
        <f t="shared" si="39"/>
        <v/>
      </c>
      <c r="I28" s="169" t="str">
        <f t="shared" si="40"/>
        <v/>
      </c>
      <c r="J28" s="169" t="str">
        <f t="shared" si="41"/>
        <v/>
      </c>
      <c r="K28" s="169" t="str">
        <f t="shared" si="42"/>
        <v/>
      </c>
      <c r="L28" s="169" t="str">
        <f t="shared" si="43"/>
        <v/>
      </c>
      <c r="M28" s="169" t="str">
        <f t="shared" si="44"/>
        <v/>
      </c>
      <c r="N28" s="169" t="str">
        <f t="shared" si="45"/>
        <v/>
      </c>
      <c r="O28" s="169" t="str">
        <f t="shared" si="46"/>
        <v/>
      </c>
      <c r="P28" s="169" t="str">
        <f t="shared" si="47"/>
        <v/>
      </c>
      <c r="Q28" s="169" t="str">
        <f t="shared" si="48"/>
        <v/>
      </c>
      <c r="R28" s="169" t="str">
        <f t="shared" si="49"/>
        <v/>
      </c>
      <c r="S28" s="12"/>
      <c r="T28" s="12"/>
      <c r="U28" s="196"/>
      <c r="V28" s="465" t="str">
        <f t="shared" si="50"/>
        <v>y</v>
      </c>
      <c r="W28" s="300"/>
      <c r="X28" s="316"/>
      <c r="Y28" s="315"/>
      <c r="Z28" s="316"/>
      <c r="AA28" s="315"/>
      <c r="AB28" s="316"/>
      <c r="AC28" s="315"/>
      <c r="AD28" s="316"/>
      <c r="AE28" s="315"/>
      <c r="AF28" s="316"/>
      <c r="AG28" s="300"/>
      <c r="AH28" s="404"/>
      <c r="AI28" s="13"/>
      <c r="AJ28" s="291"/>
      <c r="AK28" s="291"/>
      <c r="AL28" s="291"/>
      <c r="AM28" s="291"/>
      <c r="AN28" s="439" t="str">
        <f t="shared" si="51"/>
        <v>2</v>
      </c>
      <c r="AO28" s="295"/>
      <c r="AP28" s="300"/>
      <c r="AQ28" s="225"/>
      <c r="AR28" s="13"/>
      <c r="AS28" s="13"/>
      <c r="AT28" s="154"/>
      <c r="AU28" s="440" t="str">
        <f t="shared" si="52"/>
        <v/>
      </c>
      <c r="AV28" s="440" t="str">
        <f t="shared" si="53"/>
        <v/>
      </c>
      <c r="AW28" s="405"/>
      <c r="AX28" s="339"/>
      <c r="AY28" s="441" t="str">
        <f>IFERROR(VLOOKUP($AX28,Zusammenlagerung!$A$3:$AA$28,2,FALSE),"")</f>
        <v/>
      </c>
      <c r="AZ28" s="441" t="str">
        <f>IFERROR(VLOOKUP($AX28,Zusammenlagerung!$A$3:$AA$28,3,FALSE),"")</f>
        <v/>
      </c>
      <c r="BA28" s="441" t="str">
        <f>IFERROR(VLOOKUP($AX28,Zusammenlagerung!$A$3:$AA$28,4,FALSE),"")</f>
        <v/>
      </c>
      <c r="BB28" s="441" t="str">
        <f>IFERROR(VLOOKUP($AX28,Zusammenlagerung!$A$3:$AA$28,5,FALSE),"")</f>
        <v/>
      </c>
      <c r="BC28" s="441" t="str">
        <f>IFERROR(VLOOKUP($AX28,Zusammenlagerung!$A$3:$AA$28,6,FALSE),"")</f>
        <v/>
      </c>
      <c r="BD28" s="441" t="str">
        <f>IFERROR(VLOOKUP($AX28,Zusammenlagerung!$A$3:$AA$28,7,FALSE),"")</f>
        <v/>
      </c>
      <c r="BE28" s="441" t="str">
        <f>IFERROR(VLOOKUP($AX28,Zusammenlagerung!$A$3:$AA$28,8,FALSE),"")</f>
        <v/>
      </c>
      <c r="BF28" s="441" t="str">
        <f>IFERROR(VLOOKUP($AX28,Zusammenlagerung!$A$3:$AA$28,9,FALSE),"")</f>
        <v/>
      </c>
      <c r="BG28" s="441" t="str">
        <f>IFERROR(VLOOKUP($AX28,Zusammenlagerung!$A$3:$AA$28,10,FALSE),"")</f>
        <v/>
      </c>
      <c r="BH28" s="441" t="str">
        <f>IFERROR(VLOOKUP($AX28,Zusammenlagerung!$A$3:$AA$28,11,FALSE),"")</f>
        <v/>
      </c>
      <c r="BI28" s="441" t="str">
        <f>IFERROR(VLOOKUP($AX28,Zusammenlagerung!$A$3:$AA$28,12,FALSE),"")</f>
        <v/>
      </c>
      <c r="BJ28" s="441" t="str">
        <f>IFERROR(VLOOKUP($AX28,Zusammenlagerung!$A$3:$AA$28,13,FALSE),"")</f>
        <v/>
      </c>
      <c r="BK28" s="441" t="str">
        <f>IFERROR(VLOOKUP($AX28,Zusammenlagerung!$A$3:$AA$28,14,FALSE),"")</f>
        <v/>
      </c>
      <c r="BL28" s="441" t="str">
        <f>IFERROR(VLOOKUP($AX28,Zusammenlagerung!$A$3:$AA$28,15,FALSE),"")</f>
        <v/>
      </c>
      <c r="BM28" s="441" t="str">
        <f>IFERROR(VLOOKUP($AX28,Zusammenlagerung!$A$3:$AA$28,16,FALSE),"")</f>
        <v/>
      </c>
      <c r="BN28" s="441" t="str">
        <f>IFERROR(VLOOKUP($AX28,Zusammenlagerung!$A$3:$AA$28,17,FALSE),"")</f>
        <v/>
      </c>
      <c r="BO28" s="441" t="str">
        <f>IFERROR(VLOOKUP($AX28,Zusammenlagerung!$A$3:$AA$28,18,FALSE),"")</f>
        <v/>
      </c>
      <c r="BP28" s="441" t="str">
        <f>IFERROR(VLOOKUP($AX28,Zusammenlagerung!$A$3:$AA$28,19,FALSE),"")</f>
        <v/>
      </c>
      <c r="BQ28" s="441" t="str">
        <f>IFERROR(VLOOKUP($AX28,Zusammenlagerung!$A$3:$AA$28,20,FALSE),"")</f>
        <v/>
      </c>
      <c r="BR28" s="441" t="str">
        <f>IFERROR(VLOOKUP($AX28,Zusammenlagerung!$A$3:$AA$28,21,FALSE),"")</f>
        <v/>
      </c>
      <c r="BS28" s="442"/>
      <c r="BT28" s="441" t="str">
        <f>IFERROR(VLOOKUP($AX28,Zusammenlagerung!$A$3:$AA$28,23,FALSE),"")</f>
        <v/>
      </c>
      <c r="BU28" s="441" t="str">
        <f>IFERROR(VLOOKUP($AX28,Zusammenlagerung!$A$3:$AA$28,24,FALSE),"")</f>
        <v/>
      </c>
      <c r="BV28" s="441" t="str">
        <f>IFERROR(VLOOKUP($AX28,Zusammenlagerung!$A$3:$AA$28,25,FALSE),"")</f>
        <v/>
      </c>
      <c r="BW28" s="441" t="str">
        <f>IFERROR(VLOOKUP($AX28,Zusammenlagerung!$A$3:$AA$28,26,FALSE),"")</f>
        <v/>
      </c>
      <c r="BX28" s="441" t="str">
        <f>IFERROR(VLOOKUP($AX28,Zusammenlagerung!$A$3:$AA$28,27,FALSE),"")</f>
        <v/>
      </c>
      <c r="BY28" s="443" t="str">
        <f t="shared" si="54"/>
        <v/>
      </c>
      <c r="BZ28" s="197"/>
      <c r="CA28" s="102"/>
      <c r="CB28" s="12"/>
      <c r="CC28" s="12"/>
      <c r="CD28" s="12"/>
      <c r="CE28" s="12"/>
      <c r="CF28" s="12"/>
      <c r="CG28" s="12"/>
      <c r="CH28" s="12"/>
      <c r="CI28" s="12"/>
      <c r="CJ28" s="12"/>
      <c r="CK28" s="12"/>
      <c r="CL28" s="348"/>
      <c r="CM28" s="348"/>
      <c r="CN28" s="349"/>
      <c r="CO28" s="162" t="s">
        <v>3186</v>
      </c>
      <c r="CP28" s="462"/>
      <c r="CQ28" s="12"/>
      <c r="CR28" s="168"/>
      <c r="CS28" s="154"/>
      <c r="CT28" s="198"/>
      <c r="CU28" s="12"/>
      <c r="CV28" s="12"/>
      <c r="CW28" s="12"/>
      <c r="CX28" s="444" t="e">
        <f t="array" ref="CX28">INDEX(Einatmen!$A$21:$A$26,MATCH(CV28&amp;CW28,Einatmen!$C$21:$C$26&amp;Einatmen!$B$21:$B$26,0))</f>
        <v>#N/A</v>
      </c>
      <c r="CY28" s="12"/>
      <c r="CZ28" s="444" t="e">
        <f t="array" ref="CZ28">INDEX(Einatmen!$A$38:$A$49,MATCH(CV28&amp;CY28,Einatmen!$C$38:$C$49&amp;Einatmen!$B$38:$B$49,0))</f>
        <v>#N/A</v>
      </c>
      <c r="DA28" s="444" t="e">
        <f t="array" ref="DA28">INDEX(Einatmen!$D$52:$D$159,MATCH(CU28&amp;CX28&amp;CZ28&amp;CV28,Einatmen!$A$52:$A$159&amp;Einatmen!$B$52:$B$159&amp;Einatmen!$C$52:$C$159&amp;Einatmen!$E$52:$E$159,0))</f>
        <v>#N/A</v>
      </c>
      <c r="DB28" s="12"/>
      <c r="DC28" s="353" t="str">
        <f t="shared" si="55"/>
        <v/>
      </c>
      <c r="DD28" s="147" t="str">
        <f>IFERROR(VLOOKUP(DB28,Schutzleitfäden!$A$3:$C$46,3,FALSE),"")</f>
        <v/>
      </c>
      <c r="DE28" s="199"/>
      <c r="DF28" s="12"/>
      <c r="DG28" s="12"/>
      <c r="DH28" s="444" t="str">
        <f>IF(DG28=Haut!$A$12,Haut!$B$12,(IF(DG28=Haut!$A$13,Haut!$B$13,"")))</f>
        <v/>
      </c>
      <c r="DI28" s="12"/>
      <c r="DJ28" s="444" t="str">
        <f>IF(DI28=Haut!$A$18,Haut!$C$18,(IF(DI28=Haut!$A$19,Haut!$C$19,"")))</f>
        <v/>
      </c>
      <c r="DK28" s="444" t="e">
        <f t="array" ref="DK28">INDEX(Haut!$D$22:$D$45,MATCH(DF28&amp;DH28&amp;DJ28,Haut!$A$22:$A$45&amp;Haut!$B$22:$B$45&amp;Haut!$C$22:$C$45,0))</f>
        <v>#N/A</v>
      </c>
      <c r="DL28" s="444" t="str">
        <f>IF(ISNA(DK28),"",(IF(DK28=Haut!$D$49,Haut!$E$49,(IF(DK28=Haut!$D$50,Haut!$E$50,(IF(DK28=Haut!$D$51,Haut!$E$51,(IF(DK28=Haut!$D$52,Haut!$E$52,(IF(DK28=Haut!$D$53,Haut!$E$53,"")))))))))))</f>
        <v/>
      </c>
      <c r="DM28" s="353" t="str">
        <f t="shared" si="56"/>
        <v/>
      </c>
      <c r="DN28" s="147" t="str">
        <f>IFERROR(VLOOKUP(DL28,Schutzleitfäden!$A$3:$C$46,3,FALSE),"")</f>
        <v/>
      </c>
      <c r="DO28" s="324"/>
      <c r="DP28" s="194"/>
      <c r="DQ28" s="444">
        <f t="shared" si="57"/>
        <v>0</v>
      </c>
      <c r="DR28" s="444">
        <f t="shared" si="58"/>
        <v>0</v>
      </c>
      <c r="DS28" s="444" t="e">
        <f t="array" ref="DS28">INDEX(Brand_EX!$A$15:$A$20,MATCH(DQ28&amp;DR28,Brand_EX!$C$15:$C$20&amp;Brand_EX!$B$15:$B$20,0))</f>
        <v>#N/A</v>
      </c>
      <c r="DT28" s="444">
        <f t="shared" si="59"/>
        <v>0</v>
      </c>
      <c r="DU28" s="444" t="e">
        <f t="array" ref="DU28">INDEX(Brand_EX!$A$31:$A$41,MATCH(DQ28&amp;DT28,Brand_EX!$C$31:$C$41&amp;Brand_EX!$B$31:$B$41,0))</f>
        <v>#N/A</v>
      </c>
      <c r="DV28" s="444" t="e">
        <f t="array" ref="DV28">INDEX(Brand_EX!$D$44:$D$133,MATCH(DP28&amp;DS28&amp;DU28&amp;DQ28,Brand_EX!$A$44:$A$133&amp;Brand_EX!$B$44:$B$133&amp;Brand_EX!$C$44:$C$133&amp;Brand_EX!$E$44:$E$133,0))</f>
        <v>#N/A</v>
      </c>
      <c r="DW28" s="12"/>
      <c r="DX28" s="354" t="str">
        <f t="shared" si="60"/>
        <v/>
      </c>
      <c r="DY28" s="147" t="str">
        <f>IFERROR(VLOOKUP(DW28,Schutzleitfäden!$A$3:$C$46,3,FALSE),"")</f>
        <v/>
      </c>
      <c r="DZ28" s="200"/>
      <c r="EA28" s="102"/>
      <c r="EB28" s="12"/>
      <c r="EC28" s="12"/>
      <c r="ED28" s="102"/>
      <c r="EE28" s="338"/>
      <c r="EF28" s="13"/>
      <c r="EG28" s="13"/>
      <c r="EH28" s="13"/>
      <c r="EI28" s="448"/>
      <c r="EJ28" s="437" t="str">
        <f t="shared" si="61"/>
        <v>nein</v>
      </c>
      <c r="EK28" s="300"/>
      <c r="EL28" s="445">
        <v>0</v>
      </c>
      <c r="EM28" s="446"/>
      <c r="EN28" s="446"/>
      <c r="EO28" s="190" t="e">
        <f>VLOOKUP(EN28,Daten!$M$2:$N$18,2,FALSE)</f>
        <v>#N/A</v>
      </c>
      <c r="EP28" s="447" t="s">
        <v>511</v>
      </c>
      <c r="EQ28" s="445">
        <v>0</v>
      </c>
      <c r="ER28" s="446" t="s">
        <v>511</v>
      </c>
      <c r="ES28" s="446" t="s">
        <v>117</v>
      </c>
      <c r="ET28" s="191" t="str">
        <f>VLOOKUP(ES28,Daten!$M$2:$N$18,2,FALSE)</f>
        <v>entfällt</v>
      </c>
      <c r="EU28" s="447" t="s">
        <v>511</v>
      </c>
      <c r="EV28" s="445">
        <v>0</v>
      </c>
      <c r="EW28" s="446" t="s">
        <v>511</v>
      </c>
      <c r="EX28" s="446" t="s">
        <v>117</v>
      </c>
      <c r="EY28" s="191" t="str">
        <f>VLOOKUP(EX28,Daten!$M$2:$N$18,2,FALSE)</f>
        <v>entfällt</v>
      </c>
      <c r="EZ28" s="192"/>
      <c r="FA28" s="102"/>
      <c r="FB28" s="147" t="str">
        <f t="shared" si="62"/>
        <v/>
      </c>
      <c r="FC28" s="102"/>
      <c r="FD28" s="147" t="str">
        <f t="shared" si="63"/>
        <v/>
      </c>
      <c r="FE28" s="102"/>
      <c r="FF28" s="147" t="str">
        <f t="shared" si="64"/>
        <v/>
      </c>
      <c r="FG28" s="193"/>
      <c r="FH28" s="450"/>
      <c r="FI28" s="421"/>
      <c r="FJ28" s="449"/>
      <c r="FK28" s="421"/>
      <c r="FL28" s="421"/>
      <c r="FM28" s="421"/>
      <c r="FN28" s="450"/>
      <c r="FO28" s="421"/>
      <c r="FP28" s="451"/>
      <c r="FQ28" s="421"/>
      <c r="FR28" s="421"/>
      <c r="FS28" s="451"/>
      <c r="FT28" s="421"/>
      <c r="FU28" s="421"/>
      <c r="FV28" s="287"/>
      <c r="FW28" s="452"/>
      <c r="FX28" s="285" t="str">
        <f t="shared" si="65"/>
        <v/>
      </c>
      <c r="FY28" s="285" t="str">
        <f t="shared" si="66"/>
        <v/>
      </c>
      <c r="FZ28" s="147" t="str">
        <f t="shared" si="67"/>
        <v/>
      </c>
      <c r="GA28" s="453"/>
      <c r="GB28" s="200"/>
      <c r="GC28" s="102"/>
      <c r="GD28" s="102"/>
      <c r="GE28" s="102"/>
      <c r="GF28" s="102"/>
      <c r="GG28" s="102"/>
      <c r="GH28" s="102"/>
      <c r="GI28" s="102"/>
      <c r="GJ28" s="102"/>
      <c r="GK28" s="102"/>
      <c r="GL28" s="102"/>
      <c r="GM28" s="102"/>
      <c r="GN28" s="102"/>
    </row>
  </sheetData>
  <sheetProtection formatColumns="0" selectLockedCells="1"/>
  <autoFilter ref="A7:GO20" xr:uid="{00000000-0001-0000-0000-000000000000}">
    <filterColumn colId="3" showButton="0"/>
    <filterColumn colId="5" showButton="0"/>
    <filterColumn colId="38" showButton="0"/>
  </autoFilter>
  <mergeCells count="27">
    <mergeCell ref="AM7:AN7"/>
    <mergeCell ref="AO1:AO6"/>
    <mergeCell ref="F7:G7"/>
    <mergeCell ref="X2:X7"/>
    <mergeCell ref="Y2:Y7"/>
    <mergeCell ref="Z2:Z7"/>
    <mergeCell ref="AA2:AA7"/>
    <mergeCell ref="AB2:AB7"/>
    <mergeCell ref="AD2:AD7"/>
    <mergeCell ref="AE2:AE7"/>
    <mergeCell ref="AF2:AF7"/>
    <mergeCell ref="AC2:AC7"/>
    <mergeCell ref="D7:E7"/>
    <mergeCell ref="U1:U6"/>
    <mergeCell ref="M2:N2"/>
    <mergeCell ref="M3:N3"/>
    <mergeCell ref="M4:N4"/>
    <mergeCell ref="DZ1:DZ6"/>
    <mergeCell ref="DE1:DE6"/>
    <mergeCell ref="CT1:CT6"/>
    <mergeCell ref="BZ1:BZ6"/>
    <mergeCell ref="GB1:GB6"/>
    <mergeCell ref="EZ1:EZ6"/>
    <mergeCell ref="EE1:EE6"/>
    <mergeCell ref="FG1:FG6"/>
    <mergeCell ref="FV1:FV6"/>
    <mergeCell ref="DO1:DO6"/>
  </mergeCells>
  <phoneticPr fontId="44" type="noConversion"/>
  <conditionalFormatting sqref="F8:F28 S8:S28 CQ8:CQ28 A8:D28">
    <cfRule type="expression" dxfId="27" priority="12">
      <formula>$T8="Archiv"</formula>
    </cfRule>
  </conditionalFormatting>
  <conditionalFormatting sqref="AY8:BX28">
    <cfRule type="cellIs" dxfId="26" priority="1" operator="equal">
      <formula>3</formula>
    </cfRule>
    <cfRule type="cellIs" dxfId="25" priority="2" operator="equal">
      <formula>2</formula>
    </cfRule>
    <cfRule type="cellIs" dxfId="24" priority="3" operator="equal">
      <formula>1</formula>
    </cfRule>
  </conditionalFormatting>
  <dataValidations count="49">
    <dataValidation allowBlank="1" showInputMessage="1" showErrorMessage="1" promptTitle="Physikalische Gefahren" prompt="Physikalische Gefahren (200er-Reihe)" sqref="CB7" xr:uid="{00000000-0002-0000-0000-000000000000}"/>
    <dataValidation allowBlank="1" showInputMessage="1" showErrorMessage="1" promptTitle="Gesundheitsgefahren" prompt="Gesundheitsgefahren (300er-Reihe)" sqref="CC7" xr:uid="{00000000-0002-0000-0000-000001000000}"/>
    <dataValidation allowBlank="1" showInputMessage="1" showErrorMessage="1" promptTitle="Umweltgefahren" prompt="Umweltgefahren (400er-Reihe)" sqref="CD7" xr:uid="{00000000-0002-0000-0000-000002000000}"/>
    <dataValidation allowBlank="1" showInputMessage="1" showErrorMessage="1" promptTitle="CMR" prompt="kanzerogen, mutagen und reproduktionstoxisch" sqref="EW7 ER7" xr:uid="{02D91030-086B-495C-944F-64910DBCBD50}"/>
    <dataValidation allowBlank="1" showInputMessage="1" showErrorMessage="1" promptTitle="LGK" prompt="Lagerklasse" sqref="AX7:BX7" xr:uid="{00000000-0002-0000-0000-000003000000}"/>
    <dataValidation allowBlank="1" showInputMessage="1" showErrorMessage="1" promptTitle="Wassergefährdungsklasse" prompt="nwg: nicht wassergefährdend_x000a_awg: allgemein wassergefährdend_x000a_WGK 1: schwach wassergefährdend_x000a_WGK 2: wassergefährdend_x000a_WGK 3: stark wassergefährdend" sqref="S7" xr:uid="{8833C71B-F6D9-4FA8-B928-6B46A312AA8C}"/>
    <dataValidation allowBlank="1" showInputMessage="1" showErrorMessage="1" promptTitle="Flammpunkt" prompt="Niedrigste Temperatur, bei der eine Flüssigkeit unter Normalbedingungen brennbares Gas oder brennbaren Dampf in solcher Menge abgibt, dass bei Kontakt der Dampfphase mit einer wirksamen Zündquelle sofort eine Flamme auftritt. " sqref="CL7" xr:uid="{6F7B3D98-80A6-45DA-BDB9-94AB961FFE35}"/>
    <dataValidation allowBlank="1" showInputMessage="1" showErrorMessage="1" promptTitle="Siedepunkt" prompt="Temperatur, bei der ein Phasenübergang von flüssiger Phase nach gasförmiger Phase ohne chemische Veränderung bei Normaldruck stattfindet." sqref="CM7" xr:uid="{FD49DD3D-BE75-41BF-9DA1-F202C0572FB9}"/>
    <dataValidation allowBlank="1" showInputMessage="1" showErrorMessage="1" promptTitle="CMR" prompt="(kanzerogen, mutagen und reproduktionstoxisch)_x000a_Kategorie 1A: aus Erfahrung beim Menschen nachgewiesen_x000a_Kategorie 1B: bei Tieren nachgewiesen, wird beim Menschen vermutet_x000a_Kategorie 2: es wird angenommen, dass es beim Menschen so ist" sqref="EM7" xr:uid="{34611C0F-D9E3-43FB-AEA9-EF2B4CCE965F}"/>
    <dataValidation allowBlank="1" showErrorMessage="1" sqref="BY7" xr:uid="{69A3005F-566B-499C-A6F0-0F07DDC7F1EF}"/>
    <dataValidation allowBlank="1" showInputMessage="1" showErrorMessage="1" promptTitle="Stoff / Gemisch" prompt="Ist das Produkt als Stoff oder als Gemisch eingestuft?" sqref="CQ7" xr:uid="{71FE435D-1132-4F5A-801C-541DF6DF04B1}"/>
    <dataValidation allowBlank="1" showInputMessage="1" showErrorMessage="1" promptTitle="vPvB" prompt="sehr persistent, sehr bioakkumulierbar" sqref="EI7" xr:uid="{0F691DCC-5887-4485-AF6C-8D7E0424F5E3}"/>
    <dataValidation allowBlank="1" showInputMessage="1" showErrorMessage="1" promptTitle="PBT" prompt="Persistent, Bioakkumlierbar, Giftig" sqref="EH7" xr:uid="{12C37890-8EC2-4A57-9C3B-5FD25657CB36}"/>
    <dataValidation type="list" allowBlank="1" showInputMessage="1" showErrorMessage="1" sqref="AX8:AX28" xr:uid="{00000000-0002-0000-0000-000010000000}">
      <formula1>LGK</formula1>
    </dataValidation>
    <dataValidation type="list" allowBlank="1" showInputMessage="1" showErrorMessage="1" sqref="S8:S28" xr:uid="{00000000-0002-0000-0000-00000F000000}">
      <formula1>WGK</formula1>
    </dataValidation>
    <dataValidation type="list" allowBlank="1" showInputMessage="1" showErrorMessage="1" sqref="CA8:CA28" xr:uid="{00000000-0002-0000-0000-000006000000}">
      <formula1>Kennzeichnung</formula1>
    </dataValidation>
    <dataValidation type="list" allowBlank="1" showInputMessage="1" showErrorMessage="1" sqref="T8:T28" xr:uid="{00000000-0002-0000-0000-000005000000}">
      <formula1>Status</formula1>
    </dataValidation>
    <dataValidation type="list" allowBlank="1" showInputMessage="1" showErrorMessage="1" sqref="DG8:DG28" xr:uid="{00000000-0002-0000-0000-000008000000}">
      <formula1>Haut_Wirkfläche</formula1>
    </dataValidation>
    <dataValidation type="list" allowBlank="1" showInputMessage="1" showErrorMessage="1" sqref="DI8:DI28" xr:uid="{00000000-0002-0000-0000-000009000000}">
      <formula1>Haut_Wirkdauer</formula1>
    </dataValidation>
    <dataValidation type="list" allowBlank="1" showInputMessage="1" showErrorMessage="1" sqref="DF8:DF28" xr:uid="{00000000-0002-0000-0000-00000A000000}">
      <formula1>GG_Haut</formula1>
    </dataValidation>
    <dataValidation type="list" allowBlank="1" showInputMessage="1" showErrorMessage="1" sqref="CU8:CU28" xr:uid="{00000000-0002-0000-0000-00000B000000}">
      <formula1>GG_Einatmen</formula1>
    </dataValidation>
    <dataValidation type="list" allowBlank="1" showInputMessage="1" showErrorMessage="1" sqref="DQ8:DQ28 CV8:CV28" xr:uid="{00000000-0002-0000-0000-00000C000000}">
      <formula1>Zustand</formula1>
    </dataValidation>
    <dataValidation type="list" allowBlank="1" showInputMessage="1" showErrorMessage="1" sqref="DW8:DW28 DB8:DB28" xr:uid="{00000000-0002-0000-0000-00000D000000}">
      <formula1>Schutzleitfaden_Auswahl</formula1>
    </dataValidation>
    <dataValidation type="list" allowBlank="1" showInputMessage="1" showErrorMessage="1" sqref="CR8:CR28" xr:uid="{C27CCF1D-E568-453E-B370-8E76938B066D}">
      <formula1>Zustand_alle</formula1>
    </dataValidation>
    <dataValidation type="list" allowBlank="1" showInputMessage="1" showErrorMessage="1" sqref="EX8:EX28 EN8:EN28 ES8:ES28" xr:uid="{15383896-7894-4ACC-8112-360B6E9E6B6C}">
      <formula1>CMR_H</formula1>
    </dataValidation>
    <dataValidation type="list" allowBlank="1" showInputMessage="1" showErrorMessage="1" sqref="ER8:ER28 EW8:EW28 EM8:EM28" xr:uid="{CE7F622D-F014-40ED-B592-F989CDFDD2E9}">
      <formula1>CMR</formula1>
    </dataValidation>
    <dataValidation type="list" allowBlank="1" showInputMessage="1" showErrorMessage="1" sqref="FS8:FS28" xr:uid="{E7A80AAD-992D-4A7A-A7B4-ECE2721DD38D}">
      <formula1>PSA_Atemschutz</formula1>
    </dataValidation>
    <dataValidation type="list" allowBlank="1" showInputMessage="1" showErrorMessage="1" sqref="FP8:FP28" xr:uid="{E6D6AA29-A776-4652-9740-4EB8D9FDFB8D}">
      <formula1>PSA_Körperschutz</formula1>
    </dataValidation>
    <dataValidation type="list" allowBlank="1" showInputMessage="1" showErrorMessage="1" sqref="FN8:FN28" xr:uid="{962E6EC3-04FA-4C7B-8218-418E7BACD2E4}">
      <formula1>PSA_Augenschutz</formula1>
    </dataValidation>
    <dataValidation type="list" allowBlank="1" showInputMessage="1" showErrorMessage="1" sqref="FH8:FH28" xr:uid="{74A8486C-A7FF-449E-AE1C-7A98A7171033}">
      <formula1>PSA_Handschutz</formula1>
    </dataValidation>
    <dataValidation type="list" allowBlank="1" showInputMessage="1" showErrorMessage="1" sqref="AP8:AP28" xr:uid="{7294788F-1DDE-4747-9432-6A8F1EACECDB}">
      <formula1>Gefahrstofflager</formula1>
    </dataValidation>
    <dataValidation type="list" allowBlank="1" showInputMessage="1" showErrorMessage="1" sqref="AS8:AS28" xr:uid="{D0E6EE74-7175-46F2-9ADA-F111A5E6FBAF}">
      <formula1>Mengeneinheit</formula1>
    </dataValidation>
    <dataValidation type="list" allowBlank="1" showInputMessage="1" showErrorMessage="1" sqref="AX8:AX28" xr:uid="{1F5B0D37-313D-43F1-9992-8798A8FEE85D}">
      <formula1>Verbrauch</formula1>
    </dataValidation>
    <dataValidation type="list" allowBlank="1" showInputMessage="1" showErrorMessage="1" sqref="AQ8:AQ28" xr:uid="{D42EF908-7A0B-4462-B269-023717587A7F}">
      <formula1>Gebindeart</formula1>
    </dataValidation>
    <dataValidation type="list" allowBlank="1" showInputMessage="1" showErrorMessage="1" sqref="DP8:DP28" xr:uid="{7DAEFB42-9818-4516-A24C-9DB7D39E70BD}">
      <formula1>Brand_EX_GG</formula1>
    </dataValidation>
    <dataValidation type="list" allowBlank="1" showInputMessage="1" showErrorMessage="1" sqref="CW8:CW28" xr:uid="{00000000-0002-0000-0000-000011000000}">
      <formula1>IF(CV8="Flüssigkeit",Einatmen_Mengengruppe,Einatmen_Mengengruppe2)</formula1>
    </dataValidation>
    <dataValidation type="list" allowBlank="1" showInputMessage="1" showErrorMessage="1" sqref="CY8:CY28" xr:uid="{00000000-0002-0000-0000-000012000000}">
      <formula1>IF(CV8="Flüssigkeit",Einatmen_Freisetzung1,Einatmen_Freisetzung2)</formula1>
    </dataValidation>
    <dataValidation type="list" allowBlank="1" showInputMessage="1" showErrorMessage="1" sqref="DT8:DT28" xr:uid="{AFEAA5A9-FF63-4F92-B1D3-F0EFBF88FAC5}">
      <formula1>IF(DQ8="Flüssigkeit",Brand_EX_Freisetzung1,Brand_EX_Freisetzung2)</formula1>
    </dataValidation>
    <dataValidation type="list" allowBlank="1" showInputMessage="1" showErrorMessage="1" sqref="DR8:DR28" xr:uid="{378DDCAA-6240-40D4-8DB7-111ED7080958}">
      <formula1>IF(DQ8="Flüssigkeit",Brand_EX_Mengengruppe,Brand_EX_Mengengruppe2)</formula1>
    </dataValidation>
    <dataValidation type="list" allowBlank="1" showInputMessage="1" showErrorMessage="1" sqref="EA8:EA28" xr:uid="{983DF832-AFDE-4D1E-88BB-07DDEC3E5E4B}">
      <formula1>sub_Ergebnis</formula1>
    </dataValidation>
    <dataValidation type="list" allowBlank="1" showInputMessage="1" showErrorMessage="1" sqref="FW8:FW28" xr:uid="{7BD90D07-54B4-4F12-81DB-FAA69F3FE8C6}">
      <formula1>Gefahrgut_UN</formula1>
    </dataValidation>
    <dataValidation type="list" allowBlank="1" showInputMessage="1" showErrorMessage="1" sqref="GA8:GA28" xr:uid="{E386EA26-A631-4950-88B6-CEC3BD665EF6}">
      <formula1>Gefahrgut_VG</formula1>
    </dataValidation>
    <dataValidation type="list" allowBlank="1" showInputMessage="1" showErrorMessage="1" sqref="AG8:AG28" xr:uid="{3C8181AA-230D-414B-80B0-369E9D561F89}">
      <formula1>Ansprechpartner</formula1>
    </dataValidation>
    <dataValidation type="list" allowBlank="1" showInputMessage="1" showErrorMessage="1" sqref="AH8:AH28" xr:uid="{6067C4BD-C1C7-42E5-B459-D79C2A2F15D9}">
      <formula1>geringe_Gefährdung</formula1>
    </dataValidation>
    <dataValidation type="list" allowBlank="1" showInputMessage="1" showErrorMessage="1" sqref="EG8:EG28" xr:uid="{F24DB681-AC50-40D9-9272-A13CA274A4E8}">
      <formula1>Vorsorge</formula1>
    </dataValidation>
    <dataValidation type="list" allowBlank="1" showInputMessage="1" showErrorMessage="1" sqref="EF8:EF28" xr:uid="{F49BC67B-C9D0-4082-8DF2-EA847570168C}">
      <formula1>Beschränkung</formula1>
    </dataValidation>
    <dataValidation type="list" allowBlank="1" showInputMessage="1" showErrorMessage="1" sqref="CQ8:CQ28" xr:uid="{853EF116-260A-4F81-B8DF-F9B48F73C826}">
      <formula1>Stoff_Gemisch</formula1>
    </dataValidation>
    <dataValidation type="list" allowBlank="1" showInputMessage="1" showErrorMessage="1" sqref="EH8:EI28" xr:uid="{93815FC1-8277-48E5-8EA4-2D9423C9CED0}">
      <formula1>Einstufung_Weitere</formula1>
    </dataValidation>
    <dataValidation type="list" allowBlank="1" showInputMessage="1" showErrorMessage="1" sqref="X8:AF28" xr:uid="{B070244D-9FE0-4059-A590-0D49AD14ECDA}">
      <formula1>Auswahl_Bereich</formula1>
    </dataValidation>
  </dataValidations>
  <hyperlinks>
    <hyperlink ref="EA7" location="Substitution!B2" display="Ergebnis der Substitutionsprüfung (Ersatzstoffsuche)" xr:uid="{B0421A36-F007-461A-8314-AFE7E9F6907F}"/>
    <hyperlink ref="AP7" location="Lager!B4" display="Lagerort" xr:uid="{35E80698-9260-4D15-8EB5-9AE66787A506}"/>
    <hyperlink ref="AX7" location="Zusammenlagerung!A2" display="LGK" xr:uid="{8B992554-3888-436B-AC64-65FC3B876437}"/>
    <hyperlink ref="DB7" location="Schutzleitfäden!A1" display="Schutzleitfaden" xr:uid="{6F1D9B50-3C2F-4266-89B1-6C8890C0FC25}"/>
    <hyperlink ref="DL7" location="Schutzleitfäden!A1" display="Schutzleitfaden" xr:uid="{03222AC3-9AE5-4E1D-9F6B-B6AF43133565}"/>
    <hyperlink ref="DW7" location="Schutzleitfäden!A1" display="Schutzleitfaden" xr:uid="{7CAC23FB-905D-4056-8540-9849124E3551}"/>
  </hyperlinks>
  <pageMargins left="0.39370078740157483" right="0.39370078740157483" top="0.39370078740157483" bottom="0.39370078740157483" header="0.19685039370078741" footer="0.19685039370078741"/>
  <pageSetup paperSize="9" scale="71" pageOrder="overThenDown" orientation="landscape" r:id="rId1"/>
  <headerFooter>
    <oddFooter>&amp;L&amp;G&amp;R&amp;"Arial,Standard"&amp;9Seite &amp;P / &amp;N</oddFoot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ED78DF32-936D-4013-8587-333CEEB4E4D6}">
          <x14:formula1>
            <xm:f>Entsorgung!$A$2:$A$975</xm:f>
          </x14:formula1>
          <xm:sqref>FC8:FC28 FE8:FE28 FA8:FA28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6">
    <tabColor rgb="FFFF0000"/>
  </sheetPr>
  <dimension ref="A1:Y30"/>
  <sheetViews>
    <sheetView showGridLines="0" workbookViewId="0">
      <selection activeCell="A3" sqref="A3"/>
    </sheetView>
  </sheetViews>
  <sheetFormatPr baseColWidth="10" defaultColWidth="11.44140625" defaultRowHeight="17.25" customHeight="1" x14ac:dyDescent="0.25"/>
  <cols>
    <col min="1" max="1" width="39.33203125" style="4" customWidth="1"/>
    <col min="2" max="3" width="25.6640625" style="5" customWidth="1"/>
    <col min="4" max="4" width="32.5546875" style="5" customWidth="1"/>
    <col min="5" max="5" width="20.109375" style="4" customWidth="1"/>
    <col min="6" max="6" width="28.5546875" style="4" customWidth="1"/>
    <col min="7" max="7" width="14.44140625" style="4" customWidth="1"/>
    <col min="8" max="8" width="17.88671875" style="4" customWidth="1"/>
    <col min="9" max="9" width="11.44140625" style="4"/>
    <col min="10" max="10" width="11.44140625" style="5"/>
    <col min="11" max="11" width="22.109375" style="4" customWidth="1"/>
    <col min="12" max="12" width="13.88671875" style="5" customWidth="1"/>
    <col min="13" max="13" width="11.44140625" style="4"/>
    <col min="14" max="14" width="86.6640625" style="4" bestFit="1" customWidth="1"/>
    <col min="15" max="15" width="11.44140625" style="4"/>
    <col min="16" max="16" width="18.88671875" style="4" bestFit="1" customWidth="1"/>
    <col min="17" max="17" width="26.5546875" style="4" customWidth="1"/>
    <col min="18" max="18" width="17.109375" style="4" customWidth="1"/>
    <col min="19" max="19" width="99.109375" style="4" bestFit="1" customWidth="1"/>
    <col min="20" max="20" width="12.6640625" style="4" bestFit="1" customWidth="1"/>
    <col min="21" max="21" width="15.5546875" style="4" customWidth="1"/>
    <col min="22" max="22" width="29.33203125" style="4" customWidth="1"/>
    <col min="23" max="23" width="41" style="4" customWidth="1"/>
    <col min="24" max="25" width="22.88671875" style="4" customWidth="1"/>
    <col min="26" max="16384" width="11.44140625" style="4"/>
  </cols>
  <sheetData>
    <row r="1" spans="1:25" ht="17.25" customHeight="1" x14ac:dyDescent="0.25">
      <c r="A1" s="251" t="s">
        <v>2659</v>
      </c>
      <c r="B1" s="6" t="s">
        <v>165</v>
      </c>
      <c r="C1" s="314" t="s">
        <v>7278</v>
      </c>
      <c r="D1" s="6" t="s">
        <v>7279</v>
      </c>
      <c r="E1" s="6" t="s">
        <v>30</v>
      </c>
      <c r="F1" s="6" t="s">
        <v>174</v>
      </c>
      <c r="G1" s="6" t="s">
        <v>234</v>
      </c>
      <c r="H1" s="6" t="s">
        <v>457</v>
      </c>
      <c r="I1" s="114" t="s">
        <v>1</v>
      </c>
      <c r="J1" s="114" t="s">
        <v>419</v>
      </c>
      <c r="K1" s="6" t="s">
        <v>460</v>
      </c>
      <c r="L1" s="114" t="s">
        <v>796</v>
      </c>
      <c r="M1" s="6" t="s">
        <v>816</v>
      </c>
      <c r="N1" s="6" t="s">
        <v>817</v>
      </c>
      <c r="O1" s="6" t="s">
        <v>818</v>
      </c>
      <c r="P1" s="274" t="s">
        <v>2697</v>
      </c>
      <c r="Q1" s="274" t="s">
        <v>2698</v>
      </c>
      <c r="R1" s="274" t="s">
        <v>2699</v>
      </c>
      <c r="S1" s="275" t="s">
        <v>2700</v>
      </c>
      <c r="T1" s="275" t="s">
        <v>2701</v>
      </c>
      <c r="U1" s="251" t="s">
        <v>7272</v>
      </c>
      <c r="V1" s="6" t="s">
        <v>7448</v>
      </c>
      <c r="W1" s="6" t="s">
        <v>7449</v>
      </c>
      <c r="X1" s="6" t="s">
        <v>7450</v>
      </c>
      <c r="Y1" s="6" t="s">
        <v>7451</v>
      </c>
    </row>
    <row r="2" spans="1:25" ht="17.25" customHeight="1" x14ac:dyDescent="0.25">
      <c r="A2" s="253" t="s">
        <v>7549</v>
      </c>
      <c r="B2" s="8"/>
      <c r="C2" s="252"/>
      <c r="D2" s="11" t="s">
        <v>7518</v>
      </c>
      <c r="E2" s="302" t="s">
        <v>31</v>
      </c>
      <c r="F2" s="14"/>
      <c r="G2" s="11" t="s">
        <v>219</v>
      </c>
      <c r="H2" s="14" t="s">
        <v>7431</v>
      </c>
      <c r="I2" s="101">
        <v>1</v>
      </c>
      <c r="J2" s="409"/>
      <c r="K2" s="100"/>
      <c r="L2" s="166" t="s">
        <v>318</v>
      </c>
      <c r="M2" s="99" t="s">
        <v>318</v>
      </c>
      <c r="N2" s="99" t="s">
        <v>422</v>
      </c>
      <c r="O2" s="14" t="s">
        <v>819</v>
      </c>
      <c r="P2" s="276" t="s">
        <v>189</v>
      </c>
      <c r="Q2" s="277" t="s">
        <v>117</v>
      </c>
      <c r="R2" s="276" t="s">
        <v>2690</v>
      </c>
      <c r="S2" s="252"/>
      <c r="T2" s="170">
        <v>0</v>
      </c>
      <c r="U2" s="290" t="s">
        <v>7273</v>
      </c>
      <c r="V2" s="11" t="s">
        <v>7452</v>
      </c>
      <c r="W2" s="100" t="s">
        <v>7453</v>
      </c>
      <c r="X2" s="11" t="s">
        <v>7454</v>
      </c>
      <c r="Y2" s="100" t="s">
        <v>7455</v>
      </c>
    </row>
    <row r="3" spans="1:25" ht="17.25" customHeight="1" x14ac:dyDescent="0.25">
      <c r="A3" s="253" t="s">
        <v>7550</v>
      </c>
      <c r="B3" s="8" t="s">
        <v>509</v>
      </c>
      <c r="C3" s="252" t="s">
        <v>7284</v>
      </c>
      <c r="D3" s="11" t="s">
        <v>7519</v>
      </c>
      <c r="E3" s="302" t="s">
        <v>7285</v>
      </c>
      <c r="F3" s="14" t="s">
        <v>32</v>
      </c>
      <c r="G3" s="11" t="s">
        <v>220</v>
      </c>
      <c r="H3" s="14" t="s">
        <v>458</v>
      </c>
      <c r="I3" s="101">
        <v>2</v>
      </c>
      <c r="J3" s="409" t="s">
        <v>495</v>
      </c>
      <c r="K3" s="100" t="s">
        <v>797</v>
      </c>
      <c r="L3" s="166" t="s">
        <v>320</v>
      </c>
      <c r="M3" s="99" t="s">
        <v>319</v>
      </c>
      <c r="N3" s="99" t="s">
        <v>423</v>
      </c>
      <c r="O3" s="14" t="s">
        <v>820</v>
      </c>
      <c r="P3" s="276" t="s">
        <v>188</v>
      </c>
      <c r="Q3" s="277" t="s">
        <v>135</v>
      </c>
      <c r="R3" s="276" t="s">
        <v>7514</v>
      </c>
      <c r="S3" s="252" t="s">
        <v>7467</v>
      </c>
      <c r="T3" s="170">
        <v>1</v>
      </c>
      <c r="U3" s="290" t="s">
        <v>7274</v>
      </c>
      <c r="V3" s="11" t="s">
        <v>7460</v>
      </c>
      <c r="W3" s="8" t="s">
        <v>7460</v>
      </c>
      <c r="X3" s="11" t="s">
        <v>7456</v>
      </c>
      <c r="Y3" s="100" t="s">
        <v>7457</v>
      </c>
    </row>
    <row r="4" spans="1:25" ht="17.25" customHeight="1" x14ac:dyDescent="0.25">
      <c r="A4" s="253"/>
      <c r="B4" s="8" t="s">
        <v>7284</v>
      </c>
      <c r="C4" s="252" t="s">
        <v>7284</v>
      </c>
      <c r="D4" s="11" t="s">
        <v>7520</v>
      </c>
      <c r="E4" s="302" t="s">
        <v>198</v>
      </c>
      <c r="F4" s="14" t="s">
        <v>175</v>
      </c>
      <c r="G4" s="6" t="s">
        <v>844</v>
      </c>
      <c r="H4" s="14" t="s">
        <v>499</v>
      </c>
      <c r="I4" s="101">
        <v>3</v>
      </c>
      <c r="J4" s="409" t="s">
        <v>471</v>
      </c>
      <c r="K4" s="100" t="s">
        <v>798</v>
      </c>
      <c r="L4" s="166" t="s">
        <v>321</v>
      </c>
      <c r="M4" s="99" t="s">
        <v>320</v>
      </c>
      <c r="N4" s="99" t="s">
        <v>424</v>
      </c>
      <c r="O4" s="14" t="s">
        <v>821</v>
      </c>
      <c r="P4" s="276" t="s">
        <v>198</v>
      </c>
      <c r="Q4" s="277" t="s">
        <v>106</v>
      </c>
      <c r="R4" s="276" t="s">
        <v>7515</v>
      </c>
      <c r="S4" s="252" t="s">
        <v>7468</v>
      </c>
      <c r="T4" s="170">
        <v>2</v>
      </c>
      <c r="U4" s="290" t="s">
        <v>7275</v>
      </c>
      <c r="V4" s="11" t="s">
        <v>7458</v>
      </c>
      <c r="W4" s="8" t="s">
        <v>7458</v>
      </c>
      <c r="X4" s="11" t="s">
        <v>7461</v>
      </c>
      <c r="Y4" s="8" t="s">
        <v>7460</v>
      </c>
    </row>
    <row r="5" spans="1:25" ht="17.25" customHeight="1" x14ac:dyDescent="0.25">
      <c r="B5" s="8" t="s">
        <v>7284</v>
      </c>
      <c r="C5" s="252" t="s">
        <v>7284</v>
      </c>
      <c r="D5" s="11" t="s">
        <v>7521</v>
      </c>
      <c r="E5" s="7"/>
      <c r="F5" s="14" t="s">
        <v>176</v>
      </c>
      <c r="G5" s="11"/>
      <c r="H5" s="14" t="s">
        <v>459</v>
      </c>
      <c r="I5" s="101" t="s">
        <v>776</v>
      </c>
      <c r="J5" s="409" t="s">
        <v>472</v>
      </c>
      <c r="K5" s="100" t="s">
        <v>799</v>
      </c>
      <c r="M5" s="99" t="s">
        <v>321</v>
      </c>
      <c r="N5" s="99" t="s">
        <v>355</v>
      </c>
      <c r="O5" s="14" t="s">
        <v>511</v>
      </c>
      <c r="P5" s="238"/>
      <c r="Q5" s="277" t="s">
        <v>136</v>
      </c>
      <c r="R5" s="276"/>
      <c r="S5" s="252" t="s">
        <v>7469</v>
      </c>
      <c r="U5" s="290" t="s">
        <v>2589</v>
      </c>
      <c r="V5" s="5"/>
      <c r="X5" s="11" t="s">
        <v>7459</v>
      </c>
      <c r="Y5" s="8" t="s">
        <v>7458</v>
      </c>
    </row>
    <row r="6" spans="1:25" ht="17.25" customHeight="1" x14ac:dyDescent="0.25">
      <c r="B6" s="8" t="s">
        <v>7284</v>
      </c>
      <c r="C6" s="252" t="s">
        <v>7284</v>
      </c>
      <c r="D6" s="11" t="s">
        <v>7522</v>
      </c>
      <c r="E6" s="6" t="s">
        <v>7286</v>
      </c>
      <c r="F6" s="14" t="s">
        <v>177</v>
      </c>
      <c r="G6" s="11" t="s">
        <v>243</v>
      </c>
      <c r="I6" s="101" t="s">
        <v>775</v>
      </c>
      <c r="J6" s="409">
        <v>3</v>
      </c>
      <c r="K6" s="100" t="s">
        <v>800</v>
      </c>
      <c r="M6" s="99" t="s">
        <v>322</v>
      </c>
      <c r="N6" s="99" t="s">
        <v>425</v>
      </c>
      <c r="O6" s="4" t="s">
        <v>822</v>
      </c>
      <c r="P6" s="238"/>
      <c r="Q6" s="277" t="s">
        <v>198</v>
      </c>
      <c r="R6" s="238"/>
      <c r="S6" s="252" t="s">
        <v>7470</v>
      </c>
      <c r="V6" s="5"/>
      <c r="X6" s="11" t="s">
        <v>7460</v>
      </c>
    </row>
    <row r="7" spans="1:25" ht="17.25" customHeight="1" x14ac:dyDescent="0.3">
      <c r="B7" s="8" t="s">
        <v>7284</v>
      </c>
      <c r="C7" s="252" t="s">
        <v>7284</v>
      </c>
      <c r="D7" s="11" t="s">
        <v>7523</v>
      </c>
      <c r="E7" s="417" t="s">
        <v>7287</v>
      </c>
      <c r="F7" s="14" t="s">
        <v>178</v>
      </c>
      <c r="G7" s="11" t="s">
        <v>812</v>
      </c>
      <c r="J7" s="409" t="s">
        <v>473</v>
      </c>
      <c r="K7" s="100" t="s">
        <v>801</v>
      </c>
      <c r="M7" s="99" t="s">
        <v>323</v>
      </c>
      <c r="N7" s="99" t="s">
        <v>426</v>
      </c>
      <c r="O7" s="4" t="s">
        <v>822</v>
      </c>
      <c r="S7" s="252" t="s">
        <v>7464</v>
      </c>
      <c r="V7" s="5"/>
      <c r="X7" s="11" t="s">
        <v>7458</v>
      </c>
    </row>
    <row r="8" spans="1:25" ht="17.25" customHeight="1" x14ac:dyDescent="0.3">
      <c r="B8" s="8" t="s">
        <v>7284</v>
      </c>
      <c r="C8" s="252" t="s">
        <v>7284</v>
      </c>
      <c r="D8" s="11" t="s">
        <v>7486</v>
      </c>
      <c r="E8" s="417"/>
      <c r="F8" s="14" t="s">
        <v>179</v>
      </c>
      <c r="G8" s="11" t="s">
        <v>240</v>
      </c>
      <c r="J8" s="409" t="s">
        <v>474</v>
      </c>
      <c r="K8" s="100" t="s">
        <v>802</v>
      </c>
      <c r="M8" s="99" t="s">
        <v>324</v>
      </c>
      <c r="N8" s="99" t="s">
        <v>356</v>
      </c>
      <c r="O8" s="4" t="s">
        <v>822</v>
      </c>
      <c r="S8" s="252" t="s">
        <v>7465</v>
      </c>
      <c r="V8" s="5"/>
    </row>
    <row r="9" spans="1:25" ht="17.25" customHeight="1" x14ac:dyDescent="0.25">
      <c r="B9" s="8" t="s">
        <v>7284</v>
      </c>
      <c r="C9" s="252" t="s">
        <v>7284</v>
      </c>
      <c r="D9" s="11" t="s">
        <v>7280</v>
      </c>
      <c r="E9" s="7"/>
      <c r="F9" s="14" t="s">
        <v>180</v>
      </c>
      <c r="G9" s="11" t="s">
        <v>219</v>
      </c>
      <c r="J9" s="409" t="s">
        <v>475</v>
      </c>
      <c r="K9" s="100" t="s">
        <v>803</v>
      </c>
      <c r="M9" s="99" t="s">
        <v>325</v>
      </c>
      <c r="N9" s="99" t="s">
        <v>357</v>
      </c>
      <c r="O9" s="4" t="s">
        <v>822</v>
      </c>
      <c r="S9" s="252" t="s">
        <v>7466</v>
      </c>
      <c r="V9" s="5"/>
    </row>
    <row r="10" spans="1:25" ht="17.25" customHeight="1" x14ac:dyDescent="0.25">
      <c r="B10" s="8" t="s">
        <v>7284</v>
      </c>
      <c r="C10" s="252" t="s">
        <v>7284</v>
      </c>
      <c r="D10" s="11" t="s">
        <v>7309</v>
      </c>
      <c r="E10" s="6" t="s">
        <v>7476</v>
      </c>
      <c r="F10" s="14" t="s">
        <v>181</v>
      </c>
      <c r="G10" s="11" t="s">
        <v>220</v>
      </c>
      <c r="J10" s="409" t="s">
        <v>476</v>
      </c>
      <c r="K10" s="100" t="s">
        <v>804</v>
      </c>
      <c r="M10" s="99" t="s">
        <v>326</v>
      </c>
      <c r="N10" s="99" t="s">
        <v>358</v>
      </c>
      <c r="O10" s="4" t="s">
        <v>822</v>
      </c>
      <c r="S10" s="252" t="s">
        <v>2702</v>
      </c>
      <c r="V10" s="5"/>
    </row>
    <row r="11" spans="1:25" ht="17.25" customHeight="1" x14ac:dyDescent="0.25">
      <c r="B11" s="8" t="s">
        <v>7284</v>
      </c>
      <c r="C11" s="252" t="s">
        <v>7284</v>
      </c>
      <c r="D11" s="11" t="s">
        <v>7310</v>
      </c>
      <c r="E11" s="302" t="s">
        <v>7477</v>
      </c>
      <c r="F11" s="14" t="s">
        <v>182</v>
      </c>
      <c r="G11" s="11" t="s">
        <v>825</v>
      </c>
      <c r="H11" s="251" t="s">
        <v>2648</v>
      </c>
      <c r="J11" s="409" t="s">
        <v>477</v>
      </c>
      <c r="K11" s="100" t="s">
        <v>2601</v>
      </c>
      <c r="M11" s="99" t="s">
        <v>823</v>
      </c>
      <c r="N11" s="99" t="s">
        <v>359</v>
      </c>
      <c r="O11" s="4" t="s">
        <v>822</v>
      </c>
      <c r="S11" s="252" t="s">
        <v>7471</v>
      </c>
      <c r="V11" s="5"/>
    </row>
    <row r="12" spans="1:25" ht="17.25" customHeight="1" x14ac:dyDescent="0.25">
      <c r="B12" s="8" t="s">
        <v>7284</v>
      </c>
      <c r="C12" s="252" t="s">
        <v>7284</v>
      </c>
      <c r="D12" s="11" t="s">
        <v>7311</v>
      </c>
      <c r="E12" s="302" t="s">
        <v>7478</v>
      </c>
      <c r="F12" s="14" t="s">
        <v>183</v>
      </c>
      <c r="G12" s="11" t="s">
        <v>811</v>
      </c>
      <c r="H12" s="252" t="s">
        <v>458</v>
      </c>
      <c r="J12" s="409" t="s">
        <v>478</v>
      </c>
      <c r="K12" s="100" t="s">
        <v>805</v>
      </c>
      <c r="M12" s="99" t="s">
        <v>303</v>
      </c>
      <c r="N12" s="99" t="s">
        <v>360</v>
      </c>
      <c r="O12" s="4" t="s">
        <v>822</v>
      </c>
      <c r="S12" s="252" t="s">
        <v>7472</v>
      </c>
    </row>
    <row r="13" spans="1:25" ht="17.25" customHeight="1" x14ac:dyDescent="0.25">
      <c r="B13" s="8" t="s">
        <v>7284</v>
      </c>
      <c r="C13" s="252" t="s">
        <v>7284</v>
      </c>
      <c r="D13" s="11" t="s">
        <v>7312</v>
      </c>
      <c r="E13" s="7"/>
      <c r="F13" s="14" t="s">
        <v>184</v>
      </c>
      <c r="G13" s="11" t="s">
        <v>813</v>
      </c>
      <c r="H13" s="252" t="s">
        <v>459</v>
      </c>
      <c r="J13" s="409" t="s">
        <v>479</v>
      </c>
      <c r="K13" s="100" t="s">
        <v>806</v>
      </c>
      <c r="M13" s="99" t="s">
        <v>328</v>
      </c>
      <c r="N13" s="99" t="s">
        <v>427</v>
      </c>
      <c r="O13" s="4" t="s">
        <v>822</v>
      </c>
    </row>
    <row r="14" spans="1:25" ht="17.25" customHeight="1" x14ac:dyDescent="0.25">
      <c r="B14" s="8" t="s">
        <v>7284</v>
      </c>
      <c r="C14" s="252" t="s">
        <v>7284</v>
      </c>
      <c r="D14" s="11" t="s">
        <v>7313</v>
      </c>
      <c r="E14" s="6" t="s">
        <v>7482</v>
      </c>
      <c r="F14" s="14" t="s">
        <v>185</v>
      </c>
      <c r="H14" s="251" t="s">
        <v>2649</v>
      </c>
      <c r="J14" s="409" t="s">
        <v>480</v>
      </c>
      <c r="K14" s="100" t="s">
        <v>2600</v>
      </c>
      <c r="M14" s="99" t="s">
        <v>334</v>
      </c>
      <c r="N14" s="99" t="s">
        <v>361</v>
      </c>
      <c r="O14" s="4" t="s">
        <v>822</v>
      </c>
      <c r="Q14" s="275" t="s">
        <v>7422</v>
      </c>
      <c r="R14" s="275" t="s">
        <v>7445</v>
      </c>
      <c r="S14" s="275" t="s">
        <v>7413</v>
      </c>
    </row>
    <row r="15" spans="1:25" ht="17.25" customHeight="1" x14ac:dyDescent="0.25">
      <c r="B15" s="8" t="s">
        <v>7284</v>
      </c>
      <c r="C15" s="252" t="s">
        <v>7284</v>
      </c>
      <c r="D15" s="11" t="s">
        <v>7314</v>
      </c>
      <c r="E15" s="302"/>
      <c r="F15" s="14" t="s">
        <v>186</v>
      </c>
      <c r="H15" s="252" t="s">
        <v>2650</v>
      </c>
      <c r="J15" s="409" t="s">
        <v>481</v>
      </c>
      <c r="K15" s="100" t="s">
        <v>807</v>
      </c>
      <c r="M15" s="99" t="s">
        <v>335</v>
      </c>
      <c r="N15" s="99" t="s">
        <v>362</v>
      </c>
      <c r="O15" s="4" t="s">
        <v>822</v>
      </c>
      <c r="Q15" s="253"/>
      <c r="R15" s="408"/>
      <c r="S15" s="403"/>
    </row>
    <row r="16" spans="1:25" ht="17.25" customHeight="1" x14ac:dyDescent="0.25">
      <c r="B16" s="8" t="s">
        <v>7284</v>
      </c>
      <c r="C16" s="252" t="s">
        <v>7284</v>
      </c>
      <c r="D16" s="11" t="s">
        <v>7315</v>
      </c>
      <c r="E16" s="302" t="s">
        <v>824</v>
      </c>
      <c r="H16" s="252" t="s">
        <v>2651</v>
      </c>
      <c r="J16" s="409" t="s">
        <v>482</v>
      </c>
      <c r="K16" s="100" t="s">
        <v>808</v>
      </c>
      <c r="M16" s="99" t="s">
        <v>336</v>
      </c>
      <c r="N16" s="99" t="s">
        <v>363</v>
      </c>
      <c r="O16" s="4" t="s">
        <v>822</v>
      </c>
      <c r="Q16" s="253" t="s">
        <v>7423</v>
      </c>
      <c r="R16" s="408" t="s">
        <v>7446</v>
      </c>
      <c r="S16" s="403" t="s">
        <v>7414</v>
      </c>
    </row>
    <row r="17" spans="2:19" ht="17.25" customHeight="1" x14ac:dyDescent="0.25">
      <c r="B17" s="8" t="s">
        <v>7284</v>
      </c>
      <c r="C17" s="252" t="s">
        <v>7284</v>
      </c>
      <c r="D17" s="11" t="s">
        <v>7316</v>
      </c>
      <c r="H17" s="252" t="s">
        <v>2652</v>
      </c>
      <c r="J17" s="409" t="s">
        <v>483</v>
      </c>
      <c r="K17" s="100" t="s">
        <v>809</v>
      </c>
      <c r="M17" s="99" t="s">
        <v>329</v>
      </c>
      <c r="N17" s="99" t="s">
        <v>364</v>
      </c>
      <c r="O17" s="4" t="s">
        <v>822</v>
      </c>
      <c r="Q17" s="253" t="s">
        <v>7494</v>
      </c>
      <c r="R17" s="408" t="s">
        <v>7447</v>
      </c>
      <c r="S17" s="403" t="s">
        <v>7492</v>
      </c>
    </row>
    <row r="18" spans="2:19" ht="17.25" customHeight="1" x14ac:dyDescent="0.25">
      <c r="B18" s="8" t="s">
        <v>7284</v>
      </c>
      <c r="C18" s="252" t="s">
        <v>7284</v>
      </c>
      <c r="D18" s="11" t="s">
        <v>7317</v>
      </c>
      <c r="H18" s="252" t="s">
        <v>2653</v>
      </c>
      <c r="J18" s="409" t="s">
        <v>484</v>
      </c>
      <c r="K18" s="100" t="s">
        <v>810</v>
      </c>
      <c r="M18" s="99" t="s">
        <v>117</v>
      </c>
      <c r="N18" s="99" t="s">
        <v>824</v>
      </c>
      <c r="Q18" s="253" t="s">
        <v>7495</v>
      </c>
      <c r="R18" s="408" t="s">
        <v>117</v>
      </c>
      <c r="S18" s="403" t="s">
        <v>7491</v>
      </c>
    </row>
    <row r="19" spans="2:19" ht="17.25" customHeight="1" x14ac:dyDescent="0.25">
      <c r="B19" s="8" t="s">
        <v>7284</v>
      </c>
      <c r="C19" s="252" t="s">
        <v>7284</v>
      </c>
      <c r="D19" s="11" t="s">
        <v>7318</v>
      </c>
      <c r="H19" s="252" t="s">
        <v>2654</v>
      </c>
      <c r="J19" s="409" t="s">
        <v>485</v>
      </c>
      <c r="K19" s="100" t="s">
        <v>7284</v>
      </c>
      <c r="Q19" s="253" t="s">
        <v>7498</v>
      </c>
      <c r="S19" s="403" t="s">
        <v>7415</v>
      </c>
    </row>
    <row r="20" spans="2:19" ht="17.25" customHeight="1" x14ac:dyDescent="0.25">
      <c r="B20" s="8" t="s">
        <v>7284</v>
      </c>
      <c r="C20" s="252" t="s">
        <v>7284</v>
      </c>
      <c r="D20" s="11" t="s">
        <v>7319</v>
      </c>
      <c r="H20" s="252" t="s">
        <v>2655</v>
      </c>
      <c r="J20" s="409" t="s">
        <v>486</v>
      </c>
      <c r="K20" s="100" t="s">
        <v>7284</v>
      </c>
      <c r="Q20" s="253" t="s">
        <v>7496</v>
      </c>
      <c r="S20" s="403" t="s">
        <v>7490</v>
      </c>
    </row>
    <row r="21" spans="2:19" ht="17.25" customHeight="1" x14ac:dyDescent="0.25">
      <c r="B21" s="8" t="s">
        <v>7284</v>
      </c>
      <c r="C21" s="252" t="s">
        <v>7284</v>
      </c>
      <c r="D21" s="11" t="s">
        <v>7320</v>
      </c>
      <c r="H21" s="252" t="s">
        <v>2656</v>
      </c>
      <c r="J21" s="409" t="s">
        <v>487</v>
      </c>
      <c r="K21" s="100" t="s">
        <v>7284</v>
      </c>
      <c r="Q21" s="253" t="s">
        <v>7496</v>
      </c>
      <c r="S21" s="403" t="s">
        <v>7416</v>
      </c>
    </row>
    <row r="22" spans="2:19" ht="17.25" customHeight="1" x14ac:dyDescent="0.25">
      <c r="B22" s="8" t="s">
        <v>7284</v>
      </c>
      <c r="C22" s="252" t="s">
        <v>7284</v>
      </c>
      <c r="D22" s="11" t="s">
        <v>7321</v>
      </c>
      <c r="J22" s="409" t="s">
        <v>488</v>
      </c>
      <c r="K22" s="100" t="s">
        <v>7284</v>
      </c>
      <c r="Q22" s="253" t="s">
        <v>7496</v>
      </c>
      <c r="S22" s="403" t="s">
        <v>7417</v>
      </c>
    </row>
    <row r="23" spans="2:19" ht="17.25" customHeight="1" x14ac:dyDescent="0.25">
      <c r="B23" s="8" t="s">
        <v>7284</v>
      </c>
      <c r="C23" s="252" t="s">
        <v>7284</v>
      </c>
      <c r="D23" s="11" t="s">
        <v>7435</v>
      </c>
      <c r="J23" s="409" t="s">
        <v>489</v>
      </c>
      <c r="K23" s="100" t="s">
        <v>7284</v>
      </c>
      <c r="Q23" s="253" t="s">
        <v>7496</v>
      </c>
      <c r="S23" s="403" t="s">
        <v>7418</v>
      </c>
    </row>
    <row r="24" spans="2:19" ht="17.25" customHeight="1" x14ac:dyDescent="0.25">
      <c r="B24" s="8" t="s">
        <v>7284</v>
      </c>
      <c r="C24" s="252" t="s">
        <v>7284</v>
      </c>
      <c r="D24" s="11" t="s">
        <v>7436</v>
      </c>
      <c r="J24" s="409" t="s">
        <v>490</v>
      </c>
      <c r="K24" s="100" t="s">
        <v>7284</v>
      </c>
      <c r="Q24" s="253" t="s">
        <v>7496</v>
      </c>
      <c r="S24" s="403" t="s">
        <v>7484</v>
      </c>
    </row>
    <row r="25" spans="2:19" ht="17.25" customHeight="1" x14ac:dyDescent="0.25">
      <c r="B25" s="8" t="s">
        <v>7284</v>
      </c>
      <c r="C25" s="252" t="s">
        <v>7284</v>
      </c>
      <c r="D25" s="11" t="s">
        <v>7437</v>
      </c>
      <c r="J25" s="409" t="s">
        <v>491</v>
      </c>
      <c r="K25" s="100" t="s">
        <v>7284</v>
      </c>
      <c r="Q25" s="253" t="s">
        <v>7496</v>
      </c>
      <c r="S25" s="403" t="s">
        <v>7484</v>
      </c>
    </row>
    <row r="26" spans="2:19" ht="17.25" customHeight="1" x14ac:dyDescent="0.25">
      <c r="B26" s="8" t="s">
        <v>7284</v>
      </c>
      <c r="C26" s="252" t="s">
        <v>7284</v>
      </c>
      <c r="D26" s="11" t="s">
        <v>7438</v>
      </c>
      <c r="J26" s="409" t="s">
        <v>492</v>
      </c>
      <c r="K26" s="100" t="s">
        <v>7284</v>
      </c>
      <c r="Q26" s="253" t="s">
        <v>7496</v>
      </c>
      <c r="S26" s="403" t="s">
        <v>7484</v>
      </c>
    </row>
    <row r="27" spans="2:19" ht="17.25" customHeight="1" x14ac:dyDescent="0.25">
      <c r="B27" s="8" t="s">
        <v>7284</v>
      </c>
      <c r="C27" s="252" t="s">
        <v>7284</v>
      </c>
      <c r="D27" s="11" t="s">
        <v>7439</v>
      </c>
      <c r="J27" s="409" t="s">
        <v>493</v>
      </c>
      <c r="K27" s="100" t="s">
        <v>7284</v>
      </c>
      <c r="Q27" s="253" t="s">
        <v>7496</v>
      </c>
      <c r="S27" s="403" t="s">
        <v>7484</v>
      </c>
    </row>
    <row r="28" spans="2:19" ht="17.25" customHeight="1" x14ac:dyDescent="0.25">
      <c r="B28" s="8" t="s">
        <v>7284</v>
      </c>
      <c r="C28" s="252" t="s">
        <v>7284</v>
      </c>
      <c r="D28" s="11" t="s">
        <v>7440</v>
      </c>
      <c r="J28" s="409" t="s">
        <v>494</v>
      </c>
      <c r="K28" s="100" t="s">
        <v>7284</v>
      </c>
    </row>
    <row r="29" spans="2:19" ht="17.25" customHeight="1" x14ac:dyDescent="0.25">
      <c r="B29" s="8" t="s">
        <v>7284</v>
      </c>
      <c r="C29" s="252" t="s">
        <v>7284</v>
      </c>
      <c r="D29" s="11" t="s">
        <v>7441</v>
      </c>
      <c r="J29" s="115"/>
    </row>
    <row r="30" spans="2:19" ht="17.25" customHeight="1" x14ac:dyDescent="0.25">
      <c r="B30" s="8" t="s">
        <v>7284</v>
      </c>
      <c r="C30" s="252" t="s">
        <v>7284</v>
      </c>
      <c r="D30" s="11" t="s">
        <v>7442</v>
      </c>
      <c r="J30" s="115"/>
    </row>
  </sheetData>
  <phoneticPr fontId="44" type="noConversion"/>
  <pageMargins left="0.39370078740157483" right="0.39370078740157483" top="0.39370078740157483" bottom="0.39370078740157483" header="0.19685039370078741" footer="0.19685039370078741"/>
  <pageSetup paperSize="9" scale="68" pageOrder="overThenDown" orientation="landscape" verticalDpi="4294967292" r:id="rId1"/>
  <headerFooter>
    <oddFooter>&amp;L&amp;G&amp;R&amp;"Arial,Standard"&amp;9Seite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0BA87-EA7D-45DC-97C0-0CCDF6F9A8E5}">
  <sheetPr codeName="Tabelle11"/>
  <dimension ref="A1:J70"/>
  <sheetViews>
    <sheetView showGridLines="0" zoomScaleNormal="100" zoomScaleSheetLayoutView="80" workbookViewId="0">
      <selection activeCell="I2" sqref="I2:I3"/>
    </sheetView>
  </sheetViews>
  <sheetFormatPr baseColWidth="10" defaultColWidth="12.6640625" defaultRowHeight="15" customHeight="1" x14ac:dyDescent="0.3"/>
  <cols>
    <col min="1" max="1" width="20.6640625" style="238" customWidth="1"/>
    <col min="2" max="2" width="7" style="238" customWidth="1"/>
    <col min="3" max="3" width="9.88671875" style="255" customWidth="1"/>
    <col min="4" max="4" width="42.88671875" style="10" customWidth="1"/>
    <col min="5" max="5" width="2.109375" style="10" customWidth="1"/>
    <col min="6" max="6" width="42.88671875" style="238" customWidth="1"/>
    <col min="7" max="7" width="3.5546875" style="10" customWidth="1"/>
    <col min="8" max="8" width="4.33203125" style="238" customWidth="1"/>
    <col min="9" max="9" width="8.5546875" style="238" customWidth="1"/>
    <col min="10" max="16384" width="12.6640625" style="238"/>
  </cols>
  <sheetData>
    <row r="1" spans="1:9" ht="52.5" customHeight="1" x14ac:dyDescent="0.25">
      <c r="A1" s="254" t="s">
        <v>2660</v>
      </c>
      <c r="F1" s="509" t="s">
        <v>7488</v>
      </c>
      <c r="G1" s="509"/>
      <c r="I1" s="370" t="s">
        <v>2662</v>
      </c>
    </row>
    <row r="2" spans="1:9" ht="18.75" customHeight="1" x14ac:dyDescent="0.3">
      <c r="A2" s="255" t="s">
        <v>2661</v>
      </c>
      <c r="B2" s="256"/>
      <c r="I2" s="503" t="s">
        <v>7397</v>
      </c>
    </row>
    <row r="3" spans="1:9" ht="18.75" customHeight="1" x14ac:dyDescent="0.3">
      <c r="A3" s="255" t="s">
        <v>2663</v>
      </c>
      <c r="B3" s="257"/>
      <c r="C3" s="258"/>
      <c r="D3" s="259" t="s">
        <v>2664</v>
      </c>
      <c r="E3" s="259"/>
      <c r="F3" s="259" t="s">
        <v>2665</v>
      </c>
      <c r="G3" s="259"/>
      <c r="I3" s="503"/>
    </row>
    <row r="4" spans="1:9" ht="33.75" customHeight="1" x14ac:dyDescent="0.3">
      <c r="D4" s="431" t="str">
        <f>IFERROR(VLOOKUP($B$2,Gefahrstoffverzeichnis!$A$8:$FO$20,2,FALSE),"")</f>
        <v/>
      </c>
      <c r="E4" s="260"/>
      <c r="F4" s="432" t="str">
        <f>IFERROR(VLOOKUP($B$3,Gefahrstoffverzeichnis!$A$9:$FO$20,2,FALSE),"")</f>
        <v/>
      </c>
      <c r="G4" s="511" t="s">
        <v>2666</v>
      </c>
      <c r="I4" s="368"/>
    </row>
    <row r="5" spans="1:9" s="426" customFormat="1" ht="18.75" customHeight="1" x14ac:dyDescent="0.3">
      <c r="C5" s="428"/>
      <c r="D5" s="433" t="str">
        <f>IFERROR(VLOOKUP($B$2,Gefahrstoffverzeichnis!$A$8:$FO$20,3,FALSE),"")</f>
        <v/>
      </c>
      <c r="E5" s="430"/>
      <c r="F5" s="434" t="str">
        <f>IFERROR(VLOOKUP($B$3,Gefahrstoffverzeichnis!$A$9:$FO$20,3,FALSE),"")</f>
        <v/>
      </c>
      <c r="G5" s="512"/>
      <c r="I5" s="429"/>
    </row>
    <row r="6" spans="1:9" ht="18.75" customHeight="1" x14ac:dyDescent="0.3">
      <c r="I6" s="368"/>
    </row>
    <row r="7" spans="1:9" ht="15" customHeight="1" x14ac:dyDescent="0.3">
      <c r="D7" s="510" t="s">
        <v>2667</v>
      </c>
      <c r="E7" s="510"/>
      <c r="F7" s="510"/>
      <c r="G7" s="510"/>
      <c r="I7" s="368"/>
    </row>
    <row r="8" spans="1:9" ht="6" customHeight="1" x14ac:dyDescent="0.3">
      <c r="F8" s="10"/>
      <c r="I8" s="369"/>
    </row>
    <row r="9" spans="1:9" ht="15" customHeight="1" x14ac:dyDescent="0.3">
      <c r="C9" s="261" t="s">
        <v>2668</v>
      </c>
      <c r="D9" s="262" t="str">
        <f>IFERROR(VLOOKUP($B$2,Gefahrstoffverzeichnis!$A$8:$DN$20,COLUMN(Gefahrstoffverzeichnis!$CA$7),FALSE),"")</f>
        <v/>
      </c>
      <c r="E9" s="263"/>
      <c r="F9" s="262" t="str">
        <f>IFERROR(VLOOKUP($B$3,Gefahrstoffverzeichnis!$A$8:$DN$20,COLUMN(Gefahrstoffverzeichnis!$CA$7),FALSE),"")</f>
        <v/>
      </c>
      <c r="G9" s="264"/>
      <c r="I9" s="369"/>
    </row>
    <row r="10" spans="1:9" ht="6" customHeight="1" x14ac:dyDescent="0.3">
      <c r="C10" s="261"/>
      <c r="D10" s="265"/>
      <c r="E10" s="265"/>
      <c r="F10" s="265"/>
      <c r="G10" s="265"/>
      <c r="I10" s="369"/>
    </row>
    <row r="11" spans="1:9" ht="15" customHeight="1" x14ac:dyDescent="0.3">
      <c r="C11" s="261" t="s">
        <v>2669</v>
      </c>
      <c r="D11" s="262" t="str">
        <f>IFERROR(VLOOKUP($B$2,Gefahrstoffverzeichnis!$A$8:$DN$20,COLUMN(Gefahrstoffverzeichnis!$CB$7),FALSE),"")</f>
        <v/>
      </c>
      <c r="E11" s="263"/>
      <c r="F11" s="262" t="str">
        <f>IFERROR(VLOOKUP($B$3,Gefahrstoffverzeichnis!$A$8:$DN$20,COLUMN(Gefahrstoffverzeichnis!$CB$7),FALSE),"")</f>
        <v/>
      </c>
      <c r="G11" s="264"/>
      <c r="I11" s="369"/>
    </row>
    <row r="12" spans="1:9" ht="6" customHeight="1" x14ac:dyDescent="0.3">
      <c r="C12" s="261"/>
      <c r="D12" s="265"/>
      <c r="E12" s="265"/>
      <c r="F12" s="265"/>
      <c r="G12" s="265"/>
      <c r="I12" s="369"/>
    </row>
    <row r="13" spans="1:9" ht="15" customHeight="1" x14ac:dyDescent="0.3">
      <c r="C13" s="261" t="s">
        <v>2670</v>
      </c>
      <c r="D13" s="262" t="str">
        <f>IFERROR(VLOOKUP($B$2,Gefahrstoffverzeichnis!$A$8:$DN$20,COLUMN(Gefahrstoffverzeichnis!$CC$7),FALSE),"")</f>
        <v/>
      </c>
      <c r="E13" s="263"/>
      <c r="F13" s="262" t="str">
        <f>IFERROR(VLOOKUP($B$3,Gefahrstoffverzeichnis!$A$8:$DN$20,COLUMN(Gefahrstoffverzeichnis!$CC$7),FALSE),"")</f>
        <v/>
      </c>
      <c r="G13" s="264"/>
      <c r="I13" s="369"/>
    </row>
    <row r="14" spans="1:9" ht="6" customHeight="1" x14ac:dyDescent="0.3">
      <c r="C14" s="261"/>
      <c r="D14" s="265"/>
      <c r="E14" s="265"/>
      <c r="F14" s="265"/>
      <c r="G14" s="265"/>
      <c r="I14" s="369"/>
    </row>
    <row r="15" spans="1:9" ht="15" customHeight="1" x14ac:dyDescent="0.3">
      <c r="C15" s="261" t="s">
        <v>2671</v>
      </c>
      <c r="D15" s="262" t="str">
        <f>IFERROR(VLOOKUP($B$2,Gefahrstoffverzeichnis!$A$8:$DN$20,COLUMN(Gefahrstoffverzeichnis!$CD$7),FALSE),"")</f>
        <v/>
      </c>
      <c r="E15" s="263"/>
      <c r="F15" s="262" t="str">
        <f>IFERROR(VLOOKUP($B$3,Gefahrstoffverzeichnis!$A$8:$DN$20,COLUMN(Gefahrstoffverzeichnis!$CD$7),FALSE),"")</f>
        <v/>
      </c>
      <c r="G15" s="264"/>
      <c r="I15" s="369"/>
    </row>
    <row r="16" spans="1:9" ht="6" customHeight="1" x14ac:dyDescent="0.3">
      <c r="C16" s="261"/>
      <c r="D16" s="265"/>
      <c r="E16" s="265"/>
      <c r="F16" s="265"/>
      <c r="G16" s="265"/>
      <c r="I16" s="369"/>
    </row>
    <row r="17" spans="3:9" ht="15" customHeight="1" x14ac:dyDescent="0.3">
      <c r="C17" s="261" t="s">
        <v>97</v>
      </c>
      <c r="D17" s="262" t="str">
        <f>IFERROR(VLOOKUP($B$2,Gefahrstoffverzeichnis!$A$8:$DN$20,COLUMN(Gefahrstoffverzeichnis!$CE$7),FALSE),"")</f>
        <v/>
      </c>
      <c r="E17" s="263"/>
      <c r="F17" s="262" t="str">
        <f>IFERROR(VLOOKUP($B$3,Gefahrstoffverzeichnis!$A$8:$DN$20,COLUMN(Gefahrstoffverzeichnis!$CE$7),FALSE),"")</f>
        <v/>
      </c>
      <c r="G17" s="264"/>
      <c r="I17" s="369"/>
    </row>
    <row r="18" spans="3:9" ht="6" customHeight="1" x14ac:dyDescent="0.3">
      <c r="C18" s="261"/>
      <c r="D18" s="265"/>
      <c r="E18" s="265"/>
      <c r="F18" s="265"/>
      <c r="G18" s="265"/>
      <c r="I18" s="369"/>
    </row>
    <row r="19" spans="3:9" ht="15" customHeight="1" x14ac:dyDescent="0.3">
      <c r="C19" s="261" t="s">
        <v>2672</v>
      </c>
      <c r="D19" s="262" t="str">
        <f>IFERROR(VLOOKUP($B$2,Gefahrstoffverzeichnis!$A$8:$DN$20,COLUMN(Gefahrstoffverzeichnis!$CL$7),FALSE),"")</f>
        <v/>
      </c>
      <c r="E19" s="263"/>
      <c r="F19" s="262" t="str">
        <f>IFERROR(VLOOKUP($B$3,Gefahrstoffverzeichnis!$A$8:$DN$20,COLUMN(Gefahrstoffverzeichnis!$CL$7),FALSE),"")</f>
        <v/>
      </c>
      <c r="G19" s="264"/>
      <c r="I19" s="369"/>
    </row>
    <row r="20" spans="3:9" ht="6" customHeight="1" x14ac:dyDescent="0.3">
      <c r="C20" s="261"/>
      <c r="D20" s="265"/>
      <c r="E20" s="265"/>
      <c r="F20" s="265"/>
      <c r="G20" s="265"/>
      <c r="I20" s="369"/>
    </row>
    <row r="21" spans="3:9" ht="33.75" customHeight="1" x14ac:dyDescent="0.3">
      <c r="C21" s="261" t="s">
        <v>2673</v>
      </c>
      <c r="D21" s="262" t="str">
        <f>IFERROR(VLOOKUP($B$2,Gefahrstoffverzeichnis!$A$8:$DN$20,COLUMN(Gefahrstoffverzeichnis!$CK$7),FALSE),"")</f>
        <v/>
      </c>
      <c r="E21" s="263"/>
      <c r="F21" s="262" t="str">
        <f>IFERROR(VLOOKUP($B$3,Gefahrstoffverzeichnis!$A$8:$DN$20,COLUMN(Gefahrstoffverzeichnis!$CK$7),FALSE),"")</f>
        <v/>
      </c>
      <c r="G21" s="264"/>
      <c r="I21" s="369"/>
    </row>
    <row r="22" spans="3:9" ht="6" customHeight="1" x14ac:dyDescent="0.3">
      <c r="C22" s="261"/>
      <c r="D22" s="265"/>
      <c r="E22" s="265"/>
      <c r="F22" s="265"/>
      <c r="G22" s="265"/>
      <c r="I22" s="369"/>
    </row>
    <row r="23" spans="3:9" ht="15" customHeight="1" x14ac:dyDescent="0.3">
      <c r="C23" s="261" t="s">
        <v>2674</v>
      </c>
      <c r="D23" s="262" t="str">
        <f>IFERROR(CONCATENATE((VLOOKUP($B$2,Gefahrstoffverzeichnis!$A$8:$EY$20,COLUMN(Gefahrstoffverzeichnis!$EK$7),FALSE))," ",(VLOOKUP($B$2,Gefahrstoffverzeichnis!$A$8:$EY$20,COLUMN(Gefahrstoffverzeichnis!$EP$7),FALSE))),"")</f>
        <v/>
      </c>
      <c r="E23" s="263"/>
      <c r="F23" s="262" t="str">
        <f>IFERROR(CONCATENATE((VLOOKUP($B$3,Gefahrstoffverzeichnis!$A$8:$EY$20,COLUMN(Gefahrstoffverzeichnis!$EK$7),FALSE))," ",(VLOOKUP($B$3,Gefahrstoffverzeichnis!$A$8:$EY$20,COLUMN(Gefahrstoffverzeichnis!$EP$7),FALSE))),"")</f>
        <v/>
      </c>
      <c r="G23" s="264"/>
      <c r="I23" s="369"/>
    </row>
    <row r="24" spans="3:9" ht="6" customHeight="1" x14ac:dyDescent="0.3">
      <c r="C24" s="261"/>
      <c r="D24" s="265"/>
      <c r="E24" s="265"/>
      <c r="F24" s="265"/>
      <c r="G24" s="265"/>
      <c r="I24" s="369"/>
    </row>
    <row r="25" spans="3:9" ht="15" customHeight="1" x14ac:dyDescent="0.3">
      <c r="C25" s="261" t="s">
        <v>2675</v>
      </c>
      <c r="D25" s="262" t="str">
        <f>IFERROR(VLOOKUP($B$2,Gefahrstoffverzeichnis!$A$8:$DN$20,COLUMN(Gefahrstoffverzeichnis!$S$7),FALSE),"")</f>
        <v/>
      </c>
      <c r="E25" s="263"/>
      <c r="F25" s="262" t="str">
        <f>IFERROR(VLOOKUP($B$3,Gefahrstoffverzeichnis!$A$8:$DN$20,COLUMN(Gefahrstoffverzeichnis!$S$7),FALSE),"")</f>
        <v/>
      </c>
      <c r="G25" s="264"/>
      <c r="I25" s="369"/>
    </row>
    <row r="26" spans="3:9" ht="18.75" customHeight="1" x14ac:dyDescent="0.3">
      <c r="C26" s="261"/>
      <c r="F26" s="10"/>
      <c r="I26" s="369"/>
    </row>
    <row r="27" spans="3:9" ht="15" customHeight="1" x14ac:dyDescent="0.3">
      <c r="C27" s="261"/>
      <c r="D27" s="510" t="s">
        <v>2676</v>
      </c>
      <c r="E27" s="510"/>
      <c r="F27" s="510"/>
      <c r="G27" s="510"/>
      <c r="I27" s="369"/>
    </row>
    <row r="28" spans="3:9" ht="6" customHeight="1" x14ac:dyDescent="0.3">
      <c r="C28" s="261"/>
      <c r="F28" s="10"/>
      <c r="I28" s="369"/>
    </row>
    <row r="29" spans="3:9" ht="15" customHeight="1" x14ac:dyDescent="0.3">
      <c r="C29" s="261" t="s">
        <v>2677</v>
      </c>
      <c r="D29" s="262" t="str">
        <f>IFERROR(VLOOKUP($B$2,Gefahrstoffverzeichnis!$A$8:$DN$20,COLUMN(Gefahrstoffverzeichnis!$CU$7),FALSE),"")</f>
        <v/>
      </c>
      <c r="E29" s="263"/>
      <c r="F29" s="262" t="str">
        <f>IFERROR(VLOOKUP($B$3,Gefahrstoffverzeichnis!$A$8:$DN$20,COLUMN(Gefahrstoffverzeichnis!$CU$7),FALSE),"")</f>
        <v/>
      </c>
      <c r="G29" s="264"/>
      <c r="I29" s="369"/>
    </row>
    <row r="30" spans="3:9" ht="6" customHeight="1" x14ac:dyDescent="0.3">
      <c r="C30" s="261"/>
      <c r="F30" s="10"/>
      <c r="I30" s="369"/>
    </row>
    <row r="31" spans="3:9" ht="15" customHeight="1" x14ac:dyDescent="0.3">
      <c r="C31" s="261" t="s">
        <v>2678</v>
      </c>
      <c r="D31" s="262" t="str">
        <f>IFERROR(VLOOKUP($B$2,Gefahrstoffverzeichnis!$A$8:$DN$20,COLUMN(Gefahrstoffverzeichnis!$CX$8),FALSE),"")</f>
        <v/>
      </c>
      <c r="E31" s="263"/>
      <c r="F31" s="262" t="str">
        <f>IFERROR(VLOOKUP($B$3,Gefahrstoffverzeichnis!$A$8:$DN$20,COLUMN(Gefahrstoffverzeichnis!$CX$8),FALSE),"")</f>
        <v/>
      </c>
      <c r="G31" s="264"/>
      <c r="I31" s="369"/>
    </row>
    <row r="32" spans="3:9" ht="6" customHeight="1" x14ac:dyDescent="0.3">
      <c r="C32" s="261"/>
      <c r="D32" s="265"/>
      <c r="E32" s="265"/>
      <c r="F32" s="265"/>
      <c r="G32" s="265"/>
      <c r="I32" s="369"/>
    </row>
    <row r="33" spans="3:9" ht="15" customHeight="1" x14ac:dyDescent="0.3">
      <c r="C33" s="261" t="s">
        <v>2679</v>
      </c>
      <c r="D33" s="262" t="str">
        <f>IFERROR(VLOOKUP($B$2,Gefahrstoffverzeichnis!$A$8:$DN$20,COLUMN(Gefahrstoffverzeichnis!$CZ$8),FALSE),"")</f>
        <v/>
      </c>
      <c r="E33" s="263"/>
      <c r="F33" s="262" t="str">
        <f>IFERROR(VLOOKUP($B$3,Gefahrstoffverzeichnis!$A$8:$DN$20,COLUMN(Gefahrstoffverzeichnis!$CZ$8),FALSE),"")</f>
        <v/>
      </c>
      <c r="G33" s="264"/>
      <c r="I33" s="369"/>
    </row>
    <row r="34" spans="3:9" ht="6" customHeight="1" x14ac:dyDescent="0.3">
      <c r="C34" s="261"/>
      <c r="D34" s="265"/>
      <c r="E34" s="265"/>
      <c r="F34" s="265"/>
      <c r="G34" s="265"/>
      <c r="I34" s="369"/>
    </row>
    <row r="35" spans="3:9" ht="15" customHeight="1" x14ac:dyDescent="0.3">
      <c r="C35" s="261" t="s">
        <v>2680</v>
      </c>
      <c r="D35" s="262" t="str">
        <f>IFERROR(VLOOKUP($B$2,Gefahrstoffverzeichnis!$A$8:$DN$20,COLUMN(Gefahrstoffverzeichnis!$DB$8),FALSE),"")</f>
        <v/>
      </c>
      <c r="E35" s="263"/>
      <c r="F35" s="262" t="str">
        <f>IFERROR(VLOOKUP($B$3,Gefahrstoffverzeichnis!$A$8:$DN$20,COLUMN(Gefahrstoffverzeichnis!$DB$8),FALSE),"")</f>
        <v/>
      </c>
      <c r="G35" s="264"/>
      <c r="I35" s="369"/>
    </row>
    <row r="36" spans="3:9" ht="6" customHeight="1" x14ac:dyDescent="0.3">
      <c r="C36" s="261"/>
      <c r="D36" s="265"/>
      <c r="E36" s="265"/>
      <c r="F36" s="265"/>
      <c r="G36" s="265"/>
      <c r="I36" s="369"/>
    </row>
    <row r="37" spans="3:9" ht="15" customHeight="1" x14ac:dyDescent="0.3">
      <c r="C37" s="261" t="s">
        <v>2681</v>
      </c>
      <c r="D37" s="262" t="str">
        <f>IFERROR(VLOOKUP($B$2,Gefahrstoffverzeichnis!$A$8:$DN$20,COLUMN(Gefahrstoffverzeichnis!$DF$7),FALSE),"")</f>
        <v/>
      </c>
      <c r="E37" s="263"/>
      <c r="F37" s="262" t="str">
        <f>IFERROR(VLOOKUP($B$3,Gefahrstoffverzeichnis!$A$8:$DN$20,COLUMN(Gefahrstoffverzeichnis!$DF$7),FALSE),"")</f>
        <v/>
      </c>
      <c r="G37" s="264"/>
      <c r="I37" s="369"/>
    </row>
    <row r="38" spans="3:9" ht="6" customHeight="1" x14ac:dyDescent="0.3">
      <c r="C38" s="261"/>
      <c r="D38" s="265"/>
      <c r="E38" s="265"/>
      <c r="F38" s="265"/>
      <c r="G38" s="265"/>
      <c r="I38" s="369"/>
    </row>
    <row r="39" spans="3:9" ht="15" customHeight="1" x14ac:dyDescent="0.3">
      <c r="C39" s="261" t="s">
        <v>2682</v>
      </c>
      <c r="D39" s="262" t="str">
        <f>IFERROR(VLOOKUP($B$2,Gefahrstoffverzeichnis!$A$8:$DN$20,COLUMN(Gefahrstoffverzeichnis!$DH$7),FALSE),"")</f>
        <v/>
      </c>
      <c r="E39" s="263"/>
      <c r="F39" s="262" t="str">
        <f>IFERROR(VLOOKUP($B$3,Gefahrstoffverzeichnis!$A$8:$DN$20,COLUMN(Gefahrstoffverzeichnis!$DH$7),FALSE),"")</f>
        <v/>
      </c>
      <c r="G39" s="264"/>
      <c r="I39" s="369"/>
    </row>
    <row r="40" spans="3:9" ht="6" customHeight="1" x14ac:dyDescent="0.3">
      <c r="C40" s="261"/>
      <c r="D40" s="265"/>
      <c r="E40" s="265"/>
      <c r="F40" s="265"/>
      <c r="G40" s="265"/>
      <c r="I40" s="369"/>
    </row>
    <row r="41" spans="3:9" ht="15" customHeight="1" x14ac:dyDescent="0.3">
      <c r="C41" s="261" t="s">
        <v>2683</v>
      </c>
      <c r="D41" s="262" t="str">
        <f>IFERROR(VLOOKUP($B$2,Gefahrstoffverzeichnis!$A$8:$DN$20,COLUMN(Gefahrstoffverzeichnis!$DJ$8),FALSE),"")</f>
        <v/>
      </c>
      <c r="E41" s="263"/>
      <c r="F41" s="262" t="str">
        <f>IFERROR(VLOOKUP($B$3,Gefahrstoffverzeichnis!$A$8:$DN$20,COLUMN(Gefahrstoffverzeichnis!$DJ$8),FALSE),"")</f>
        <v/>
      </c>
      <c r="G41" s="264"/>
      <c r="I41" s="369"/>
    </row>
    <row r="42" spans="3:9" ht="6" customHeight="1" x14ac:dyDescent="0.3">
      <c r="C42" s="261"/>
      <c r="D42" s="265"/>
      <c r="E42" s="265"/>
      <c r="F42" s="265"/>
      <c r="G42" s="265"/>
      <c r="I42" s="369"/>
    </row>
    <row r="43" spans="3:9" ht="15" customHeight="1" x14ac:dyDescent="0.3">
      <c r="C43" s="261" t="s">
        <v>2684</v>
      </c>
      <c r="D43" s="262" t="str">
        <f>IFERROR(VLOOKUP($B$2,Gefahrstoffverzeichnis!$A$8:$DN$20,COLUMN(Gefahrstoffverzeichnis!$DL$8),FALSE),"")</f>
        <v/>
      </c>
      <c r="E43" s="263"/>
      <c r="F43" s="262" t="str">
        <f>IFERROR(VLOOKUP($B$3,Gefahrstoffverzeichnis!$A$8:$DN$20,COLUMN(Gefahrstoffverzeichnis!$DL$8),FALSE),"")</f>
        <v/>
      </c>
      <c r="G43" s="264"/>
      <c r="I43" s="369"/>
    </row>
    <row r="44" spans="3:9" ht="18.75" customHeight="1" x14ac:dyDescent="0.3">
      <c r="C44" s="261"/>
      <c r="I44" s="369"/>
    </row>
    <row r="45" spans="3:9" ht="15" customHeight="1" x14ac:dyDescent="0.3">
      <c r="C45" s="261"/>
      <c r="D45" s="510" t="s">
        <v>2685</v>
      </c>
      <c r="E45" s="510"/>
      <c r="F45" s="510"/>
      <c r="G45" s="510"/>
      <c r="I45" s="369"/>
    </row>
    <row r="46" spans="3:9" ht="6" customHeight="1" x14ac:dyDescent="0.3">
      <c r="C46" s="261"/>
      <c r="I46" s="369"/>
    </row>
    <row r="47" spans="3:9" ht="15" customHeight="1" x14ac:dyDescent="0.3">
      <c r="C47" s="261" t="s">
        <v>2686</v>
      </c>
      <c r="D47" s="264"/>
      <c r="E47" s="263"/>
      <c r="F47" s="264"/>
      <c r="G47" s="264"/>
      <c r="I47" s="369"/>
    </row>
    <row r="48" spans="3:9" ht="6" customHeight="1" x14ac:dyDescent="0.3">
      <c r="C48" s="261"/>
      <c r="D48" s="265"/>
      <c r="E48" s="265"/>
      <c r="F48" s="265"/>
      <c r="G48" s="265"/>
      <c r="I48" s="369"/>
    </row>
    <row r="49" spans="3:10" ht="15" customHeight="1" x14ac:dyDescent="0.3">
      <c r="C49" s="261" t="s">
        <v>2687</v>
      </c>
      <c r="D49" s="264"/>
      <c r="E49" s="263"/>
      <c r="F49" s="264"/>
      <c r="G49" s="264"/>
      <c r="I49" s="369"/>
    </row>
    <row r="50" spans="3:10" ht="6" customHeight="1" x14ac:dyDescent="0.3">
      <c r="C50" s="261"/>
      <c r="D50" s="265"/>
      <c r="E50" s="265"/>
      <c r="F50" s="265"/>
      <c r="G50" s="265"/>
      <c r="I50" s="369"/>
    </row>
    <row r="51" spans="3:10" ht="15" customHeight="1" x14ac:dyDescent="0.3">
      <c r="C51" s="261" t="s">
        <v>2688</v>
      </c>
      <c r="D51" s="264"/>
      <c r="E51" s="263"/>
      <c r="F51" s="264"/>
      <c r="G51" s="264"/>
      <c r="I51" s="369"/>
    </row>
    <row r="52" spans="3:10" ht="6" customHeight="1" x14ac:dyDescent="0.3">
      <c r="C52" s="261"/>
      <c r="D52" s="265"/>
      <c r="E52" s="265"/>
      <c r="F52" s="265"/>
      <c r="G52" s="265"/>
      <c r="I52" s="369"/>
    </row>
    <row r="53" spans="3:10" ht="15" customHeight="1" x14ac:dyDescent="0.3">
      <c r="C53" s="261" t="s">
        <v>2689</v>
      </c>
      <c r="D53" s="264"/>
      <c r="E53" s="263"/>
      <c r="F53" s="264"/>
      <c r="G53" s="264"/>
      <c r="I53" s="369"/>
    </row>
    <row r="54" spans="3:10" ht="18.75" customHeight="1" x14ac:dyDescent="0.3">
      <c r="C54" s="261"/>
      <c r="I54" s="369"/>
    </row>
    <row r="55" spans="3:10" ht="15" customHeight="1" x14ac:dyDescent="0.3">
      <c r="C55" s="266"/>
      <c r="D55" s="510" t="s">
        <v>235</v>
      </c>
      <c r="E55" s="510"/>
      <c r="F55" s="510"/>
      <c r="G55" s="510"/>
      <c r="I55" s="369"/>
    </row>
    <row r="56" spans="3:10" ht="6" customHeight="1" x14ac:dyDescent="0.3">
      <c r="C56" s="261"/>
      <c r="I56" s="369"/>
    </row>
    <row r="57" spans="3:10" ht="26.25" customHeight="1" x14ac:dyDescent="0.3">
      <c r="C57" s="261" t="s">
        <v>2691</v>
      </c>
      <c r="D57" s="504"/>
      <c r="E57" s="505"/>
      <c r="F57" s="505"/>
      <c r="G57" s="506"/>
      <c r="I57" s="369"/>
    </row>
    <row r="58" spans="3:10" ht="6" customHeight="1" x14ac:dyDescent="0.3">
      <c r="C58" s="261"/>
      <c r="I58" s="369"/>
    </row>
    <row r="59" spans="3:10" ht="15" customHeight="1" x14ac:dyDescent="0.3">
      <c r="C59" s="261" t="s">
        <v>2692</v>
      </c>
      <c r="D59" s="504"/>
      <c r="E59" s="505"/>
      <c r="F59" s="505"/>
      <c r="G59" s="506"/>
      <c r="I59" s="368"/>
      <c r="J59" s="461" t="str">
        <f>CONCATENATE("SDB_",B2,": ",D4," von ",D5)</f>
        <v xml:space="preserve">SDB_:  von </v>
      </c>
    </row>
    <row r="60" spans="3:10" ht="3.75" customHeight="1" x14ac:dyDescent="0.3">
      <c r="C60" s="261"/>
      <c r="I60" s="368"/>
      <c r="J60" s="461" t="str">
        <f>CONCATENATE("SDB_",B3,": ",F4," von ",F5)</f>
        <v xml:space="preserve">SDB_:  von </v>
      </c>
    </row>
    <row r="61" spans="3:10" ht="6" customHeight="1" x14ac:dyDescent="0.3">
      <c r="C61" s="261"/>
      <c r="I61" s="368"/>
    </row>
    <row r="62" spans="3:10" ht="26.25" customHeight="1" x14ac:dyDescent="0.3">
      <c r="C62" s="261" t="s">
        <v>7487</v>
      </c>
      <c r="D62" s="508"/>
      <c r="E62" s="508"/>
      <c r="F62" s="508"/>
      <c r="G62" s="255"/>
      <c r="I62" s="368"/>
      <c r="J62" s="461"/>
    </row>
    <row r="63" spans="3:10" ht="15" customHeight="1" x14ac:dyDescent="0.3">
      <c r="C63" s="267"/>
      <c r="D63" s="507" t="s">
        <v>7489</v>
      </c>
      <c r="E63" s="507"/>
      <c r="F63" s="507"/>
      <c r="G63" s="507"/>
      <c r="I63" s="369"/>
    </row>
    <row r="64" spans="3:10" ht="22.5" customHeight="1" x14ac:dyDescent="0.3">
      <c r="C64" s="261"/>
      <c r="I64" s="369"/>
    </row>
    <row r="65" spans="3:9" ht="22.5" customHeight="1" x14ac:dyDescent="0.3">
      <c r="C65" s="261" t="s">
        <v>2693</v>
      </c>
      <c r="D65" s="508"/>
      <c r="E65" s="508"/>
      <c r="F65" s="508"/>
      <c r="G65" s="268"/>
      <c r="I65" s="369"/>
    </row>
    <row r="66" spans="3:9" ht="26.25" customHeight="1" x14ac:dyDescent="0.3">
      <c r="C66" s="261"/>
      <c r="I66" s="369"/>
    </row>
    <row r="67" spans="3:9" ht="23.25" customHeight="1" x14ac:dyDescent="0.3">
      <c r="C67" s="261" t="s">
        <v>2694</v>
      </c>
      <c r="D67" s="269"/>
      <c r="F67" s="270"/>
      <c r="G67" s="255"/>
      <c r="I67" s="369"/>
    </row>
    <row r="68" spans="3:9" ht="11.25" customHeight="1" x14ac:dyDescent="0.3">
      <c r="C68" s="261"/>
      <c r="D68" s="271" t="s">
        <v>2695</v>
      </c>
      <c r="E68" s="271"/>
      <c r="F68" s="271" t="s">
        <v>2696</v>
      </c>
      <c r="I68" s="369"/>
    </row>
    <row r="69" spans="3:9" ht="33.75" customHeight="1" x14ac:dyDescent="0.25">
      <c r="D69" s="272"/>
      <c r="F69" s="273"/>
      <c r="I69" s="369"/>
    </row>
    <row r="70" spans="3:9" ht="11.25" customHeight="1" x14ac:dyDescent="0.3">
      <c r="D70" s="271" t="s">
        <v>2695</v>
      </c>
      <c r="E70" s="271"/>
      <c r="F70" s="271" t="s">
        <v>2696</v>
      </c>
      <c r="I70" s="369"/>
    </row>
  </sheetData>
  <sheetProtection sheet="1" selectLockedCells="1"/>
  <mergeCells count="12">
    <mergeCell ref="F1:G1"/>
    <mergeCell ref="D7:G7"/>
    <mergeCell ref="D27:G27"/>
    <mergeCell ref="D45:G45"/>
    <mergeCell ref="D55:G55"/>
    <mergeCell ref="G4:G5"/>
    <mergeCell ref="I2:I3"/>
    <mergeCell ref="D57:G57"/>
    <mergeCell ref="D63:G63"/>
    <mergeCell ref="D65:F65"/>
    <mergeCell ref="D62:F62"/>
    <mergeCell ref="D59:G59"/>
  </mergeCells>
  <conditionalFormatting sqref="G9 G11 G13 G15 G17 G19 G21 G23 G25 G31 G33 G39 G41 G47 G49 G51 G53">
    <cfRule type="cellIs" dxfId="23" priority="13" operator="equal">
      <formula>2</formula>
    </cfRule>
    <cfRule type="cellIs" dxfId="22" priority="14" operator="equal">
      <formula>1</formula>
    </cfRule>
    <cfRule type="cellIs" dxfId="21" priority="15" operator="equal">
      <formula>0</formula>
    </cfRule>
  </conditionalFormatting>
  <conditionalFormatting sqref="G29">
    <cfRule type="cellIs" dxfId="20" priority="10" operator="equal">
      <formula>2</formula>
    </cfRule>
    <cfRule type="cellIs" dxfId="19" priority="11" operator="equal">
      <formula>1</formula>
    </cfRule>
    <cfRule type="cellIs" dxfId="18" priority="12" operator="equal">
      <formula>0</formula>
    </cfRule>
  </conditionalFormatting>
  <conditionalFormatting sqref="G35">
    <cfRule type="cellIs" dxfId="17" priority="7" operator="equal">
      <formula>2</formula>
    </cfRule>
    <cfRule type="cellIs" dxfId="16" priority="8" operator="equal">
      <formula>1</formula>
    </cfRule>
    <cfRule type="cellIs" dxfId="15" priority="9" operator="equal">
      <formula>0</formula>
    </cfRule>
  </conditionalFormatting>
  <conditionalFormatting sqref="G37">
    <cfRule type="cellIs" dxfId="14" priority="4" operator="equal">
      <formula>2</formula>
    </cfRule>
    <cfRule type="cellIs" dxfId="13" priority="5" operator="equal">
      <formula>1</formula>
    </cfRule>
    <cfRule type="cellIs" dxfId="12" priority="6" operator="equal">
      <formula>0</formula>
    </cfRule>
  </conditionalFormatting>
  <conditionalFormatting sqref="G43">
    <cfRule type="cellIs" dxfId="11" priority="1" operator="equal">
      <formula>2</formula>
    </cfRule>
    <cfRule type="cellIs" dxfId="10" priority="2" operator="equal">
      <formula>1</formula>
    </cfRule>
    <cfRule type="cellIs" dxfId="9" priority="3" operator="equal">
      <formula>0</formula>
    </cfRule>
  </conditionalFormatting>
  <dataValidations count="6">
    <dataValidation allowBlank="1" showInputMessage="1" showErrorMessage="1" promptTitle="?" prompt="0 = entfällt_x000a_1 = Verbesserung_x000a_2 = Verschlechterung " sqref="G4" xr:uid="{F7BC6168-F1DF-445F-9714-F7869AF6BDA8}"/>
    <dataValidation type="list" allowBlank="1" showInputMessage="1" showErrorMessage="1" sqref="D47 F47" xr:uid="{AC864E81-3A45-486F-834B-4450E3F1ED8B}">
      <formula1>sub_Anforderungen</formula1>
    </dataValidation>
    <dataValidation type="list" allowBlank="1" showInputMessage="1" showErrorMessage="1" sqref="D49 F49 D51 F51" xr:uid="{9F89B251-3077-4221-A1DF-AA4C3823F06D}">
      <formula1>sub_Konsequenzen</formula1>
    </dataValidation>
    <dataValidation type="list" allowBlank="1" showInputMessage="1" showErrorMessage="1" sqref="F53 D53" xr:uid="{C1A543D1-1B1E-4C93-B683-5B8B410A1228}">
      <formula1>sub_Preis</formula1>
    </dataValidation>
    <dataValidation type="list" allowBlank="1" showInputMessage="1" showErrorMessage="1" sqref="D57:G57" xr:uid="{C1C11DF6-52B3-4C33-8790-19E2895D2B66}">
      <formula1>sub_auswahl</formula1>
    </dataValidation>
    <dataValidation type="list" allowBlank="1" showInputMessage="1" showErrorMessage="1" sqref="D59:G59" xr:uid="{3B193303-ED1A-4CF6-90F9-D777F187A490}">
      <formula1>$J$59:$J$60</formula1>
    </dataValidation>
  </dataValidations>
  <hyperlinks>
    <hyperlink ref="I2" location="Gefahrstoffverzeichnis!A9" display="zurück" xr:uid="{4C2C8A15-4207-4A99-B1C2-8888E896A05A}"/>
    <hyperlink ref="I2:I3" location="Gefahrstoffverzeichnis!DU6" display="Û" xr:uid="{4A6A043C-F89D-48BF-9B03-4D7D53C2BF86}"/>
  </hyperlinks>
  <pageMargins left="0.39370078740157483" right="0.39370078740157483" top="0.39370078740157483" bottom="0.39370078740157483" header="0.19685039370078741" footer="0.19685039370078741"/>
  <pageSetup paperSize="9" scale="68" pageOrder="overThenDown" orientation="landscape" r:id="rId1"/>
  <headerFooter>
    <oddFooter>&amp;L&amp;G&amp;R&amp;"Arial,Standard"&amp;9Seite &amp;P / &amp;N</oddFooter>
  </headerFooter>
  <colBreaks count="1" manualBreakCount="1">
    <brk id="8" max="70" man="1"/>
  </colBreaks>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AO381"/>
  <sheetViews>
    <sheetView showGridLines="0" zoomScaleNormal="100" workbookViewId="0">
      <selection activeCell="F19" sqref="F19"/>
    </sheetView>
  </sheetViews>
  <sheetFormatPr baseColWidth="10" defaultColWidth="11.44140625" defaultRowHeight="13.8" x14ac:dyDescent="0.25"/>
  <cols>
    <col min="1" max="9" width="19.44140625" style="104" customWidth="1"/>
    <col min="10" max="16384" width="11.44140625" style="104"/>
  </cols>
  <sheetData>
    <row r="1" spans="1:41" ht="37.5" customHeight="1" thickBot="1" x14ac:dyDescent="0.35">
      <c r="A1" s="108" t="s">
        <v>29</v>
      </c>
      <c r="B1" s="103"/>
      <c r="C1" s="103"/>
      <c r="D1" s="103"/>
      <c r="E1" s="103"/>
      <c r="F1" s="103"/>
      <c r="G1" s="103"/>
      <c r="H1" s="103"/>
      <c r="I1" s="103"/>
    </row>
    <row r="2" spans="1:41" ht="18.75" customHeight="1" thickBot="1" x14ac:dyDescent="0.3">
      <c r="A2" s="130" t="s">
        <v>462</v>
      </c>
      <c r="B2" s="131" t="s">
        <v>463</v>
      </c>
      <c r="C2" s="131" t="s">
        <v>464</v>
      </c>
      <c r="D2" s="131" t="s">
        <v>465</v>
      </c>
      <c r="E2" s="131" t="s">
        <v>466</v>
      </c>
      <c r="F2" s="131" t="s">
        <v>467</v>
      </c>
      <c r="G2" s="131" t="s">
        <v>468</v>
      </c>
      <c r="H2" s="131" t="s">
        <v>469</v>
      </c>
      <c r="I2" s="131" t="s">
        <v>470</v>
      </c>
    </row>
    <row r="3" spans="1:41" ht="37.5" customHeight="1" thickBot="1" x14ac:dyDescent="0.3">
      <c r="A3" s="132" t="s">
        <v>508</v>
      </c>
      <c r="B3" s="133" t="s">
        <v>500</v>
      </c>
      <c r="C3" s="133" t="s">
        <v>501</v>
      </c>
      <c r="D3" s="133" t="s">
        <v>502</v>
      </c>
      <c r="E3" s="133" t="s">
        <v>503</v>
      </c>
      <c r="F3" s="133" t="s">
        <v>504</v>
      </c>
      <c r="G3" s="133" t="s">
        <v>505</v>
      </c>
      <c r="H3" s="133" t="s">
        <v>506</v>
      </c>
      <c r="I3" s="133" t="s">
        <v>507</v>
      </c>
    </row>
    <row r="4" spans="1:41" ht="18.75" customHeight="1" thickBot="1" x14ac:dyDescent="0.3">
      <c r="A4" s="105" t="s">
        <v>175</v>
      </c>
      <c r="B4" s="106" t="s">
        <v>176</v>
      </c>
      <c r="C4" s="106" t="s">
        <v>177</v>
      </c>
      <c r="D4" s="106" t="s">
        <v>178</v>
      </c>
      <c r="E4" s="106" t="s">
        <v>179</v>
      </c>
      <c r="F4" s="106" t="s">
        <v>180</v>
      </c>
      <c r="G4" s="106" t="s">
        <v>181</v>
      </c>
      <c r="H4" s="106" t="s">
        <v>182</v>
      </c>
      <c r="I4" s="106" t="s">
        <v>183</v>
      </c>
    </row>
    <row r="5" spans="1:41" ht="75" customHeight="1" thickBot="1" x14ac:dyDescent="0.3">
      <c r="A5" s="109"/>
      <c r="B5" s="110"/>
      <c r="C5" s="110"/>
      <c r="D5" s="110"/>
      <c r="E5" s="110"/>
      <c r="F5" s="110"/>
      <c r="G5" s="110"/>
      <c r="H5" s="111"/>
      <c r="I5" s="111"/>
    </row>
    <row r="7" spans="1:41" x14ac:dyDescent="0.25">
      <c r="AM7" s="107"/>
      <c r="AO7" s="107"/>
    </row>
    <row r="8" spans="1:41" x14ac:dyDescent="0.25">
      <c r="AM8" s="107"/>
      <c r="AO8" s="107"/>
    </row>
    <row r="9" spans="1:41" x14ac:dyDescent="0.25">
      <c r="AM9" s="107"/>
      <c r="AO9" s="107"/>
    </row>
    <row r="10" spans="1:41" x14ac:dyDescent="0.25">
      <c r="AM10" s="107"/>
      <c r="AO10" s="107"/>
    </row>
    <row r="11" spans="1:41" x14ac:dyDescent="0.25">
      <c r="AM11" s="107"/>
      <c r="AO11" s="107"/>
    </row>
    <row r="12" spans="1:41" x14ac:dyDescent="0.25">
      <c r="AM12" s="107"/>
      <c r="AO12" s="107"/>
    </row>
    <row r="13" spans="1:41" x14ac:dyDescent="0.25">
      <c r="AM13" s="107"/>
      <c r="AO13" s="107"/>
    </row>
    <row r="14" spans="1:41" x14ac:dyDescent="0.25">
      <c r="AM14" s="107"/>
      <c r="AO14" s="107"/>
    </row>
    <row r="15" spans="1:41" x14ac:dyDescent="0.25">
      <c r="AM15" s="107"/>
      <c r="AO15" s="107"/>
    </row>
    <row r="16" spans="1:41" x14ac:dyDescent="0.25">
      <c r="AM16" s="107"/>
      <c r="AO16" s="107"/>
    </row>
    <row r="17" spans="39:41" x14ac:dyDescent="0.25">
      <c r="AM17" s="107"/>
      <c r="AO17" s="107"/>
    </row>
    <row r="18" spans="39:41" x14ac:dyDescent="0.25">
      <c r="AM18" s="107"/>
      <c r="AO18" s="107"/>
    </row>
    <row r="19" spans="39:41" x14ac:dyDescent="0.25">
      <c r="AM19" s="107"/>
      <c r="AO19" s="107"/>
    </row>
    <row r="20" spans="39:41" x14ac:dyDescent="0.25">
      <c r="AM20" s="107"/>
      <c r="AO20" s="107"/>
    </row>
    <row r="21" spans="39:41" x14ac:dyDescent="0.25">
      <c r="AM21" s="107"/>
      <c r="AO21" s="107"/>
    </row>
    <row r="22" spans="39:41" x14ac:dyDescent="0.25">
      <c r="AM22" s="107"/>
      <c r="AO22" s="107"/>
    </row>
    <row r="23" spans="39:41" x14ac:dyDescent="0.25">
      <c r="AM23" s="107"/>
      <c r="AO23" s="107"/>
    </row>
    <row r="24" spans="39:41" x14ac:dyDescent="0.25">
      <c r="AM24" s="107"/>
      <c r="AO24" s="107"/>
    </row>
    <row r="25" spans="39:41" x14ac:dyDescent="0.25">
      <c r="AM25" s="107"/>
      <c r="AO25" s="107"/>
    </row>
    <row r="26" spans="39:41" x14ac:dyDescent="0.25">
      <c r="AM26" s="107"/>
      <c r="AO26" s="107"/>
    </row>
    <row r="27" spans="39:41" x14ac:dyDescent="0.25">
      <c r="AM27" s="107"/>
      <c r="AO27" s="107"/>
    </row>
    <row r="28" spans="39:41" x14ac:dyDescent="0.25">
      <c r="AM28" s="107"/>
      <c r="AO28" s="107"/>
    </row>
    <row r="29" spans="39:41" x14ac:dyDescent="0.25">
      <c r="AM29" s="107"/>
      <c r="AO29" s="107"/>
    </row>
    <row r="30" spans="39:41" x14ac:dyDescent="0.25">
      <c r="AM30" s="107"/>
      <c r="AO30" s="107"/>
    </row>
    <row r="31" spans="39:41" x14ac:dyDescent="0.25">
      <c r="AM31" s="107"/>
      <c r="AO31" s="107"/>
    </row>
    <row r="32" spans="39:41" x14ac:dyDescent="0.25">
      <c r="AM32" s="107"/>
      <c r="AO32" s="107"/>
    </row>
    <row r="33" spans="39:41" x14ac:dyDescent="0.25">
      <c r="AM33" s="107"/>
      <c r="AO33" s="107"/>
    </row>
    <row r="34" spans="39:41" x14ac:dyDescent="0.25">
      <c r="AM34" s="107"/>
      <c r="AO34" s="107"/>
    </row>
    <row r="35" spans="39:41" x14ac:dyDescent="0.25">
      <c r="AM35" s="107"/>
      <c r="AO35" s="107"/>
    </row>
    <row r="36" spans="39:41" x14ac:dyDescent="0.25">
      <c r="AM36" s="107"/>
      <c r="AO36" s="107"/>
    </row>
    <row r="37" spans="39:41" x14ac:dyDescent="0.25">
      <c r="AM37" s="107"/>
      <c r="AO37" s="107"/>
    </row>
    <row r="38" spans="39:41" x14ac:dyDescent="0.25">
      <c r="AM38" s="107"/>
      <c r="AO38" s="107"/>
    </row>
    <row r="39" spans="39:41" x14ac:dyDescent="0.25">
      <c r="AM39" s="107"/>
      <c r="AO39" s="107"/>
    </row>
    <row r="40" spans="39:41" x14ac:dyDescent="0.25">
      <c r="AM40" s="107"/>
      <c r="AO40" s="107"/>
    </row>
    <row r="41" spans="39:41" x14ac:dyDescent="0.25">
      <c r="AM41" s="107"/>
      <c r="AO41" s="107"/>
    </row>
    <row r="42" spans="39:41" x14ac:dyDescent="0.25">
      <c r="AM42" s="107"/>
      <c r="AO42" s="107"/>
    </row>
    <row r="43" spans="39:41" x14ac:dyDescent="0.25">
      <c r="AM43" s="107"/>
      <c r="AO43" s="107"/>
    </row>
    <row r="44" spans="39:41" x14ac:dyDescent="0.25">
      <c r="AM44" s="107"/>
      <c r="AO44" s="107"/>
    </row>
    <row r="45" spans="39:41" x14ac:dyDescent="0.25">
      <c r="AM45" s="107"/>
      <c r="AO45" s="107"/>
    </row>
    <row r="46" spans="39:41" x14ac:dyDescent="0.25">
      <c r="AM46" s="107"/>
      <c r="AO46" s="107"/>
    </row>
    <row r="47" spans="39:41" x14ac:dyDescent="0.25">
      <c r="AM47" s="107"/>
      <c r="AO47" s="107"/>
    </row>
    <row r="48" spans="39:41" x14ac:dyDescent="0.25">
      <c r="AM48" s="107"/>
      <c r="AO48" s="107"/>
    </row>
    <row r="49" spans="39:41" x14ac:dyDescent="0.25">
      <c r="AM49" s="107"/>
      <c r="AO49" s="107"/>
    </row>
    <row r="50" spans="39:41" x14ac:dyDescent="0.25">
      <c r="AM50" s="107"/>
      <c r="AO50" s="107"/>
    </row>
    <row r="51" spans="39:41" x14ac:dyDescent="0.25">
      <c r="AM51" s="107"/>
      <c r="AO51" s="107"/>
    </row>
    <row r="52" spans="39:41" x14ac:dyDescent="0.25">
      <c r="AM52" s="107"/>
      <c r="AO52" s="107"/>
    </row>
    <row r="53" spans="39:41" x14ac:dyDescent="0.25">
      <c r="AM53" s="107"/>
      <c r="AO53" s="107"/>
    </row>
    <row r="54" spans="39:41" x14ac:dyDescent="0.25">
      <c r="AM54" s="107"/>
      <c r="AO54" s="107"/>
    </row>
    <row r="55" spans="39:41" x14ac:dyDescent="0.25">
      <c r="AM55" s="107"/>
      <c r="AO55" s="107"/>
    </row>
    <row r="56" spans="39:41" x14ac:dyDescent="0.25">
      <c r="AM56" s="107"/>
      <c r="AO56" s="107"/>
    </row>
    <row r="57" spans="39:41" x14ac:dyDescent="0.25">
      <c r="AM57" s="107"/>
      <c r="AO57" s="107"/>
    </row>
    <row r="58" spans="39:41" x14ac:dyDescent="0.25">
      <c r="AM58" s="107"/>
      <c r="AO58" s="107"/>
    </row>
    <row r="59" spans="39:41" x14ac:dyDescent="0.25">
      <c r="AM59" s="107"/>
      <c r="AO59" s="107"/>
    </row>
    <row r="60" spans="39:41" x14ac:dyDescent="0.25">
      <c r="AM60" s="107"/>
      <c r="AO60" s="107"/>
    </row>
    <row r="61" spans="39:41" x14ac:dyDescent="0.25">
      <c r="AM61" s="107"/>
      <c r="AO61" s="107"/>
    </row>
    <row r="62" spans="39:41" x14ac:dyDescent="0.25">
      <c r="AM62" s="107"/>
      <c r="AO62" s="107"/>
    </row>
    <row r="63" spans="39:41" x14ac:dyDescent="0.25">
      <c r="AM63" s="107"/>
      <c r="AO63" s="107"/>
    </row>
    <row r="64" spans="39:41" x14ac:dyDescent="0.25">
      <c r="AM64" s="107"/>
      <c r="AO64" s="107"/>
    </row>
    <row r="65" spans="39:41" x14ac:dyDescent="0.25">
      <c r="AM65" s="107"/>
      <c r="AO65" s="107"/>
    </row>
    <row r="66" spans="39:41" x14ac:dyDescent="0.25">
      <c r="AM66" s="107"/>
      <c r="AO66" s="107"/>
    </row>
    <row r="67" spans="39:41" x14ac:dyDescent="0.25">
      <c r="AM67" s="107"/>
      <c r="AO67" s="107"/>
    </row>
    <row r="68" spans="39:41" x14ac:dyDescent="0.25">
      <c r="AM68" s="107"/>
      <c r="AO68" s="107"/>
    </row>
    <row r="69" spans="39:41" x14ac:dyDescent="0.25">
      <c r="AM69" s="107"/>
      <c r="AO69" s="107"/>
    </row>
    <row r="70" spans="39:41" x14ac:dyDescent="0.25">
      <c r="AM70" s="107"/>
      <c r="AO70" s="107"/>
    </row>
    <row r="71" spans="39:41" x14ac:dyDescent="0.25">
      <c r="AM71" s="107"/>
      <c r="AO71" s="107"/>
    </row>
    <row r="72" spans="39:41" x14ac:dyDescent="0.25">
      <c r="AM72" s="107"/>
      <c r="AO72" s="107"/>
    </row>
    <row r="73" spans="39:41" x14ac:dyDescent="0.25">
      <c r="AM73" s="107"/>
      <c r="AO73" s="107"/>
    </row>
    <row r="74" spans="39:41" x14ac:dyDescent="0.25">
      <c r="AM74" s="107"/>
      <c r="AO74" s="107"/>
    </row>
    <row r="75" spans="39:41" x14ac:dyDescent="0.25">
      <c r="AM75" s="107"/>
      <c r="AO75" s="107"/>
    </row>
    <row r="76" spans="39:41" x14ac:dyDescent="0.25">
      <c r="AM76" s="107"/>
      <c r="AO76" s="107"/>
    </row>
    <row r="77" spans="39:41" x14ac:dyDescent="0.25">
      <c r="AM77" s="107"/>
      <c r="AO77" s="107"/>
    </row>
    <row r="78" spans="39:41" x14ac:dyDescent="0.25">
      <c r="AM78" s="107"/>
      <c r="AO78" s="107"/>
    </row>
    <row r="79" spans="39:41" x14ac:dyDescent="0.25">
      <c r="AM79" s="107"/>
      <c r="AO79" s="107"/>
    </row>
    <row r="80" spans="39:41" x14ac:dyDescent="0.25">
      <c r="AM80" s="107"/>
      <c r="AO80" s="107"/>
    </row>
    <row r="81" spans="39:41" x14ac:dyDescent="0.25">
      <c r="AM81" s="107"/>
      <c r="AO81" s="107"/>
    </row>
    <row r="82" spans="39:41" x14ac:dyDescent="0.25">
      <c r="AM82" s="107"/>
      <c r="AO82" s="107"/>
    </row>
    <row r="83" spans="39:41" x14ac:dyDescent="0.25">
      <c r="AM83" s="107"/>
      <c r="AO83" s="107"/>
    </row>
    <row r="84" spans="39:41" x14ac:dyDescent="0.25">
      <c r="AM84" s="107"/>
      <c r="AO84" s="107"/>
    </row>
    <row r="85" spans="39:41" x14ac:dyDescent="0.25">
      <c r="AM85" s="107"/>
      <c r="AO85" s="107"/>
    </row>
    <row r="86" spans="39:41" x14ac:dyDescent="0.25">
      <c r="AM86" s="107"/>
      <c r="AO86" s="107"/>
    </row>
    <row r="87" spans="39:41" x14ac:dyDescent="0.25">
      <c r="AM87" s="107"/>
      <c r="AO87" s="107"/>
    </row>
    <row r="88" spans="39:41" x14ac:dyDescent="0.25">
      <c r="AM88" s="107"/>
      <c r="AO88" s="107"/>
    </row>
    <row r="89" spans="39:41" x14ac:dyDescent="0.25">
      <c r="AM89" s="107"/>
      <c r="AO89" s="107"/>
    </row>
    <row r="90" spans="39:41" x14ac:dyDescent="0.25">
      <c r="AM90" s="107"/>
      <c r="AO90" s="107"/>
    </row>
    <row r="91" spans="39:41" x14ac:dyDescent="0.25">
      <c r="AM91" s="107"/>
      <c r="AO91" s="107"/>
    </row>
    <row r="92" spans="39:41" x14ac:dyDescent="0.25">
      <c r="AM92" s="107"/>
      <c r="AO92" s="107"/>
    </row>
    <row r="93" spans="39:41" x14ac:dyDescent="0.25">
      <c r="AM93" s="107"/>
      <c r="AO93" s="107"/>
    </row>
    <row r="94" spans="39:41" x14ac:dyDescent="0.25">
      <c r="AM94" s="107"/>
      <c r="AO94" s="107"/>
    </row>
    <row r="95" spans="39:41" x14ac:dyDescent="0.25">
      <c r="AM95" s="107"/>
      <c r="AO95" s="107"/>
    </row>
    <row r="96" spans="39:41" x14ac:dyDescent="0.25">
      <c r="AM96" s="107"/>
      <c r="AO96" s="107"/>
    </row>
    <row r="97" spans="39:41" x14ac:dyDescent="0.25">
      <c r="AM97" s="107"/>
      <c r="AO97" s="107"/>
    </row>
    <row r="98" spans="39:41" x14ac:dyDescent="0.25">
      <c r="AM98" s="107"/>
      <c r="AO98" s="107"/>
    </row>
    <row r="99" spans="39:41" x14ac:dyDescent="0.25">
      <c r="AM99" s="107"/>
      <c r="AO99" s="107"/>
    </row>
    <row r="100" spans="39:41" x14ac:dyDescent="0.25">
      <c r="AM100" s="107"/>
      <c r="AO100" s="107"/>
    </row>
    <row r="101" spans="39:41" x14ac:dyDescent="0.25">
      <c r="AM101" s="107"/>
      <c r="AO101" s="107"/>
    </row>
    <row r="102" spans="39:41" x14ac:dyDescent="0.25">
      <c r="AM102" s="107"/>
      <c r="AO102" s="107"/>
    </row>
    <row r="103" spans="39:41" x14ac:dyDescent="0.25">
      <c r="AM103" s="107"/>
      <c r="AO103" s="107"/>
    </row>
    <row r="104" spans="39:41" x14ac:dyDescent="0.25">
      <c r="AM104" s="107"/>
      <c r="AO104" s="107"/>
    </row>
    <row r="105" spans="39:41" x14ac:dyDescent="0.25">
      <c r="AM105" s="107"/>
      <c r="AO105" s="107"/>
    </row>
    <row r="106" spans="39:41" x14ac:dyDescent="0.25">
      <c r="AM106" s="107"/>
      <c r="AO106" s="107"/>
    </row>
    <row r="107" spans="39:41" x14ac:dyDescent="0.25">
      <c r="AM107" s="107"/>
      <c r="AO107" s="107"/>
    </row>
    <row r="108" spans="39:41" x14ac:dyDescent="0.25">
      <c r="AM108" s="107"/>
      <c r="AO108" s="107"/>
    </row>
    <row r="109" spans="39:41" x14ac:dyDescent="0.25">
      <c r="AM109" s="107"/>
      <c r="AO109" s="107"/>
    </row>
    <row r="110" spans="39:41" x14ac:dyDescent="0.25">
      <c r="AM110" s="107"/>
      <c r="AO110" s="107"/>
    </row>
    <row r="111" spans="39:41" x14ac:dyDescent="0.25">
      <c r="AM111" s="107"/>
      <c r="AO111" s="107"/>
    </row>
    <row r="112" spans="39:41" x14ac:dyDescent="0.25">
      <c r="AM112" s="107"/>
      <c r="AO112" s="107"/>
    </row>
    <row r="113" spans="39:41" x14ac:dyDescent="0.25">
      <c r="AM113" s="107"/>
      <c r="AO113" s="107"/>
    </row>
    <row r="114" spans="39:41" x14ac:dyDescent="0.25">
      <c r="AM114" s="107"/>
      <c r="AO114" s="107"/>
    </row>
    <row r="115" spans="39:41" x14ac:dyDescent="0.25">
      <c r="AM115" s="107"/>
      <c r="AO115" s="107"/>
    </row>
    <row r="116" spans="39:41" x14ac:dyDescent="0.25">
      <c r="AM116" s="107"/>
      <c r="AO116" s="107"/>
    </row>
    <row r="117" spans="39:41" x14ac:dyDescent="0.25">
      <c r="AM117" s="107"/>
      <c r="AO117" s="107"/>
    </row>
    <row r="118" spans="39:41" x14ac:dyDescent="0.25">
      <c r="AM118" s="107"/>
      <c r="AO118" s="107"/>
    </row>
    <row r="119" spans="39:41" x14ac:dyDescent="0.25">
      <c r="AM119" s="107"/>
      <c r="AO119" s="107"/>
    </row>
    <row r="120" spans="39:41" x14ac:dyDescent="0.25">
      <c r="AM120" s="107"/>
      <c r="AO120" s="107"/>
    </row>
    <row r="121" spans="39:41" x14ac:dyDescent="0.25">
      <c r="AM121" s="107"/>
      <c r="AO121" s="107"/>
    </row>
    <row r="122" spans="39:41" x14ac:dyDescent="0.25">
      <c r="AM122" s="107"/>
      <c r="AO122" s="107"/>
    </row>
    <row r="123" spans="39:41" x14ac:dyDescent="0.25">
      <c r="AM123" s="107"/>
      <c r="AO123" s="107"/>
    </row>
    <row r="124" spans="39:41" x14ac:dyDescent="0.25">
      <c r="AM124" s="107"/>
      <c r="AO124" s="107"/>
    </row>
    <row r="125" spans="39:41" x14ac:dyDescent="0.25">
      <c r="AM125" s="107"/>
      <c r="AO125" s="107"/>
    </row>
    <row r="126" spans="39:41" x14ac:dyDescent="0.25">
      <c r="AM126" s="107"/>
      <c r="AO126" s="107"/>
    </row>
    <row r="127" spans="39:41" x14ac:dyDescent="0.25">
      <c r="AM127" s="107"/>
      <c r="AO127" s="107"/>
    </row>
    <row r="128" spans="39:41" x14ac:dyDescent="0.25">
      <c r="AM128" s="107"/>
      <c r="AO128" s="107"/>
    </row>
    <row r="129" spans="39:41" x14ac:dyDescent="0.25">
      <c r="AM129" s="107"/>
      <c r="AO129" s="107"/>
    </row>
    <row r="130" spans="39:41" x14ac:dyDescent="0.25">
      <c r="AM130" s="107"/>
      <c r="AO130" s="107"/>
    </row>
    <row r="131" spans="39:41" x14ac:dyDescent="0.25">
      <c r="AM131" s="107"/>
      <c r="AO131" s="107"/>
    </row>
    <row r="132" spans="39:41" x14ac:dyDescent="0.25">
      <c r="AM132" s="107"/>
      <c r="AO132" s="107"/>
    </row>
    <row r="133" spans="39:41" x14ac:dyDescent="0.25">
      <c r="AM133" s="107"/>
      <c r="AO133" s="107"/>
    </row>
    <row r="134" spans="39:41" x14ac:dyDescent="0.25">
      <c r="AM134" s="107"/>
      <c r="AO134" s="107"/>
    </row>
    <row r="135" spans="39:41" x14ac:dyDescent="0.25">
      <c r="AM135" s="107"/>
      <c r="AO135" s="107"/>
    </row>
    <row r="136" spans="39:41" x14ac:dyDescent="0.25">
      <c r="AM136" s="107"/>
      <c r="AO136" s="107"/>
    </row>
    <row r="137" spans="39:41" x14ac:dyDescent="0.25">
      <c r="AM137" s="107"/>
      <c r="AO137" s="107"/>
    </row>
    <row r="138" spans="39:41" x14ac:dyDescent="0.25">
      <c r="AM138" s="107"/>
      <c r="AO138" s="107"/>
    </row>
    <row r="139" spans="39:41" x14ac:dyDescent="0.25">
      <c r="AM139" s="107"/>
      <c r="AO139" s="107"/>
    </row>
    <row r="140" spans="39:41" x14ac:dyDescent="0.25">
      <c r="AM140" s="107"/>
      <c r="AO140" s="107"/>
    </row>
    <row r="141" spans="39:41" x14ac:dyDescent="0.25">
      <c r="AM141" s="107"/>
      <c r="AO141" s="107"/>
    </row>
    <row r="142" spans="39:41" x14ac:dyDescent="0.25">
      <c r="AM142" s="107"/>
      <c r="AO142" s="107"/>
    </row>
    <row r="143" spans="39:41" x14ac:dyDescent="0.25">
      <c r="AM143" s="107"/>
      <c r="AO143" s="107"/>
    </row>
    <row r="144" spans="39:41" x14ac:dyDescent="0.25">
      <c r="AM144" s="107"/>
      <c r="AO144" s="107"/>
    </row>
    <row r="145" spans="39:41" x14ac:dyDescent="0.25">
      <c r="AM145" s="107"/>
      <c r="AO145" s="107"/>
    </row>
    <row r="146" spans="39:41" x14ac:dyDescent="0.25">
      <c r="AM146" s="107"/>
      <c r="AO146" s="107"/>
    </row>
    <row r="147" spans="39:41" x14ac:dyDescent="0.25">
      <c r="AM147" s="107"/>
      <c r="AO147" s="107"/>
    </row>
    <row r="148" spans="39:41" x14ac:dyDescent="0.25">
      <c r="AM148" s="107"/>
      <c r="AO148" s="107"/>
    </row>
    <row r="149" spans="39:41" x14ac:dyDescent="0.25">
      <c r="AM149" s="107"/>
      <c r="AO149" s="107"/>
    </row>
    <row r="150" spans="39:41" x14ac:dyDescent="0.25">
      <c r="AM150" s="107"/>
      <c r="AO150" s="107"/>
    </row>
    <row r="151" spans="39:41" x14ac:dyDescent="0.25">
      <c r="AM151" s="107"/>
      <c r="AO151" s="107"/>
    </row>
    <row r="152" spans="39:41" x14ac:dyDescent="0.25">
      <c r="AM152" s="107"/>
      <c r="AO152" s="107"/>
    </row>
    <row r="153" spans="39:41" x14ac:dyDescent="0.25">
      <c r="AM153" s="107"/>
      <c r="AO153" s="107"/>
    </row>
    <row r="154" spans="39:41" x14ac:dyDescent="0.25">
      <c r="AM154" s="107"/>
      <c r="AO154" s="107"/>
    </row>
    <row r="155" spans="39:41" x14ac:dyDescent="0.25">
      <c r="AM155" s="107"/>
      <c r="AO155" s="107"/>
    </row>
    <row r="156" spans="39:41" x14ac:dyDescent="0.25">
      <c r="AM156" s="107"/>
      <c r="AO156" s="107"/>
    </row>
    <row r="157" spans="39:41" x14ac:dyDescent="0.25">
      <c r="AM157" s="107"/>
      <c r="AO157" s="107"/>
    </row>
    <row r="158" spans="39:41" x14ac:dyDescent="0.25">
      <c r="AM158" s="107"/>
      <c r="AO158" s="107"/>
    </row>
    <row r="159" spans="39:41" x14ac:dyDescent="0.25">
      <c r="AM159" s="107"/>
      <c r="AO159" s="107"/>
    </row>
    <row r="160" spans="39:41" x14ac:dyDescent="0.25">
      <c r="AM160" s="107"/>
      <c r="AO160" s="107"/>
    </row>
    <row r="161" spans="39:41" x14ac:dyDescent="0.25">
      <c r="AM161" s="107"/>
      <c r="AO161" s="107"/>
    </row>
    <row r="162" spans="39:41" x14ac:dyDescent="0.25">
      <c r="AM162" s="107"/>
      <c r="AO162" s="107"/>
    </row>
    <row r="163" spans="39:41" x14ac:dyDescent="0.25">
      <c r="AM163" s="107"/>
      <c r="AO163" s="107"/>
    </row>
    <row r="164" spans="39:41" x14ac:dyDescent="0.25">
      <c r="AM164" s="107"/>
      <c r="AO164" s="107"/>
    </row>
    <row r="165" spans="39:41" x14ac:dyDescent="0.25">
      <c r="AM165" s="107"/>
      <c r="AO165" s="107"/>
    </row>
    <row r="166" spans="39:41" x14ac:dyDescent="0.25">
      <c r="AM166" s="107"/>
      <c r="AO166" s="107"/>
    </row>
    <row r="167" spans="39:41" x14ac:dyDescent="0.25">
      <c r="AM167" s="107"/>
      <c r="AO167" s="107"/>
    </row>
    <row r="168" spans="39:41" x14ac:dyDescent="0.25">
      <c r="AM168" s="107"/>
      <c r="AO168" s="107"/>
    </row>
    <row r="169" spans="39:41" x14ac:dyDescent="0.25">
      <c r="AM169" s="107"/>
      <c r="AO169" s="107"/>
    </row>
    <row r="170" spans="39:41" x14ac:dyDescent="0.25">
      <c r="AM170" s="107"/>
      <c r="AO170" s="107"/>
    </row>
    <row r="171" spans="39:41" x14ac:dyDescent="0.25">
      <c r="AM171" s="107"/>
      <c r="AO171" s="107"/>
    </row>
    <row r="172" spans="39:41" x14ac:dyDescent="0.25">
      <c r="AM172" s="107"/>
      <c r="AO172" s="107"/>
    </row>
    <row r="173" spans="39:41" x14ac:dyDescent="0.25">
      <c r="AM173" s="107"/>
      <c r="AO173" s="107"/>
    </row>
    <row r="174" spans="39:41" x14ac:dyDescent="0.25">
      <c r="AM174" s="107"/>
      <c r="AO174" s="107"/>
    </row>
    <row r="175" spans="39:41" x14ac:dyDescent="0.25">
      <c r="AM175" s="107"/>
      <c r="AO175" s="107"/>
    </row>
    <row r="176" spans="39:41" x14ac:dyDescent="0.25">
      <c r="AM176" s="107"/>
      <c r="AO176" s="107"/>
    </row>
    <row r="177" spans="39:41" x14ac:dyDescent="0.25">
      <c r="AM177" s="107"/>
      <c r="AO177" s="107"/>
    </row>
    <row r="178" spans="39:41" x14ac:dyDescent="0.25">
      <c r="AM178" s="107"/>
      <c r="AO178" s="107"/>
    </row>
    <row r="179" spans="39:41" x14ac:dyDescent="0.25">
      <c r="AM179" s="107"/>
      <c r="AO179" s="107"/>
    </row>
    <row r="180" spans="39:41" x14ac:dyDescent="0.25">
      <c r="AM180" s="107"/>
      <c r="AO180" s="107"/>
    </row>
    <row r="181" spans="39:41" x14ac:dyDescent="0.25">
      <c r="AM181" s="107"/>
      <c r="AO181" s="107"/>
    </row>
    <row r="182" spans="39:41" x14ac:dyDescent="0.25">
      <c r="AM182" s="107"/>
      <c r="AO182" s="107"/>
    </row>
    <row r="183" spans="39:41" x14ac:dyDescent="0.25">
      <c r="AM183" s="107"/>
      <c r="AO183" s="107"/>
    </row>
    <row r="184" spans="39:41" x14ac:dyDescent="0.25">
      <c r="AM184" s="107"/>
      <c r="AO184" s="107"/>
    </row>
    <row r="185" spans="39:41" x14ac:dyDescent="0.25">
      <c r="AM185" s="107"/>
      <c r="AO185" s="107"/>
    </row>
    <row r="186" spans="39:41" x14ac:dyDescent="0.25">
      <c r="AM186" s="107"/>
      <c r="AO186" s="107"/>
    </row>
    <row r="187" spans="39:41" x14ac:dyDescent="0.25">
      <c r="AM187" s="107"/>
      <c r="AO187" s="107"/>
    </row>
    <row r="188" spans="39:41" x14ac:dyDescent="0.25">
      <c r="AM188" s="107"/>
      <c r="AO188" s="107"/>
    </row>
    <row r="189" spans="39:41" x14ac:dyDescent="0.25">
      <c r="AM189" s="107"/>
      <c r="AO189" s="107"/>
    </row>
    <row r="190" spans="39:41" x14ac:dyDescent="0.25">
      <c r="AM190" s="107"/>
      <c r="AO190" s="107"/>
    </row>
    <row r="191" spans="39:41" x14ac:dyDescent="0.25">
      <c r="AM191" s="107"/>
      <c r="AO191" s="107"/>
    </row>
    <row r="192" spans="39:41" x14ac:dyDescent="0.25">
      <c r="AM192" s="107"/>
      <c r="AO192" s="107"/>
    </row>
    <row r="193" spans="39:41" x14ac:dyDescent="0.25">
      <c r="AM193" s="107"/>
      <c r="AO193" s="107"/>
    </row>
    <row r="194" spans="39:41" x14ac:dyDescent="0.25">
      <c r="AM194" s="107"/>
      <c r="AO194" s="107"/>
    </row>
    <row r="195" spans="39:41" x14ac:dyDescent="0.25">
      <c r="AM195" s="107"/>
      <c r="AO195" s="107"/>
    </row>
    <row r="196" spans="39:41" x14ac:dyDescent="0.25">
      <c r="AM196" s="107"/>
      <c r="AO196" s="107"/>
    </row>
    <row r="197" spans="39:41" x14ac:dyDescent="0.25">
      <c r="AM197" s="107"/>
      <c r="AO197" s="107"/>
    </row>
    <row r="198" spans="39:41" x14ac:dyDescent="0.25">
      <c r="AM198" s="107"/>
      <c r="AO198" s="107"/>
    </row>
    <row r="199" spans="39:41" x14ac:dyDescent="0.25">
      <c r="AM199" s="107"/>
      <c r="AO199" s="107"/>
    </row>
    <row r="200" spans="39:41" x14ac:dyDescent="0.25">
      <c r="AM200" s="107"/>
      <c r="AO200" s="107"/>
    </row>
    <row r="201" spans="39:41" x14ac:dyDescent="0.25">
      <c r="AM201" s="107"/>
      <c r="AO201" s="107"/>
    </row>
    <row r="202" spans="39:41" x14ac:dyDescent="0.25">
      <c r="AM202" s="107"/>
      <c r="AO202" s="107"/>
    </row>
    <row r="203" spans="39:41" x14ac:dyDescent="0.25">
      <c r="AM203" s="107"/>
      <c r="AO203" s="107"/>
    </row>
    <row r="204" spans="39:41" x14ac:dyDescent="0.25">
      <c r="AM204" s="107"/>
      <c r="AO204" s="107"/>
    </row>
    <row r="205" spans="39:41" x14ac:dyDescent="0.25">
      <c r="AM205" s="107"/>
      <c r="AO205" s="107"/>
    </row>
    <row r="206" spans="39:41" x14ac:dyDescent="0.25">
      <c r="AM206" s="107"/>
      <c r="AO206" s="107"/>
    </row>
    <row r="207" spans="39:41" x14ac:dyDescent="0.25">
      <c r="AM207" s="107"/>
      <c r="AO207" s="107"/>
    </row>
    <row r="208" spans="39:41" x14ac:dyDescent="0.25">
      <c r="AM208" s="107"/>
      <c r="AO208" s="107"/>
    </row>
    <row r="209" spans="39:41" x14ac:dyDescent="0.25">
      <c r="AM209" s="107"/>
      <c r="AO209" s="107"/>
    </row>
    <row r="210" spans="39:41" x14ac:dyDescent="0.25">
      <c r="AM210" s="107"/>
      <c r="AO210" s="107"/>
    </row>
    <row r="211" spans="39:41" x14ac:dyDescent="0.25">
      <c r="AM211" s="107"/>
      <c r="AO211" s="107"/>
    </row>
    <row r="212" spans="39:41" x14ac:dyDescent="0.25">
      <c r="AM212" s="107"/>
      <c r="AO212" s="107"/>
    </row>
    <row r="213" spans="39:41" x14ac:dyDescent="0.25">
      <c r="AM213" s="107"/>
      <c r="AO213" s="107"/>
    </row>
    <row r="214" spans="39:41" x14ac:dyDescent="0.25">
      <c r="AM214" s="107"/>
      <c r="AO214" s="107"/>
    </row>
    <row r="215" spans="39:41" x14ac:dyDescent="0.25">
      <c r="AM215" s="107"/>
      <c r="AO215" s="107"/>
    </row>
    <row r="216" spans="39:41" x14ac:dyDescent="0.25">
      <c r="AM216" s="107"/>
      <c r="AO216" s="107"/>
    </row>
    <row r="217" spans="39:41" x14ac:dyDescent="0.25">
      <c r="AM217" s="107"/>
      <c r="AO217" s="107"/>
    </row>
    <row r="218" spans="39:41" x14ac:dyDescent="0.25">
      <c r="AM218" s="107"/>
      <c r="AO218" s="107"/>
    </row>
    <row r="219" spans="39:41" x14ac:dyDescent="0.25">
      <c r="AM219" s="107"/>
      <c r="AO219" s="107"/>
    </row>
    <row r="220" spans="39:41" x14ac:dyDescent="0.25">
      <c r="AM220" s="107"/>
      <c r="AO220" s="107"/>
    </row>
    <row r="221" spans="39:41" x14ac:dyDescent="0.25">
      <c r="AM221" s="107"/>
      <c r="AO221" s="107"/>
    </row>
    <row r="222" spans="39:41" x14ac:dyDescent="0.25">
      <c r="AM222" s="107"/>
      <c r="AO222" s="107"/>
    </row>
    <row r="223" spans="39:41" x14ac:dyDescent="0.25">
      <c r="AM223" s="107"/>
      <c r="AO223" s="107"/>
    </row>
    <row r="224" spans="39:41" x14ac:dyDescent="0.25">
      <c r="AM224" s="107"/>
      <c r="AO224" s="107"/>
    </row>
    <row r="225" spans="39:41" x14ac:dyDescent="0.25">
      <c r="AM225" s="107"/>
      <c r="AO225" s="107"/>
    </row>
    <row r="226" spans="39:41" x14ac:dyDescent="0.25">
      <c r="AM226" s="107"/>
      <c r="AO226" s="107"/>
    </row>
    <row r="227" spans="39:41" x14ac:dyDescent="0.25">
      <c r="AM227" s="107"/>
      <c r="AO227" s="107"/>
    </row>
    <row r="228" spans="39:41" x14ac:dyDescent="0.25">
      <c r="AM228" s="107"/>
      <c r="AO228" s="107"/>
    </row>
    <row r="229" spans="39:41" x14ac:dyDescent="0.25">
      <c r="AM229" s="107"/>
      <c r="AO229" s="107"/>
    </row>
    <row r="230" spans="39:41" x14ac:dyDescent="0.25">
      <c r="AM230" s="107"/>
      <c r="AO230" s="107"/>
    </row>
    <row r="231" spans="39:41" x14ac:dyDescent="0.25">
      <c r="AM231" s="107"/>
      <c r="AO231" s="107"/>
    </row>
    <row r="232" spans="39:41" x14ac:dyDescent="0.25">
      <c r="AM232" s="107"/>
      <c r="AO232" s="107"/>
    </row>
    <row r="233" spans="39:41" x14ac:dyDescent="0.25">
      <c r="AM233" s="107"/>
      <c r="AO233" s="107"/>
    </row>
    <row r="234" spans="39:41" x14ac:dyDescent="0.25">
      <c r="AM234" s="107"/>
      <c r="AO234" s="107"/>
    </row>
    <row r="235" spans="39:41" x14ac:dyDescent="0.25">
      <c r="AM235" s="107"/>
      <c r="AO235" s="107"/>
    </row>
    <row r="236" spans="39:41" x14ac:dyDescent="0.25">
      <c r="AM236" s="107"/>
      <c r="AO236" s="107"/>
    </row>
    <row r="237" spans="39:41" x14ac:dyDescent="0.25">
      <c r="AM237" s="107"/>
      <c r="AO237" s="107"/>
    </row>
    <row r="238" spans="39:41" x14ac:dyDescent="0.25">
      <c r="AM238" s="107"/>
      <c r="AO238" s="107"/>
    </row>
    <row r="239" spans="39:41" x14ac:dyDescent="0.25">
      <c r="AM239" s="107"/>
      <c r="AO239" s="107"/>
    </row>
    <row r="240" spans="39:41" x14ac:dyDescent="0.25">
      <c r="AM240" s="107"/>
      <c r="AO240" s="107"/>
    </row>
    <row r="241" spans="39:41" x14ac:dyDescent="0.25">
      <c r="AM241" s="107"/>
      <c r="AO241" s="107"/>
    </row>
    <row r="242" spans="39:41" x14ac:dyDescent="0.25">
      <c r="AM242" s="107"/>
      <c r="AO242" s="107"/>
    </row>
    <row r="243" spans="39:41" x14ac:dyDescent="0.25">
      <c r="AM243" s="107"/>
      <c r="AO243" s="107"/>
    </row>
    <row r="244" spans="39:41" x14ac:dyDescent="0.25">
      <c r="AM244" s="107"/>
      <c r="AO244" s="107"/>
    </row>
    <row r="245" spans="39:41" x14ac:dyDescent="0.25">
      <c r="AM245" s="107"/>
      <c r="AO245" s="107"/>
    </row>
    <row r="246" spans="39:41" x14ac:dyDescent="0.25">
      <c r="AM246" s="107"/>
      <c r="AO246" s="107"/>
    </row>
    <row r="247" spans="39:41" x14ac:dyDescent="0.25">
      <c r="AM247" s="107"/>
      <c r="AO247" s="107"/>
    </row>
    <row r="248" spans="39:41" x14ac:dyDescent="0.25">
      <c r="AM248" s="107"/>
      <c r="AO248" s="107"/>
    </row>
    <row r="249" spans="39:41" x14ac:dyDescent="0.25">
      <c r="AM249" s="107"/>
      <c r="AO249" s="107"/>
    </row>
    <row r="250" spans="39:41" x14ac:dyDescent="0.25">
      <c r="AM250" s="107"/>
      <c r="AO250" s="107"/>
    </row>
    <row r="251" spans="39:41" x14ac:dyDescent="0.25">
      <c r="AM251" s="107"/>
      <c r="AO251" s="107"/>
    </row>
    <row r="252" spans="39:41" x14ac:dyDescent="0.25">
      <c r="AM252" s="107"/>
      <c r="AO252" s="107"/>
    </row>
    <row r="253" spans="39:41" x14ac:dyDescent="0.25">
      <c r="AM253" s="107"/>
      <c r="AO253" s="107"/>
    </row>
    <row r="254" spans="39:41" x14ac:dyDescent="0.25">
      <c r="AM254" s="107"/>
      <c r="AO254" s="107"/>
    </row>
    <row r="255" spans="39:41" x14ac:dyDescent="0.25">
      <c r="AM255" s="107"/>
      <c r="AO255" s="107"/>
    </row>
    <row r="256" spans="39:41" x14ac:dyDescent="0.25">
      <c r="AM256" s="107"/>
      <c r="AO256" s="107"/>
    </row>
    <row r="257" spans="39:41" x14ac:dyDescent="0.25">
      <c r="AM257" s="107"/>
      <c r="AO257" s="107"/>
    </row>
    <row r="258" spans="39:41" x14ac:dyDescent="0.25">
      <c r="AM258" s="107"/>
      <c r="AO258" s="107"/>
    </row>
    <row r="259" spans="39:41" x14ac:dyDescent="0.25">
      <c r="AM259" s="107"/>
      <c r="AO259" s="107"/>
    </row>
    <row r="260" spans="39:41" x14ac:dyDescent="0.25">
      <c r="AM260" s="107"/>
      <c r="AO260" s="107"/>
    </row>
    <row r="261" spans="39:41" x14ac:dyDescent="0.25">
      <c r="AM261" s="107"/>
      <c r="AO261" s="107"/>
    </row>
    <row r="262" spans="39:41" x14ac:dyDescent="0.25">
      <c r="AM262" s="107"/>
      <c r="AO262" s="107"/>
    </row>
    <row r="263" spans="39:41" x14ac:dyDescent="0.25">
      <c r="AM263" s="107"/>
      <c r="AO263" s="107"/>
    </row>
    <row r="264" spans="39:41" x14ac:dyDescent="0.25">
      <c r="AM264" s="107"/>
      <c r="AO264" s="107"/>
    </row>
    <row r="265" spans="39:41" x14ac:dyDescent="0.25">
      <c r="AM265" s="107"/>
      <c r="AO265" s="107"/>
    </row>
    <row r="266" spans="39:41" x14ac:dyDescent="0.25">
      <c r="AM266" s="107"/>
      <c r="AO266" s="107"/>
    </row>
    <row r="267" spans="39:41" x14ac:dyDescent="0.25">
      <c r="AM267" s="107"/>
      <c r="AO267" s="107"/>
    </row>
    <row r="268" spans="39:41" x14ac:dyDescent="0.25">
      <c r="AM268" s="107"/>
      <c r="AO268" s="107"/>
    </row>
    <row r="269" spans="39:41" x14ac:dyDescent="0.25">
      <c r="AM269" s="107"/>
      <c r="AO269" s="107"/>
    </row>
    <row r="270" spans="39:41" x14ac:dyDescent="0.25">
      <c r="AM270" s="107"/>
      <c r="AO270" s="107"/>
    </row>
    <row r="271" spans="39:41" x14ac:dyDescent="0.25">
      <c r="AM271" s="107"/>
      <c r="AO271" s="107"/>
    </row>
    <row r="272" spans="39:41" x14ac:dyDescent="0.25">
      <c r="AM272" s="107"/>
      <c r="AO272" s="107"/>
    </row>
    <row r="273" spans="39:41" x14ac:dyDescent="0.25">
      <c r="AM273" s="107"/>
      <c r="AO273" s="107"/>
    </row>
    <row r="274" spans="39:41" x14ac:dyDescent="0.25">
      <c r="AM274" s="107"/>
      <c r="AO274" s="107"/>
    </row>
    <row r="275" spans="39:41" x14ac:dyDescent="0.25">
      <c r="AM275" s="107"/>
      <c r="AO275" s="107"/>
    </row>
    <row r="276" spans="39:41" x14ac:dyDescent="0.25">
      <c r="AM276" s="107"/>
      <c r="AO276" s="107"/>
    </row>
    <row r="277" spans="39:41" x14ac:dyDescent="0.25">
      <c r="AM277" s="107"/>
      <c r="AO277" s="107"/>
    </row>
    <row r="278" spans="39:41" x14ac:dyDescent="0.25">
      <c r="AM278" s="107"/>
      <c r="AO278" s="107"/>
    </row>
    <row r="279" spans="39:41" x14ac:dyDescent="0.25">
      <c r="AM279" s="107"/>
      <c r="AO279" s="107"/>
    </row>
    <row r="280" spans="39:41" x14ac:dyDescent="0.25">
      <c r="AM280" s="107"/>
      <c r="AO280" s="107"/>
    </row>
    <row r="281" spans="39:41" x14ac:dyDescent="0.25">
      <c r="AM281" s="107"/>
      <c r="AO281" s="107"/>
    </row>
    <row r="282" spans="39:41" x14ac:dyDescent="0.25">
      <c r="AM282" s="107"/>
      <c r="AO282" s="107"/>
    </row>
    <row r="283" spans="39:41" x14ac:dyDescent="0.25">
      <c r="AM283" s="107"/>
      <c r="AO283" s="107"/>
    </row>
    <row r="284" spans="39:41" x14ac:dyDescent="0.25">
      <c r="AM284" s="107"/>
      <c r="AO284" s="107"/>
    </row>
    <row r="285" spans="39:41" x14ac:dyDescent="0.25">
      <c r="AM285" s="107"/>
      <c r="AO285" s="107"/>
    </row>
    <row r="286" spans="39:41" x14ac:dyDescent="0.25">
      <c r="AM286" s="107"/>
      <c r="AO286" s="107"/>
    </row>
    <row r="287" spans="39:41" x14ac:dyDescent="0.25">
      <c r="AM287" s="107"/>
      <c r="AO287" s="107"/>
    </row>
    <row r="288" spans="39:41" x14ac:dyDescent="0.25">
      <c r="AM288" s="107"/>
      <c r="AO288" s="107"/>
    </row>
    <row r="289" spans="39:41" x14ac:dyDescent="0.25">
      <c r="AM289" s="107"/>
      <c r="AO289" s="107"/>
    </row>
    <row r="290" spans="39:41" x14ac:dyDescent="0.25">
      <c r="AM290" s="107"/>
      <c r="AO290" s="107"/>
    </row>
    <row r="291" spans="39:41" x14ac:dyDescent="0.25">
      <c r="AM291" s="107"/>
      <c r="AO291" s="107"/>
    </row>
    <row r="292" spans="39:41" x14ac:dyDescent="0.25">
      <c r="AM292" s="107"/>
      <c r="AO292" s="107"/>
    </row>
    <row r="293" spans="39:41" x14ac:dyDescent="0.25">
      <c r="AM293" s="107"/>
      <c r="AO293" s="107"/>
    </row>
    <row r="294" spans="39:41" x14ac:dyDescent="0.25">
      <c r="AM294" s="107"/>
      <c r="AO294" s="107"/>
    </row>
    <row r="295" spans="39:41" x14ac:dyDescent="0.25">
      <c r="AM295" s="107"/>
      <c r="AO295" s="107"/>
    </row>
    <row r="296" spans="39:41" x14ac:dyDescent="0.25">
      <c r="AM296" s="107"/>
      <c r="AO296" s="107"/>
    </row>
    <row r="297" spans="39:41" x14ac:dyDescent="0.25">
      <c r="AM297" s="107"/>
      <c r="AO297" s="107"/>
    </row>
    <row r="298" spans="39:41" x14ac:dyDescent="0.25">
      <c r="AM298" s="107"/>
      <c r="AO298" s="107"/>
    </row>
    <row r="299" spans="39:41" x14ac:dyDescent="0.25">
      <c r="AM299" s="107"/>
      <c r="AO299" s="107"/>
    </row>
    <row r="300" spans="39:41" x14ac:dyDescent="0.25">
      <c r="AM300" s="107"/>
      <c r="AO300" s="107"/>
    </row>
    <row r="301" spans="39:41" x14ac:dyDescent="0.25">
      <c r="AM301" s="107"/>
      <c r="AO301" s="107"/>
    </row>
    <row r="302" spans="39:41" x14ac:dyDescent="0.25">
      <c r="AM302" s="107"/>
      <c r="AO302" s="107"/>
    </row>
    <row r="303" spans="39:41" x14ac:dyDescent="0.25">
      <c r="AM303" s="107"/>
      <c r="AO303" s="107"/>
    </row>
    <row r="304" spans="39:41" x14ac:dyDescent="0.25">
      <c r="AM304" s="107"/>
      <c r="AO304" s="107"/>
    </row>
    <row r="305" spans="39:41" x14ac:dyDescent="0.25">
      <c r="AM305" s="107"/>
      <c r="AO305" s="107"/>
    </row>
    <row r="306" spans="39:41" x14ac:dyDescent="0.25">
      <c r="AM306" s="107"/>
      <c r="AO306" s="107"/>
    </row>
    <row r="307" spans="39:41" x14ac:dyDescent="0.25">
      <c r="AM307" s="107"/>
      <c r="AO307" s="107"/>
    </row>
    <row r="308" spans="39:41" x14ac:dyDescent="0.25">
      <c r="AM308" s="107"/>
      <c r="AO308" s="107"/>
    </row>
    <row r="309" spans="39:41" x14ac:dyDescent="0.25">
      <c r="AM309" s="107"/>
      <c r="AO309" s="107"/>
    </row>
    <row r="310" spans="39:41" x14ac:dyDescent="0.25">
      <c r="AM310" s="107"/>
      <c r="AO310" s="107"/>
    </row>
    <row r="311" spans="39:41" x14ac:dyDescent="0.25">
      <c r="AM311" s="107"/>
      <c r="AO311" s="107"/>
    </row>
    <row r="312" spans="39:41" x14ac:dyDescent="0.25">
      <c r="AM312" s="107"/>
      <c r="AO312" s="107"/>
    </row>
    <row r="313" spans="39:41" x14ac:dyDescent="0.25">
      <c r="AM313" s="107"/>
      <c r="AO313" s="107"/>
    </row>
    <row r="314" spans="39:41" x14ac:dyDescent="0.25">
      <c r="AM314" s="107"/>
      <c r="AO314" s="107"/>
    </row>
    <row r="315" spans="39:41" x14ac:dyDescent="0.25">
      <c r="AM315" s="107"/>
      <c r="AO315" s="107"/>
    </row>
    <row r="316" spans="39:41" x14ac:dyDescent="0.25">
      <c r="AM316" s="107"/>
      <c r="AO316" s="107"/>
    </row>
    <row r="317" spans="39:41" x14ac:dyDescent="0.25">
      <c r="AM317" s="107"/>
      <c r="AO317" s="107"/>
    </row>
    <row r="318" spans="39:41" x14ac:dyDescent="0.25">
      <c r="AM318" s="107"/>
      <c r="AO318" s="107"/>
    </row>
    <row r="319" spans="39:41" x14ac:dyDescent="0.25">
      <c r="AM319" s="107"/>
      <c r="AO319" s="107"/>
    </row>
    <row r="320" spans="39:41" x14ac:dyDescent="0.25">
      <c r="AM320" s="107"/>
      <c r="AO320" s="107"/>
    </row>
    <row r="321" spans="39:41" x14ac:dyDescent="0.25">
      <c r="AM321" s="107"/>
      <c r="AO321" s="107"/>
    </row>
    <row r="322" spans="39:41" x14ac:dyDescent="0.25">
      <c r="AM322" s="107"/>
      <c r="AO322" s="107"/>
    </row>
    <row r="323" spans="39:41" x14ac:dyDescent="0.25">
      <c r="AM323" s="107"/>
      <c r="AO323" s="107"/>
    </row>
    <row r="324" spans="39:41" x14ac:dyDescent="0.25">
      <c r="AM324" s="107"/>
      <c r="AO324" s="107"/>
    </row>
    <row r="325" spans="39:41" x14ac:dyDescent="0.25">
      <c r="AM325" s="107"/>
      <c r="AO325" s="107"/>
    </row>
    <row r="326" spans="39:41" x14ac:dyDescent="0.25">
      <c r="AM326" s="107"/>
      <c r="AO326" s="107"/>
    </row>
    <row r="327" spans="39:41" x14ac:dyDescent="0.25">
      <c r="AM327" s="107"/>
      <c r="AO327" s="107"/>
    </row>
    <row r="328" spans="39:41" x14ac:dyDescent="0.25">
      <c r="AM328" s="107"/>
      <c r="AO328" s="107"/>
    </row>
    <row r="329" spans="39:41" x14ac:dyDescent="0.25">
      <c r="AM329" s="107"/>
      <c r="AO329" s="107"/>
    </row>
    <row r="330" spans="39:41" x14ac:dyDescent="0.25">
      <c r="AM330" s="107"/>
      <c r="AO330" s="107"/>
    </row>
    <row r="331" spans="39:41" x14ac:dyDescent="0.25">
      <c r="AM331" s="107"/>
      <c r="AO331" s="107"/>
    </row>
    <row r="332" spans="39:41" x14ac:dyDescent="0.25">
      <c r="AM332" s="107"/>
      <c r="AO332" s="107"/>
    </row>
    <row r="333" spans="39:41" x14ac:dyDescent="0.25">
      <c r="AM333" s="107"/>
      <c r="AO333" s="107"/>
    </row>
    <row r="334" spans="39:41" x14ac:dyDescent="0.25">
      <c r="AM334" s="107"/>
      <c r="AO334" s="107"/>
    </row>
    <row r="335" spans="39:41" x14ac:dyDescent="0.25">
      <c r="AM335" s="107"/>
      <c r="AO335" s="107"/>
    </row>
    <row r="336" spans="39:41" x14ac:dyDescent="0.25">
      <c r="AM336" s="107"/>
      <c r="AO336" s="107"/>
    </row>
    <row r="337" spans="39:41" x14ac:dyDescent="0.25">
      <c r="AM337" s="107"/>
      <c r="AO337" s="107"/>
    </row>
    <row r="338" spans="39:41" x14ac:dyDescent="0.25">
      <c r="AM338" s="107"/>
      <c r="AO338" s="107"/>
    </row>
    <row r="339" spans="39:41" x14ac:dyDescent="0.25">
      <c r="AM339" s="107"/>
      <c r="AO339" s="107"/>
    </row>
    <row r="340" spans="39:41" x14ac:dyDescent="0.25">
      <c r="AM340" s="107"/>
      <c r="AO340" s="107"/>
    </row>
    <row r="341" spans="39:41" x14ac:dyDescent="0.25">
      <c r="AM341" s="107"/>
      <c r="AO341" s="107"/>
    </row>
    <row r="342" spans="39:41" x14ac:dyDescent="0.25">
      <c r="AM342" s="107"/>
      <c r="AO342" s="107"/>
    </row>
    <row r="343" spans="39:41" x14ac:dyDescent="0.25">
      <c r="AM343" s="107"/>
      <c r="AO343" s="107"/>
    </row>
    <row r="344" spans="39:41" x14ac:dyDescent="0.25">
      <c r="AM344" s="107"/>
      <c r="AO344" s="107"/>
    </row>
    <row r="345" spans="39:41" x14ac:dyDescent="0.25">
      <c r="AM345" s="107"/>
      <c r="AO345" s="107"/>
    </row>
    <row r="346" spans="39:41" x14ac:dyDescent="0.25">
      <c r="AM346" s="107"/>
      <c r="AO346" s="107"/>
    </row>
    <row r="347" spans="39:41" x14ac:dyDescent="0.25">
      <c r="AM347" s="107"/>
      <c r="AO347" s="107"/>
    </row>
    <row r="348" spans="39:41" x14ac:dyDescent="0.25">
      <c r="AM348" s="107"/>
      <c r="AO348" s="107"/>
    </row>
    <row r="349" spans="39:41" x14ac:dyDescent="0.25">
      <c r="AM349" s="107"/>
      <c r="AO349" s="107"/>
    </row>
    <row r="350" spans="39:41" x14ac:dyDescent="0.25">
      <c r="AM350" s="107"/>
      <c r="AO350" s="107"/>
    </row>
    <row r="351" spans="39:41" x14ac:dyDescent="0.25">
      <c r="AM351" s="107"/>
      <c r="AO351" s="107"/>
    </row>
    <row r="352" spans="39:41" x14ac:dyDescent="0.25">
      <c r="AM352" s="107"/>
      <c r="AO352" s="107"/>
    </row>
    <row r="353" spans="39:41" x14ac:dyDescent="0.25">
      <c r="AM353" s="107"/>
      <c r="AO353" s="107"/>
    </row>
    <row r="354" spans="39:41" x14ac:dyDescent="0.25">
      <c r="AM354" s="107"/>
      <c r="AO354" s="107"/>
    </row>
    <row r="355" spans="39:41" x14ac:dyDescent="0.25">
      <c r="AM355" s="107"/>
      <c r="AO355" s="107"/>
    </row>
    <row r="356" spans="39:41" x14ac:dyDescent="0.25">
      <c r="AM356" s="107"/>
      <c r="AO356" s="107"/>
    </row>
    <row r="357" spans="39:41" x14ac:dyDescent="0.25">
      <c r="AM357" s="107"/>
      <c r="AO357" s="107"/>
    </row>
    <row r="358" spans="39:41" x14ac:dyDescent="0.25">
      <c r="AM358" s="107"/>
      <c r="AO358" s="107"/>
    </row>
    <row r="359" spans="39:41" x14ac:dyDescent="0.25">
      <c r="AM359" s="107"/>
      <c r="AO359" s="107"/>
    </row>
    <row r="360" spans="39:41" x14ac:dyDescent="0.25">
      <c r="AM360" s="107"/>
      <c r="AO360" s="107"/>
    </row>
    <row r="361" spans="39:41" x14ac:dyDescent="0.25">
      <c r="AM361" s="107"/>
      <c r="AO361" s="107"/>
    </row>
    <row r="362" spans="39:41" x14ac:dyDescent="0.25">
      <c r="AM362" s="107"/>
      <c r="AO362" s="107"/>
    </row>
    <row r="363" spans="39:41" x14ac:dyDescent="0.25">
      <c r="AM363" s="107"/>
      <c r="AO363" s="107"/>
    </row>
    <row r="364" spans="39:41" x14ac:dyDescent="0.25">
      <c r="AM364" s="107"/>
      <c r="AO364" s="107"/>
    </row>
    <row r="365" spans="39:41" x14ac:dyDescent="0.25">
      <c r="AM365" s="107"/>
      <c r="AO365" s="107"/>
    </row>
    <row r="366" spans="39:41" x14ac:dyDescent="0.25">
      <c r="AM366" s="107"/>
      <c r="AO366" s="107"/>
    </row>
    <row r="367" spans="39:41" x14ac:dyDescent="0.25">
      <c r="AM367" s="107"/>
      <c r="AO367" s="107"/>
    </row>
    <row r="368" spans="39:41" x14ac:dyDescent="0.25">
      <c r="AM368" s="107"/>
      <c r="AO368" s="107"/>
    </row>
    <row r="369" spans="39:41" x14ac:dyDescent="0.25">
      <c r="AM369" s="107"/>
      <c r="AO369" s="107"/>
    </row>
    <row r="370" spans="39:41" x14ac:dyDescent="0.25">
      <c r="AM370" s="107"/>
      <c r="AO370" s="107"/>
    </row>
    <row r="371" spans="39:41" x14ac:dyDescent="0.25">
      <c r="AM371" s="107"/>
      <c r="AO371" s="107"/>
    </row>
    <row r="372" spans="39:41" x14ac:dyDescent="0.25">
      <c r="AM372" s="107"/>
      <c r="AO372" s="107"/>
    </row>
    <row r="373" spans="39:41" x14ac:dyDescent="0.25">
      <c r="AM373" s="107"/>
      <c r="AO373" s="107"/>
    </row>
    <row r="374" spans="39:41" x14ac:dyDescent="0.25">
      <c r="AM374" s="107"/>
      <c r="AO374" s="107"/>
    </row>
    <row r="375" spans="39:41" x14ac:dyDescent="0.25">
      <c r="AM375" s="107"/>
      <c r="AO375" s="107"/>
    </row>
    <row r="376" spans="39:41" x14ac:dyDescent="0.25">
      <c r="AM376" s="107"/>
      <c r="AO376" s="107"/>
    </row>
    <row r="377" spans="39:41" x14ac:dyDescent="0.25">
      <c r="AM377" s="107"/>
      <c r="AO377" s="107"/>
    </row>
    <row r="378" spans="39:41" x14ac:dyDescent="0.25">
      <c r="AM378" s="107"/>
      <c r="AO378" s="107"/>
    </row>
    <row r="379" spans="39:41" x14ac:dyDescent="0.25">
      <c r="AM379" s="107"/>
      <c r="AO379" s="107"/>
    </row>
    <row r="380" spans="39:41" x14ac:dyDescent="0.25">
      <c r="AM380" s="107"/>
      <c r="AO380" s="107"/>
    </row>
    <row r="381" spans="39:41" x14ac:dyDescent="0.25">
      <c r="AM381" s="107"/>
      <c r="AO381" s="107"/>
    </row>
  </sheetData>
  <pageMargins left="0.39370078740157483" right="0.39370078740157483" top="0.39370078740157483" bottom="0.39370078740157483" header="0.19685039370078741" footer="0.19685039370078741"/>
  <pageSetup paperSize="9" scale="68" pageOrder="overThenDown" orientation="landscape" r:id="rId1"/>
  <headerFooter>
    <oddFooter>&amp;L&amp;G&amp;R&amp;"Arial,Standard"&amp;9Seite &amp;P /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A131A-8E02-4336-B908-ABB5BFA6AA40}">
  <sheetPr codeName="Tabelle13"/>
  <dimension ref="A1:CD35"/>
  <sheetViews>
    <sheetView showGridLines="0" zoomScaleNormal="100" workbookViewId="0">
      <selection activeCell="F19" sqref="F19"/>
    </sheetView>
  </sheetViews>
  <sheetFormatPr baseColWidth="10" defaultColWidth="11.44140625" defaultRowHeight="18.75" customHeight="1" outlineLevelCol="1" x14ac:dyDescent="0.3"/>
  <cols>
    <col min="1" max="1" width="3.5546875" style="238" customWidth="1"/>
    <col min="2" max="2" width="32.44140625" style="238" customWidth="1"/>
    <col min="3" max="3" width="2.109375" style="238" customWidth="1"/>
    <col min="4" max="4" width="14.33203125" style="10" customWidth="1"/>
    <col min="5" max="5" width="5.6640625" style="238" customWidth="1"/>
    <col min="6" max="6" width="14.33203125" style="10" customWidth="1"/>
    <col min="7" max="7" width="8.5546875" style="10" hidden="1" customWidth="1" outlineLevel="1"/>
    <col min="8" max="8" width="7.88671875" style="10" hidden="1" customWidth="1" outlineLevel="1"/>
    <col min="9" max="9" width="8.5546875" style="10" hidden="1" customWidth="1" outlineLevel="1"/>
    <col min="10" max="10" width="7.88671875" style="10" hidden="1" customWidth="1" outlineLevel="1"/>
    <col min="11" max="11" width="10" style="10" hidden="1" customWidth="1" outlineLevel="1"/>
    <col min="12" max="12" width="7.88671875" style="10" hidden="1" customWidth="1" outlineLevel="1"/>
    <col min="13" max="18" width="8.5546875" style="10" hidden="1" customWidth="1" outlineLevel="1"/>
    <col min="19" max="19" width="14.33203125" style="10" customWidth="1" collapsed="1"/>
    <col min="20" max="23" width="8.5546875" style="10" hidden="1" customWidth="1" outlineLevel="1"/>
    <col min="24" max="24" width="14.33203125" style="10" customWidth="1" collapsed="1"/>
    <col min="25" max="28" width="8.5546875" style="10" hidden="1" customWidth="1" outlineLevel="1"/>
    <col min="29" max="29" width="14.33203125" style="10" customWidth="1" collapsed="1"/>
    <col min="30" max="33" width="8.5546875" style="10" hidden="1" customWidth="1" outlineLevel="1"/>
    <col min="34" max="34" width="14.33203125" style="10" customWidth="1" collapsed="1"/>
    <col min="35" max="36" width="8.5546875" style="10" hidden="1" customWidth="1" outlineLevel="1"/>
    <col min="37" max="37" width="14.33203125" style="10" customWidth="1" collapsed="1"/>
    <col min="38" max="39" width="8.5546875" style="10" hidden="1" customWidth="1" outlineLevel="1"/>
    <col min="40" max="40" width="14.33203125" style="10" customWidth="1" collapsed="1"/>
    <col min="41" max="42" width="8.5546875" style="10" hidden="1" customWidth="1" outlineLevel="1"/>
    <col min="43" max="43" width="14.33203125" style="10" customWidth="1" collapsed="1"/>
    <col min="44" max="47" width="8.5546875" style="10" hidden="1" customWidth="1" outlineLevel="1"/>
    <col min="48" max="48" width="14.33203125" style="10" customWidth="1" collapsed="1"/>
    <col min="49" max="50" width="8.5546875" style="10" hidden="1" customWidth="1" outlineLevel="1"/>
    <col min="51" max="51" width="14.33203125" style="10" customWidth="1" collapsed="1"/>
    <col min="52" max="53" width="8.5546875" style="10" hidden="1" customWidth="1" outlineLevel="1"/>
    <col min="54" max="54" width="14.33203125" style="10" customWidth="1" collapsed="1"/>
    <col min="55" max="56" width="8.5546875" style="10" hidden="1" customWidth="1" outlineLevel="1"/>
    <col min="57" max="57" width="14.33203125" style="10" customWidth="1" collapsed="1"/>
    <col min="58" max="58" width="8.5546875" style="10" hidden="1" customWidth="1" outlineLevel="1"/>
    <col min="59" max="59" width="7.88671875" style="10" hidden="1" customWidth="1" outlineLevel="1"/>
    <col min="60" max="60" width="8.5546875" style="10" hidden="1" customWidth="1" outlineLevel="1"/>
    <col min="61" max="61" width="7.88671875" style="10" hidden="1" customWidth="1" outlineLevel="1"/>
    <col min="62" max="62" width="8.5546875" style="10" hidden="1" customWidth="1" outlineLevel="1"/>
    <col min="63" max="63" width="7.88671875" style="10" hidden="1" customWidth="1" outlineLevel="1"/>
    <col min="64" max="67" width="8.5546875" style="10" hidden="1" customWidth="1" outlineLevel="1"/>
    <col min="68" max="68" width="14.33203125" style="10" customWidth="1" collapsed="1"/>
    <col min="69" max="69" width="8.5546875" style="10" hidden="1" customWidth="1" outlineLevel="1"/>
    <col min="70" max="70" width="7.88671875" style="10" hidden="1" customWidth="1" outlineLevel="1"/>
    <col min="71" max="71" width="8.5546875" style="10" hidden="1" customWidth="1" outlineLevel="1"/>
    <col min="72" max="72" width="7.88671875" style="10" hidden="1" customWidth="1" outlineLevel="1"/>
    <col min="73" max="73" width="8.5546875" style="10" hidden="1" customWidth="1" outlineLevel="1"/>
    <col min="74" max="74" width="7.88671875" style="10" hidden="1" customWidth="1" outlineLevel="1"/>
    <col min="75" max="76" width="8.5546875" style="10" hidden="1" customWidth="1" outlineLevel="1"/>
    <col min="77" max="77" width="14.33203125" style="10" customWidth="1" collapsed="1"/>
    <col min="78" max="78" width="8.5546875" style="10" hidden="1" customWidth="1" outlineLevel="1"/>
    <col min="79" max="79" width="7.88671875" style="10" hidden="1" customWidth="1" outlineLevel="1"/>
    <col min="80" max="80" width="8.5546875" style="10" hidden="1" customWidth="1" outlineLevel="1"/>
    <col min="81" max="81" width="7.88671875" style="10" hidden="1" customWidth="1" outlineLevel="1"/>
    <col min="82" max="82" width="11.44140625" style="238" collapsed="1"/>
    <col min="83" max="16384" width="11.44140625" style="238"/>
  </cols>
  <sheetData>
    <row r="1" spans="1:81" ht="26.25" customHeight="1" x14ac:dyDescent="0.25">
      <c r="A1" s="385" t="s">
        <v>7277</v>
      </c>
      <c r="B1" s="384"/>
      <c r="C1" s="384"/>
      <c r="D1" s="387" t="s">
        <v>2662</v>
      </c>
    </row>
    <row r="2" spans="1:81" ht="18.75" customHeight="1" x14ac:dyDescent="0.3">
      <c r="A2" s="386" t="s">
        <v>7398</v>
      </c>
      <c r="B2" s="384"/>
      <c r="C2" s="384"/>
      <c r="D2" s="513" t="s">
        <v>7397</v>
      </c>
      <c r="F2" s="239" t="s">
        <v>2602</v>
      </c>
      <c r="K2" s="240"/>
      <c r="S2" s="239" t="s">
        <v>2602</v>
      </c>
      <c r="X2" s="239" t="s">
        <v>2602</v>
      </c>
      <c r="AC2" s="239" t="s">
        <v>2602</v>
      </c>
      <c r="AH2" s="239" t="s">
        <v>2602</v>
      </c>
      <c r="AK2" s="239" t="s">
        <v>2602</v>
      </c>
      <c r="AN2" s="239" t="s">
        <v>2602</v>
      </c>
      <c r="AQ2" s="239" t="s">
        <v>2602</v>
      </c>
      <c r="AV2" s="239" t="s">
        <v>2602</v>
      </c>
      <c r="AY2" s="239" t="s">
        <v>2602</v>
      </c>
      <c r="BB2" s="239" t="s">
        <v>2602</v>
      </c>
      <c r="BE2" s="239" t="s">
        <v>2603</v>
      </c>
      <c r="BJ2" s="240"/>
      <c r="BP2" s="239" t="s">
        <v>2602</v>
      </c>
      <c r="BU2" s="240"/>
      <c r="BY2" s="239" t="s">
        <v>2602</v>
      </c>
    </row>
    <row r="3" spans="1:81" ht="18.75" customHeight="1" x14ac:dyDescent="0.2">
      <c r="B3" s="10"/>
      <c r="D3" s="514"/>
      <c r="E3" s="241"/>
      <c r="F3" s="242">
        <v>50</v>
      </c>
      <c r="J3" s="243"/>
      <c r="S3" s="242">
        <v>50</v>
      </c>
      <c r="X3" s="242">
        <v>50</v>
      </c>
      <c r="AC3" s="242">
        <v>10</v>
      </c>
      <c r="AH3" s="242">
        <v>100</v>
      </c>
      <c r="AK3" s="242">
        <v>200</v>
      </c>
      <c r="AN3" s="242">
        <v>200</v>
      </c>
      <c r="AQ3" s="242">
        <v>200</v>
      </c>
      <c r="AV3" s="242">
        <v>200</v>
      </c>
      <c r="AY3" s="242">
        <v>1</v>
      </c>
      <c r="BB3" s="242">
        <v>50</v>
      </c>
      <c r="BE3" s="242">
        <v>2.5</v>
      </c>
      <c r="BI3" s="243"/>
      <c r="BP3" s="242">
        <v>20</v>
      </c>
      <c r="BT3" s="243"/>
      <c r="BY3" s="242">
        <v>200</v>
      </c>
      <c r="CC3" s="243"/>
    </row>
    <row r="4" spans="1:81" ht="52.5" customHeight="1" x14ac:dyDescent="0.3">
      <c r="B4" s="244" t="s">
        <v>2604</v>
      </c>
      <c r="D4" s="245" t="s">
        <v>2605</v>
      </c>
      <c r="E4" s="246" t="s">
        <v>7281</v>
      </c>
      <c r="F4" s="247" t="s">
        <v>2606</v>
      </c>
      <c r="G4" s="246"/>
      <c r="H4" s="246"/>
      <c r="I4" s="246"/>
      <c r="J4" s="246"/>
      <c r="K4" s="246"/>
      <c r="L4" s="246"/>
      <c r="M4" s="246"/>
      <c r="N4" s="246"/>
      <c r="O4" s="246"/>
      <c r="P4" s="246"/>
      <c r="Q4" s="246"/>
      <c r="R4" s="246"/>
      <c r="S4" s="247" t="s">
        <v>2607</v>
      </c>
      <c r="T4" s="246"/>
      <c r="U4" s="246"/>
      <c r="V4" s="246"/>
      <c r="W4" s="246"/>
      <c r="X4" s="247" t="s">
        <v>2608</v>
      </c>
      <c r="Y4" s="246"/>
      <c r="Z4" s="246"/>
      <c r="AA4" s="246"/>
      <c r="AB4" s="246"/>
      <c r="AC4" s="247" t="s">
        <v>2609</v>
      </c>
      <c r="AD4" s="246"/>
      <c r="AE4" s="246"/>
      <c r="AF4" s="246"/>
      <c r="AG4" s="246"/>
      <c r="AH4" s="247" t="s">
        <v>7</v>
      </c>
      <c r="AI4" s="246"/>
      <c r="AJ4" s="246"/>
      <c r="AK4" s="247" t="s">
        <v>2610</v>
      </c>
      <c r="AL4" s="246"/>
      <c r="AM4" s="246"/>
      <c r="AN4" s="247" t="s">
        <v>2611</v>
      </c>
      <c r="AO4" s="246"/>
      <c r="AP4" s="246"/>
      <c r="AQ4" s="247" t="s">
        <v>2612</v>
      </c>
      <c r="AR4" s="246"/>
      <c r="AS4" s="246"/>
      <c r="AT4" s="246"/>
      <c r="AU4" s="246"/>
      <c r="AV4" s="247" t="s">
        <v>2613</v>
      </c>
      <c r="AW4" s="246"/>
      <c r="AX4" s="246"/>
      <c r="AY4" s="247" t="s">
        <v>2614</v>
      </c>
      <c r="AZ4" s="246"/>
      <c r="BA4" s="246"/>
      <c r="BB4" s="247" t="s">
        <v>2615</v>
      </c>
      <c r="BC4" s="246"/>
      <c r="BD4" s="246"/>
      <c r="BE4" s="247" t="s">
        <v>2616</v>
      </c>
      <c r="BF4" s="246"/>
      <c r="BG4" s="246"/>
      <c r="BH4" s="246"/>
      <c r="BI4" s="246"/>
      <c r="BJ4" s="246"/>
      <c r="BK4" s="246"/>
      <c r="BL4" s="246"/>
      <c r="BM4" s="246"/>
      <c r="BN4" s="246"/>
      <c r="BO4" s="246"/>
      <c r="BP4" s="247" t="s">
        <v>2617</v>
      </c>
      <c r="BQ4" s="246"/>
      <c r="BR4" s="246"/>
      <c r="BS4" s="246"/>
      <c r="BT4" s="246"/>
      <c r="BU4" s="246"/>
      <c r="BV4" s="246"/>
      <c r="BW4" s="246"/>
      <c r="BX4" s="246"/>
      <c r="BY4" s="247" t="s">
        <v>2618</v>
      </c>
    </row>
    <row r="5" spans="1:81" ht="18.75" customHeight="1" x14ac:dyDescent="0.3">
      <c r="B5" s="305" t="str" cm="1">
        <f t="array" ref="B5:B33">CONCATENATE("*",Gefahrstofflager,"*")</f>
        <v>*nicht definiert1*</v>
      </c>
      <c r="D5" s="307">
        <f>SUMIFS(Gefahrstoffverzeichnis!$AU:$AU,Gefahrstoffverzeichnis!$BY:$BY,"kg",Gefahrstoffverzeichnis!$AP:$AP,Lager!$B5)</f>
        <v>0</v>
      </c>
      <c r="F5" s="248" t="str">
        <f>IF(SUM($G5:$R5)&lt;&gt;0,SUM($G5:$R5),"")</f>
        <v/>
      </c>
      <c r="G5" s="249" t="s">
        <v>2619</v>
      </c>
      <c r="H5" s="250">
        <f>SUMIFS(Gefahrstoffverzeichnis!$AU:$AU,Gefahrstoffverzeichnis!$BY:$BY,"kg",Gefahrstoffverzeichnis!$AP:$AP,Lager!$B5,Gefahrstoffverzeichnis!$CC:$CC,$G5)</f>
        <v>0</v>
      </c>
      <c r="I5" s="249" t="s">
        <v>2620</v>
      </c>
      <c r="J5" s="250">
        <f>SUMIFS(Gefahrstoffverzeichnis!$AU:$AU,Gefahrstoffverzeichnis!$BY:$BY,"kg",Gefahrstoffverzeichnis!$AP:$AP,Lager!$B5,Gefahrstoffverzeichnis!$CC:$CC,$I5,Gefahrstoffverzeichnis!$CC:$CC,"&lt;&gt;"&amp;$G5)</f>
        <v>0</v>
      </c>
      <c r="K5" s="249" t="s">
        <v>2621</v>
      </c>
      <c r="L5" s="250">
        <f>SUMIFS(Gefahrstoffverzeichnis!$AU:$AU,Gefahrstoffverzeichnis!$BY:$BY,"kg",Gefahrstoffverzeichnis!$AP:$AP,Lager!$B5,Gefahrstoffverzeichnis!$CC:$CC,$K5,Gefahrstoffverzeichnis!$CC:$CC,"&lt;&gt;"&amp;$I5,Gefahrstoffverzeichnis!$CC:$CC,"&lt;&gt;"&amp;$G5)</f>
        <v>0</v>
      </c>
      <c r="M5" s="249" t="s">
        <v>2622</v>
      </c>
      <c r="N5" s="250">
        <f>SUMIFS(Gefahrstoffverzeichnis!$AU:$AU,Gefahrstoffverzeichnis!$BY:$BY,"kg",Gefahrstoffverzeichnis!$AP:$AP,Lager!$B5,Gefahrstoffverzeichnis!$CC:$CC,$M5,Gefahrstoffverzeichnis!$CC:$CC,"&lt;&gt;"&amp;$K5,Gefahrstoffverzeichnis!$CC:$CC,"&lt;&gt;"&amp;$I5,Gefahrstoffverzeichnis!$CC:$CC,"&lt;&gt;"&amp;$G5)</f>
        <v>0</v>
      </c>
      <c r="O5" s="249" t="s">
        <v>2623</v>
      </c>
      <c r="P5" s="250">
        <f>SUMIFS(Gefahrstoffverzeichnis!$AU:$AU,Gefahrstoffverzeichnis!$BY:$BY,"kg",Gefahrstoffverzeichnis!$AP:$AP,Lager!$B5,Gefahrstoffverzeichnis!$CC:$CC,$O5,Gefahrstoffverzeichnis!$CC:$CC,"&lt;&gt;"&amp;$M5,Gefahrstoffverzeichnis!$CC:$CC,"&lt;&gt;"&amp;$K5,Gefahrstoffverzeichnis!$CC:$CC,"&lt;&gt;"&amp;$I5,Gefahrstoffverzeichnis!$CC:$CC,"&lt;&gt;"&amp;$G5)</f>
        <v>0</v>
      </c>
      <c r="Q5" s="249" t="s">
        <v>2624</v>
      </c>
      <c r="R5" s="250">
        <f>SUMIFS(Gefahrstoffverzeichnis!$AU:$AU,Gefahrstoffverzeichnis!$BY:$BY,"kg",Gefahrstoffverzeichnis!$AP:$AP,Lager!$B5,Gefahrstoffverzeichnis!$CC:$CC,$Q$5,Gefahrstoffverzeichnis!$CC:$CC,"&lt;&gt;"&amp;$O5,Gefahrstoffverzeichnis!$CC:$CC,"&lt;&gt;"&amp;$M5,Gefahrstoffverzeichnis!$CC:$CC,"&lt;&gt;"&amp;$K5,Gefahrstoffverzeichnis!$CC:$CC,"&lt;&gt;"&amp;$I5,Gefahrstoffverzeichnis!$CC:$CC,"&lt;&gt;"&amp;$G5)</f>
        <v>0</v>
      </c>
      <c r="S5" s="248" t="str">
        <f>IF(SUM($T5:$W5)&lt;&gt;0,SUM($T5:$W5),"")</f>
        <v/>
      </c>
      <c r="T5" s="249" t="s">
        <v>2625</v>
      </c>
      <c r="U5" s="250">
        <f>SUMIFS(Gefahrstoffverzeichnis!$AU:$AU,Gefahrstoffverzeichnis!$BY:$BY,"kg",Gefahrstoffverzeichnis!$AP:$AP,Lager!$B5,Gefahrstoffverzeichnis!$CC:$CC,$T5)</f>
        <v>0</v>
      </c>
      <c r="V5" s="249" t="s">
        <v>2626</v>
      </c>
      <c r="W5" s="250">
        <f>SUMIFS(Gefahrstoffverzeichnis!$AU:$AU,Gefahrstoffverzeichnis!$BY:$BY,"kg",Gefahrstoffverzeichnis!$AP:$AP,Lager!$B5,Gefahrstoffverzeichnis!$CC:$CC,$V5,Gefahrstoffverzeichnis!$CC:$CC,"&lt;&gt;"&amp;$T5)</f>
        <v>0</v>
      </c>
      <c r="X5" s="248" t="str">
        <f>IF(SUM($Y5:$AB5)&lt;&gt;0,SUM($Y5:$AB5),"")</f>
        <v/>
      </c>
      <c r="Y5" s="249" t="s">
        <v>2627</v>
      </c>
      <c r="Z5" s="250">
        <f>SUMIFS(Gefahrstoffverzeichnis!$AU:$AU,Gefahrstoffverzeichnis!$BY:$BY,"kg",Gefahrstoffverzeichnis!$AP:$AP,Lager!$B5,Gefahrstoffverzeichnis!$CC:$CC,$Y5)</f>
        <v>0</v>
      </c>
      <c r="AA5" s="249" t="s">
        <v>2628</v>
      </c>
      <c r="AB5" s="250">
        <f>SUMIFS(Gefahrstoffverzeichnis!$AU:$AU,Gefahrstoffverzeichnis!$BY:$BY,"kg",Gefahrstoffverzeichnis!$AP:$AP,Lager!$B5,Gefahrstoffverzeichnis!$CC:$CC,$AA5,Gefahrstoffverzeichnis!$CC:$CC,"&lt;&gt;"&amp;$Y5)</f>
        <v>0</v>
      </c>
      <c r="AC5" s="248" t="str">
        <f>IF(SUM($AD5:$AG5)&lt;&gt;0,SUM($AD5:$AG5),"")</f>
        <v/>
      </c>
      <c r="AD5" s="249" t="s">
        <v>2629</v>
      </c>
      <c r="AE5" s="250">
        <f>SUMIFS(Gefahrstoffverzeichnis!$AU:$AU,Gefahrstoffverzeichnis!$BY:$BY,"kg",Gefahrstoffverzeichnis!$AP:$AP,Lager!$B5,Gefahrstoffverzeichnis!$CB:$CB,$AD5)</f>
        <v>0</v>
      </c>
      <c r="AF5" s="249" t="s">
        <v>2630</v>
      </c>
      <c r="AG5" s="250">
        <f>SUMIFS(Gefahrstoffverzeichnis!$AU:$AU,Gefahrstoffverzeichnis!$BY:$BY,"kg",Gefahrstoffverzeichnis!$AP:$AP,Lager!$B5,Gefahrstoffverzeichnis!$CB:$CB,$AF5,Gefahrstoffverzeichnis!$CB:$CB,"&lt;&gt;"&amp;$AD5)</f>
        <v>0</v>
      </c>
      <c r="AH5" s="248" t="str">
        <f>IF(SUM($AI5:$AJ5)&lt;&gt;0,SUM($AI5:$AJ5),"")</f>
        <v/>
      </c>
      <c r="AI5" s="249" t="s">
        <v>2631</v>
      </c>
      <c r="AJ5" s="250">
        <f>SUMIFS(Gefahrstoffverzeichnis!$AU:$AU,Gefahrstoffverzeichnis!$BY:$BY,"kg",Gefahrstoffverzeichnis!$AP:$AP,Lager!$B5,Gefahrstoffverzeichnis!$CB:$CB,$AI5)</f>
        <v>0</v>
      </c>
      <c r="AK5" s="248" t="str">
        <f>IF(SUM($AL5:$AM5)&lt;&gt;0,SUM($AL5:$AM5),"")</f>
        <v/>
      </c>
      <c r="AL5" s="249" t="s">
        <v>2632</v>
      </c>
      <c r="AM5" s="250">
        <f>SUMIFS(Gefahrstoffverzeichnis!$AU:$AU,Gefahrstoffverzeichnis!$BY:$BY,"kg",Gefahrstoffverzeichnis!$AP:$AP,Lager!$B5,Gefahrstoffverzeichnis!$CB:$CB,$AL5)</f>
        <v>0</v>
      </c>
      <c r="AN5" s="248" t="str">
        <f>IF(SUM($AO5:$AP5)&lt;&gt;0,SUM($AO5:$AP5),"")</f>
        <v/>
      </c>
      <c r="AO5" s="249" t="s">
        <v>2633</v>
      </c>
      <c r="AP5" s="250">
        <f>SUMIFS(Gefahrstoffverzeichnis!$AU:$AU,Gefahrstoffverzeichnis!$BY:$BY,"kg",Gefahrstoffverzeichnis!$AP:$AP,Lager!$B5,Gefahrstoffverzeichnis!$CB:$CB,$AO5)</f>
        <v>0</v>
      </c>
      <c r="AQ5" s="248" t="str">
        <f>IF(SUM($AR5:$AU5)&lt;&gt;0,SUM($AR5:$AU5),"")</f>
        <v/>
      </c>
      <c r="AR5" s="249" t="s">
        <v>2634</v>
      </c>
      <c r="AS5" s="250">
        <f>SUMIFS(Gefahrstoffverzeichnis!$AU:$AU,Gefahrstoffverzeichnis!$BY:$BY,"kg",Gefahrstoffverzeichnis!$AP:$AP,Lager!$B5,Gefahrstoffverzeichnis!$CB:$CB,$AR5)</f>
        <v>0</v>
      </c>
      <c r="AT5" s="249" t="s">
        <v>2635</v>
      </c>
      <c r="AU5" s="250">
        <f>SUMIFS(Gefahrstoffverzeichnis!$AU:$AU,Gefahrstoffverzeichnis!$BY:$BY,"kg",Gefahrstoffverzeichnis!$AP:$AP,Lager!$B5,Gefahrstoffverzeichnis!$CB:$CB,$AT5,Gefahrstoffverzeichnis!$CB:$CB,"&lt;&gt;"&amp;$AR5)</f>
        <v>0</v>
      </c>
      <c r="AV5" s="248" t="str">
        <f>IF(SUM($AW5:$AX5)&lt;&gt;0,SUM($AW5:$AX5),"")</f>
        <v/>
      </c>
      <c r="AW5" s="249" t="s">
        <v>2636</v>
      </c>
      <c r="AX5" s="250">
        <f>SUMIFS(Gefahrstoffverzeichnis!$AU:$AU,Gefahrstoffverzeichnis!$BY:$BY,"kg",Gefahrstoffverzeichnis!$AP:$AP,Lager!$B5,Gefahrstoffverzeichnis!$CB:$CB,$AW5)</f>
        <v>0</v>
      </c>
      <c r="AY5" s="248" t="str">
        <f>IF(SUM($AZ5:$BA5)&lt;&gt;0,SUM($AZ5:$BA5),"")</f>
        <v/>
      </c>
      <c r="AZ5" s="249" t="s">
        <v>2637</v>
      </c>
      <c r="BA5" s="250">
        <f>SUMIFS(Gefahrstoffverzeichnis!$AU:$AU,Gefahrstoffverzeichnis!$BY:$BY,"kg",Gefahrstoffverzeichnis!$AP:$AP,Lager!$B5,Gefahrstoffverzeichnis!$CB:$CB,$AZ5)</f>
        <v>0</v>
      </c>
      <c r="BB5" s="248" t="str">
        <f>IF(SUM($BC5:$BD5)&lt;&gt;0,SUM($BC5:$BD5),"")</f>
        <v/>
      </c>
      <c r="BC5" s="249" t="s">
        <v>2638</v>
      </c>
      <c r="BD5" s="250">
        <f>SUMIFS(Gefahrstoffverzeichnis!$AU:$AU,Gefahrstoffverzeichnis!$BY:$BY,"kg",Gefahrstoffverzeichnis!$AP:$AP,Lager!$B5,Gefahrstoffverzeichnis!$CB:$CB,$BC5)</f>
        <v>0</v>
      </c>
      <c r="BE5" s="248" t="str">
        <f>IF(SUM($BF5:$BO5)&lt;&gt;0,SUM($BF5:$BO5),"")</f>
        <v/>
      </c>
      <c r="BF5" s="249" t="s">
        <v>2639</v>
      </c>
      <c r="BG5" s="250">
        <f>SUMIFS(Gefahrstoffverzeichnis!$AU:$AU,Gefahrstoffverzeichnis!$BY:$BY,"Liter",Gefahrstoffverzeichnis!$AP:$AP,Lager!$B5,Gefahrstoffverzeichnis!$CB:$CB,$BF5)</f>
        <v>0</v>
      </c>
      <c r="BH5" s="249" t="s">
        <v>2640</v>
      </c>
      <c r="BI5" s="250">
        <f>SUMIFS(Gefahrstoffverzeichnis!$AU:$AU,Gefahrstoffverzeichnis!$BY:$BY,"Liter",Gefahrstoffverzeichnis!$AP:$AP,Lager!$B5,Gefahrstoffverzeichnis!$CB:$CB,$BH5,Gefahrstoffverzeichnis!$CB:$CB,"&lt;&gt;"&amp;$BF5)</f>
        <v>0</v>
      </c>
      <c r="BJ5" s="249" t="s">
        <v>2641</v>
      </c>
      <c r="BK5" s="250">
        <f>SUMIFS(Gefahrstoffverzeichnis!$AU:$AU,Gefahrstoffverzeichnis!$BY:$BY,"Liter",Gefahrstoffverzeichnis!$AP:$AP,Lager!$B5,Gefahrstoffverzeichnis!$CB:$CB,$BJ5,Gefahrstoffverzeichnis!$CB:$CB,"&lt;&gt;"&amp;$BH5,Gefahrstoffverzeichnis!$CB:$CB,"&lt;&gt;"&amp;$BF5)</f>
        <v>0</v>
      </c>
      <c r="BL5" s="249" t="s">
        <v>2642</v>
      </c>
      <c r="BM5" s="250">
        <f>SUMIFS(Gefahrstoffverzeichnis!$AU:$AU,Gefahrstoffverzeichnis!$BY:$BY,"Liter",Gefahrstoffverzeichnis!$AP:$AP,Lager!$B5,Gefahrstoffverzeichnis!$CB:$CB,$BL5,Gefahrstoffverzeichnis!$CB:$CB,"&lt;&gt;"&amp;$BJ5,Gefahrstoffverzeichnis!$CB:$CB,"&lt;&gt;"&amp;$BH5,Gefahrstoffverzeichnis!$CB:$CB,"&lt;&gt;"&amp;$BF5)</f>
        <v>0</v>
      </c>
      <c r="BN5" s="249" t="s">
        <v>2643</v>
      </c>
      <c r="BO5" s="250">
        <f>SUMIFS(Gefahrstoffverzeichnis!$AU:$AU,Gefahrstoffverzeichnis!$BY:$BY,"Liter",Gefahrstoffverzeichnis!$AP:$AP,Lager!$B5,Gefahrstoffverzeichnis!$CB:$CB,$BN5,Gefahrstoffverzeichnis!$CB:$CB,"&lt;&gt;"&amp;$BL5,Gefahrstoffverzeichnis!$CB:$CB,"&lt;&gt;"&amp;$BJ5,Gefahrstoffverzeichnis!$CB:$CB,"&lt;&gt;"&amp;$BH5,Gefahrstoffverzeichnis!$CB:$CB,"&lt;&gt;"&amp;$BF5)</f>
        <v>0</v>
      </c>
      <c r="BP5" s="248" t="str">
        <f>IF(SUM($BQ5:$BX5)&lt;&gt;0,SUM($BQ5:$BX5),"")</f>
        <v/>
      </c>
      <c r="BQ5" s="249" t="s">
        <v>2639</v>
      </c>
      <c r="BR5" s="250">
        <f>SUMIFS(Gefahrstoffverzeichnis!$AU:$AU,Gefahrstoffverzeichnis!$BY:$BY,"kg",Gefahrstoffverzeichnis!$AP:$AP,Lager!$B5,Gefahrstoffverzeichnis!$CB:$CB,$BQ5)</f>
        <v>0</v>
      </c>
      <c r="BS5" s="249" t="s">
        <v>2640</v>
      </c>
      <c r="BT5" s="250">
        <f>SUMIFS(Gefahrstoffverzeichnis!$AU:$AU,Gefahrstoffverzeichnis!$BY:$BY,"kg",Gefahrstoffverzeichnis!$AP:$AP,Lager!$B5,Gefahrstoffverzeichnis!$CB:$CB,$BS5,Gefahrstoffverzeichnis!$CB:$CB,"&lt;&gt;"&amp;$BQ5)</f>
        <v>0</v>
      </c>
      <c r="BU5" s="249" t="s">
        <v>2644</v>
      </c>
      <c r="BV5" s="250">
        <f>SUMIFS(Gefahrstoffverzeichnis!$AU:$AU,Gefahrstoffverzeichnis!$BY:$BY,"kg",Gefahrstoffverzeichnis!$AP:$AP,Lager!$B5,Gefahrstoffverzeichnis!$CB:$CB,$BU5,Gefahrstoffverzeichnis!$CB:$CB,"&lt;&gt;"&amp;$BS5,Gefahrstoffverzeichnis!$CB:$CB,"&lt;&gt;"&amp;$BQ5)</f>
        <v>0</v>
      </c>
      <c r="BW5" s="249" t="s">
        <v>2645</v>
      </c>
      <c r="BX5" s="250">
        <f>SUMIFS(Gefahrstoffverzeichnis!$AU:$AU,Gefahrstoffverzeichnis!$BY:$BY,"kg",Gefahrstoffverzeichnis!$AP:$AP,Lager!$B5,Gefahrstoffverzeichnis!$CB:$CB,$BW5,Gefahrstoffverzeichnis!$CB:$CB,"&lt;&gt;"&amp;$BU5,Gefahrstoffverzeichnis!$CB:$CB,"&lt;&gt;"&amp;$BS5,Gefahrstoffverzeichnis!$CB:$CB,"&lt;&gt;"&amp;$BQ5)</f>
        <v>0</v>
      </c>
      <c r="BY5" s="248" t="str">
        <f>IF(SUM($BZ5:$CC5)&lt;&gt;0,SUM($BZ5:$CC5),"")</f>
        <v/>
      </c>
      <c r="BZ5" s="249" t="s">
        <v>2646</v>
      </c>
      <c r="CA5" s="250">
        <f>SUMIFS(Gefahrstoffverzeichnis!$AU:$AU,Gefahrstoffverzeichnis!$BY:$BY,"kg",Gefahrstoffverzeichnis!$AP:$AP,Lager!$B5,Gefahrstoffverzeichnis!$CB:$CB,$BZ5)</f>
        <v>0</v>
      </c>
      <c r="CB5" s="249" t="s">
        <v>2647</v>
      </c>
      <c r="CC5" s="250">
        <f>SUMIFS(Gefahrstoffverzeichnis!$AU:$AU,Gefahrstoffverzeichnis!$BY:$BY,"kg",Gefahrstoffverzeichnis!$AP:$AP,Lager!$B5,Gefahrstoffverzeichnis!$CB:$CB,$CB5,Gefahrstoffverzeichnis!$CB:$CB,"&lt;&gt;"&amp;$BZ5)</f>
        <v>0</v>
      </c>
    </row>
    <row r="6" spans="1:81" ht="18.75" customHeight="1" x14ac:dyDescent="0.3">
      <c r="B6" s="306" t="str">
        <v>*nicht definiert2*</v>
      </c>
      <c r="C6" s="303"/>
      <c r="D6" s="308">
        <f>SUMIFS(Gefahrstoffverzeichnis!$AU:$AU,Gefahrstoffverzeichnis!$BY:$BY,"kg",Gefahrstoffverzeichnis!$AP:$AP,Lager!$B6)</f>
        <v>0</v>
      </c>
      <c r="E6" s="303"/>
      <c r="F6" s="304" t="str">
        <f t="shared" ref="F6:F33" si="0">IF(SUM($G6:$R6)&lt;&gt;0,SUM($G6:$R6),"")</f>
        <v/>
      </c>
      <c r="G6" s="250" t="s">
        <v>2619</v>
      </c>
      <c r="H6" s="250">
        <f>SUMIFS(Gefahrstoffverzeichnis!$AU:$AU,Gefahrstoffverzeichnis!$BY:$BY,"kg",Gefahrstoffverzeichnis!$AP:$AP,Lager!$B6,Gefahrstoffverzeichnis!$CC:$CC,$G6)</f>
        <v>0</v>
      </c>
      <c r="I6" s="250" t="s">
        <v>2620</v>
      </c>
      <c r="J6" s="250">
        <f>SUMIFS(Gefahrstoffverzeichnis!$AU:$AU,Gefahrstoffverzeichnis!$BY:$BY,"kg",Gefahrstoffverzeichnis!$AP:$AP,Lager!$B6,Gefahrstoffverzeichnis!$CC:$CC,$I6,Gefahrstoffverzeichnis!$CC:$CC,"&lt;&gt;"&amp;$G6)</f>
        <v>0</v>
      </c>
      <c r="K6" s="250" t="s">
        <v>2621</v>
      </c>
      <c r="L6" s="250">
        <f>SUMIFS(Gefahrstoffverzeichnis!$AU:$AU,Gefahrstoffverzeichnis!$BY:$BY,"kg",Gefahrstoffverzeichnis!$AP:$AP,Lager!$B6,Gefahrstoffverzeichnis!$CC:$CC,$K6,Gefahrstoffverzeichnis!$CC:$CC,"&lt;&gt;"&amp;$I6,Gefahrstoffverzeichnis!$CC:$CC,"&lt;&gt;"&amp;$G6)</f>
        <v>0</v>
      </c>
      <c r="M6" s="250" t="s">
        <v>2622</v>
      </c>
      <c r="N6" s="250">
        <f>SUMIFS(Gefahrstoffverzeichnis!$AU:$AU,Gefahrstoffverzeichnis!$BY:$BY,"kg",Gefahrstoffverzeichnis!$AP:$AP,Lager!$B6,Gefahrstoffverzeichnis!$CC:$CC,$M6,Gefahrstoffverzeichnis!$CC:$CC,"&lt;&gt;"&amp;$K6,Gefahrstoffverzeichnis!$CC:$CC,"&lt;&gt;"&amp;$I6,Gefahrstoffverzeichnis!$CC:$CC,"&lt;&gt;"&amp;$G6)</f>
        <v>0</v>
      </c>
      <c r="O6" s="250" t="s">
        <v>2623</v>
      </c>
      <c r="P6" s="250">
        <f>SUMIFS(Gefahrstoffverzeichnis!$AU:$AU,Gefahrstoffverzeichnis!$BY:$BY,"kg",Gefahrstoffverzeichnis!$AP:$AP,Lager!$B6,Gefahrstoffverzeichnis!$CC:$CC,$O6,Gefahrstoffverzeichnis!$CC:$CC,"&lt;&gt;"&amp;$M6,Gefahrstoffverzeichnis!$CC:$CC,"&lt;&gt;"&amp;$K6,Gefahrstoffverzeichnis!$CC:$CC,"&lt;&gt;"&amp;$I6,Gefahrstoffverzeichnis!$CC:$CC,"&lt;&gt;"&amp;$G6)</f>
        <v>0</v>
      </c>
      <c r="Q6" s="250" t="s">
        <v>2624</v>
      </c>
      <c r="R6" s="250">
        <f>SUMIFS(Gefahrstoffverzeichnis!$AU:$AU,Gefahrstoffverzeichnis!$BY:$BY,"kg",Gefahrstoffverzeichnis!$AP:$AP,Lager!$B6,Gefahrstoffverzeichnis!$CC:$CC,$Q$5,Gefahrstoffverzeichnis!$CC:$CC,"&lt;&gt;"&amp;$O6,Gefahrstoffverzeichnis!$CC:$CC,"&lt;&gt;"&amp;$M6,Gefahrstoffverzeichnis!$CC:$CC,"&lt;&gt;"&amp;$K6,Gefahrstoffverzeichnis!$CC:$CC,"&lt;&gt;"&amp;$I6,Gefahrstoffverzeichnis!$CC:$CC,"&lt;&gt;"&amp;$G6)</f>
        <v>0</v>
      </c>
      <c r="S6" s="304" t="str">
        <f t="shared" ref="S6:S33" si="1">IF(SUM($T6:$W6)&lt;&gt;0,SUM($T6:$W6),"")</f>
        <v/>
      </c>
      <c r="T6" s="250" t="s">
        <v>2625</v>
      </c>
      <c r="U6" s="250">
        <f>SUMIFS(Gefahrstoffverzeichnis!$AU:$AU,Gefahrstoffverzeichnis!$BY:$BY,"kg",Gefahrstoffverzeichnis!$AP:$AP,Lager!$B6,Gefahrstoffverzeichnis!$CC:$CC,$T6)</f>
        <v>0</v>
      </c>
      <c r="V6" s="250" t="s">
        <v>2626</v>
      </c>
      <c r="W6" s="250">
        <f>SUMIFS(Gefahrstoffverzeichnis!$AU:$AU,Gefahrstoffverzeichnis!$BY:$BY,"kg",Gefahrstoffverzeichnis!$AP:$AP,Lager!$B6,Gefahrstoffverzeichnis!$CC:$CC,$V6,Gefahrstoffverzeichnis!$CC:$CC,"&lt;&gt;"&amp;$T6)</f>
        <v>0</v>
      </c>
      <c r="X6" s="304" t="str">
        <f t="shared" ref="X6:X33" si="2">IF(SUM($Y6:$AB6)&lt;&gt;0,SUM($Y6:$AB6),"")</f>
        <v/>
      </c>
      <c r="Y6" s="250" t="s">
        <v>2627</v>
      </c>
      <c r="Z6" s="250">
        <f>SUMIFS(Gefahrstoffverzeichnis!$AU:$AU,Gefahrstoffverzeichnis!$BY:$BY,"kg",Gefahrstoffverzeichnis!$AP:$AP,Lager!$B6,Gefahrstoffverzeichnis!$CC:$CC,$Y6)</f>
        <v>0</v>
      </c>
      <c r="AA6" s="250" t="s">
        <v>2628</v>
      </c>
      <c r="AB6" s="250">
        <f>SUMIFS(Gefahrstoffverzeichnis!$AU:$AU,Gefahrstoffverzeichnis!$BY:$BY,"kg",Gefahrstoffverzeichnis!$AP:$AP,Lager!$B6,Gefahrstoffverzeichnis!$CC:$CC,$AA6,Gefahrstoffverzeichnis!$CC:$CC,"&lt;&gt;"&amp;$Y6)</f>
        <v>0</v>
      </c>
      <c r="AC6" s="304" t="str">
        <f t="shared" ref="AC6:AC33" si="3">IF(SUM($AD6:$AG6)&lt;&gt;0,SUM($AD6:$AG6),"")</f>
        <v/>
      </c>
      <c r="AD6" s="250" t="s">
        <v>2629</v>
      </c>
      <c r="AE6" s="250">
        <f>SUMIFS(Gefahrstoffverzeichnis!$AU:$AU,Gefahrstoffverzeichnis!$BY:$BY,"kg",Gefahrstoffverzeichnis!$AP:$AP,Lager!$B6,Gefahrstoffverzeichnis!$CB:$CB,$AD6)</f>
        <v>0</v>
      </c>
      <c r="AF6" s="250" t="s">
        <v>2630</v>
      </c>
      <c r="AG6" s="250">
        <f>SUMIFS(Gefahrstoffverzeichnis!$AU:$AU,Gefahrstoffverzeichnis!$BY:$BY,"kg",Gefahrstoffverzeichnis!$AP:$AP,Lager!$B6,Gefahrstoffverzeichnis!$CB:$CB,$AF6,Gefahrstoffverzeichnis!$CB:$CB,"&lt;&gt;"&amp;$AD6)</f>
        <v>0</v>
      </c>
      <c r="AH6" s="304" t="str">
        <f t="shared" ref="AH6:AH33" si="4">IF(SUM($AI6:$AJ6)&lt;&gt;0,SUM($AI6:$AJ6),"")</f>
        <v/>
      </c>
      <c r="AI6" s="250" t="s">
        <v>2631</v>
      </c>
      <c r="AJ6" s="250">
        <f>SUMIFS(Gefahrstoffverzeichnis!$AU:$AU,Gefahrstoffverzeichnis!$BY:$BY,"kg",Gefahrstoffverzeichnis!$AP:$AP,Lager!$B6,Gefahrstoffverzeichnis!$CB:$CB,$AI6)</f>
        <v>0</v>
      </c>
      <c r="AK6" s="304" t="str">
        <f t="shared" ref="AK6:AK33" si="5">IF(SUM($AL6:$AM6)&lt;&gt;0,SUM($AL6:$AM6),"")</f>
        <v/>
      </c>
      <c r="AL6" s="250" t="s">
        <v>2632</v>
      </c>
      <c r="AM6" s="250">
        <f>SUMIFS(Gefahrstoffverzeichnis!$AU:$AU,Gefahrstoffverzeichnis!$BY:$BY,"kg",Gefahrstoffverzeichnis!$AP:$AP,Lager!$B6,Gefahrstoffverzeichnis!$CB:$CB,$AL6)</f>
        <v>0</v>
      </c>
      <c r="AN6" s="304" t="str">
        <f t="shared" ref="AN6:AN33" si="6">IF(SUM($AO6:$AP6)&lt;&gt;0,SUM($AO6:$AP6),"")</f>
        <v/>
      </c>
      <c r="AO6" s="250" t="s">
        <v>2633</v>
      </c>
      <c r="AP6" s="250">
        <f>SUMIFS(Gefahrstoffverzeichnis!$AU:$AU,Gefahrstoffverzeichnis!$BY:$BY,"kg",Gefahrstoffverzeichnis!$AP:$AP,Lager!$B6,Gefahrstoffverzeichnis!$CB:$CB,$AO6)</f>
        <v>0</v>
      </c>
      <c r="AQ6" s="304" t="str">
        <f t="shared" ref="AQ6:AQ33" si="7">IF(SUM($AR6:$AU6)&lt;&gt;0,SUM($AR6:$AU6),"")</f>
        <v/>
      </c>
      <c r="AR6" s="250" t="s">
        <v>2634</v>
      </c>
      <c r="AS6" s="250">
        <f>SUMIFS(Gefahrstoffverzeichnis!$AU:$AU,Gefahrstoffverzeichnis!$BY:$BY,"kg",Gefahrstoffverzeichnis!$AP:$AP,Lager!$B6,Gefahrstoffverzeichnis!$CB:$CB,$AR6)</f>
        <v>0</v>
      </c>
      <c r="AT6" s="250" t="s">
        <v>2635</v>
      </c>
      <c r="AU6" s="250">
        <f>SUMIFS(Gefahrstoffverzeichnis!$AU:$AU,Gefahrstoffverzeichnis!$BY:$BY,"kg",Gefahrstoffverzeichnis!$AP:$AP,Lager!$B6,Gefahrstoffverzeichnis!$CB:$CB,$AT6,Gefahrstoffverzeichnis!$CB:$CB,"&lt;&gt;"&amp;$AR6)</f>
        <v>0</v>
      </c>
      <c r="AV6" s="304" t="str">
        <f t="shared" ref="AV6:AV33" si="8">IF(SUM($AW6:$AX6)&lt;&gt;0,SUM($AW6:$AX6),"")</f>
        <v/>
      </c>
      <c r="AW6" s="250" t="s">
        <v>2636</v>
      </c>
      <c r="AX6" s="250">
        <f>SUMIFS(Gefahrstoffverzeichnis!$AU:$AU,Gefahrstoffverzeichnis!$BY:$BY,"kg",Gefahrstoffverzeichnis!$AP:$AP,Lager!$B6,Gefahrstoffverzeichnis!$CB:$CB,$AW6)</f>
        <v>0</v>
      </c>
      <c r="AY6" s="304" t="str">
        <f t="shared" ref="AY6:AY33" si="9">IF(SUM($AZ6:$BA6)&lt;&gt;0,SUM($AZ6:$BA6),"")</f>
        <v/>
      </c>
      <c r="AZ6" s="250" t="s">
        <v>2637</v>
      </c>
      <c r="BA6" s="250">
        <f>SUMIFS(Gefahrstoffverzeichnis!$AU:$AU,Gefahrstoffverzeichnis!$BY:$BY,"kg",Gefahrstoffverzeichnis!$AP:$AP,Lager!$B6,Gefahrstoffverzeichnis!$CB:$CB,$AZ6)</f>
        <v>0</v>
      </c>
      <c r="BB6" s="304" t="str">
        <f t="shared" ref="BB6:BB33" si="10">IF(SUM($BC6:$BD6)&lt;&gt;0,SUM($BC6:$BD6),"")</f>
        <v/>
      </c>
      <c r="BC6" s="250" t="s">
        <v>2638</v>
      </c>
      <c r="BD6" s="250">
        <f>SUMIFS(Gefahrstoffverzeichnis!$AU:$AU,Gefahrstoffverzeichnis!$BY:$BY,"kg",Gefahrstoffverzeichnis!$AP:$AP,Lager!$B6,Gefahrstoffverzeichnis!$CB:$CB,$BC6)</f>
        <v>0</v>
      </c>
      <c r="BE6" s="304" t="str">
        <f t="shared" ref="BE6:BE33" si="11">IF(SUM($BF6:$BO6)&lt;&gt;0,SUM($BF6:$BO6),"")</f>
        <v/>
      </c>
      <c r="BF6" s="250" t="s">
        <v>2639</v>
      </c>
      <c r="BG6" s="250">
        <f>SUMIFS(Gefahrstoffverzeichnis!$AU:$AU,Gefahrstoffverzeichnis!$BY:$BY,"Liter",Gefahrstoffverzeichnis!$AP:$AP,Lager!$B6,Gefahrstoffverzeichnis!$CB:$CB,$BF6)</f>
        <v>0</v>
      </c>
      <c r="BH6" s="250" t="s">
        <v>2640</v>
      </c>
      <c r="BI6" s="250">
        <f>SUMIFS(Gefahrstoffverzeichnis!$AU:$AU,Gefahrstoffverzeichnis!$BY:$BY,"Liter",Gefahrstoffverzeichnis!$AP:$AP,Lager!$B6,Gefahrstoffverzeichnis!$CB:$CB,$BH6,Gefahrstoffverzeichnis!$CB:$CB,"&lt;&gt;"&amp;$BF6)</f>
        <v>0</v>
      </c>
      <c r="BJ6" s="250" t="s">
        <v>2641</v>
      </c>
      <c r="BK6" s="250">
        <f>SUMIFS(Gefahrstoffverzeichnis!$AU:$AU,Gefahrstoffverzeichnis!$BY:$BY,"Liter",Gefahrstoffverzeichnis!$AP:$AP,Lager!$B6,Gefahrstoffverzeichnis!$CB:$CB,$BJ6,Gefahrstoffverzeichnis!$CB:$CB,"&lt;&gt;"&amp;$BH6,Gefahrstoffverzeichnis!$CB:$CB,"&lt;&gt;"&amp;$BF6)</f>
        <v>0</v>
      </c>
      <c r="BL6" s="250" t="s">
        <v>2642</v>
      </c>
      <c r="BM6" s="250">
        <f>SUMIFS(Gefahrstoffverzeichnis!$AU:$AU,Gefahrstoffverzeichnis!$BY:$BY,"Liter",Gefahrstoffverzeichnis!$AP:$AP,Lager!$B6,Gefahrstoffverzeichnis!$CB:$CB,$BL6,Gefahrstoffverzeichnis!$CB:$CB,"&lt;&gt;"&amp;$BJ6,Gefahrstoffverzeichnis!$CB:$CB,"&lt;&gt;"&amp;$BH6,Gefahrstoffverzeichnis!$CB:$CB,"&lt;&gt;"&amp;$BF6)</f>
        <v>0</v>
      </c>
      <c r="BN6" s="250" t="s">
        <v>2643</v>
      </c>
      <c r="BO6" s="250">
        <f>SUMIFS(Gefahrstoffverzeichnis!$AU:$AU,Gefahrstoffverzeichnis!$BY:$BY,"Liter",Gefahrstoffverzeichnis!$AP:$AP,Lager!$B6,Gefahrstoffverzeichnis!$CB:$CB,$BN6,Gefahrstoffverzeichnis!$CB:$CB,"&lt;&gt;"&amp;$BL6,Gefahrstoffverzeichnis!$CB:$CB,"&lt;&gt;"&amp;$BJ6,Gefahrstoffverzeichnis!$CB:$CB,"&lt;&gt;"&amp;$BH6,Gefahrstoffverzeichnis!$CB:$CB,"&lt;&gt;"&amp;$BF6)</f>
        <v>0</v>
      </c>
      <c r="BP6" s="304" t="str">
        <f t="shared" ref="BP6:BP33" si="12">IF(SUM($BQ6:$BX6)&lt;&gt;0,SUM($BQ6:$BX6),"")</f>
        <v/>
      </c>
      <c r="BQ6" s="250" t="s">
        <v>2639</v>
      </c>
      <c r="BR6" s="250">
        <f>SUMIFS(Gefahrstoffverzeichnis!$AU:$AU,Gefahrstoffverzeichnis!$BY:$BY,"kg",Gefahrstoffverzeichnis!$AP:$AP,Lager!$B6,Gefahrstoffverzeichnis!$CB:$CB,$BQ6)</f>
        <v>0</v>
      </c>
      <c r="BS6" s="250" t="s">
        <v>2640</v>
      </c>
      <c r="BT6" s="250">
        <f>SUMIFS(Gefahrstoffverzeichnis!$AU:$AU,Gefahrstoffverzeichnis!$BY:$BY,"kg",Gefahrstoffverzeichnis!$AP:$AP,Lager!$B6,Gefahrstoffverzeichnis!$CB:$CB,$BS6,Gefahrstoffverzeichnis!$CB:$CB,"&lt;&gt;"&amp;$BQ6)</f>
        <v>0</v>
      </c>
      <c r="BU6" s="250" t="s">
        <v>2644</v>
      </c>
      <c r="BV6" s="250">
        <f>SUMIFS(Gefahrstoffverzeichnis!$AU:$AU,Gefahrstoffverzeichnis!$BY:$BY,"kg",Gefahrstoffverzeichnis!$AP:$AP,Lager!$B6,Gefahrstoffverzeichnis!$CB:$CB,$BU6,Gefahrstoffverzeichnis!$CB:$CB,"&lt;&gt;"&amp;$BS6,Gefahrstoffverzeichnis!$CB:$CB,"&lt;&gt;"&amp;$BQ6)</f>
        <v>0</v>
      </c>
      <c r="BW6" s="250" t="s">
        <v>2645</v>
      </c>
      <c r="BX6" s="250">
        <f>SUMIFS(Gefahrstoffverzeichnis!$AU:$AU,Gefahrstoffverzeichnis!$BY:$BY,"kg",Gefahrstoffverzeichnis!$AP:$AP,Lager!$B6,Gefahrstoffverzeichnis!$CB:$CB,$BW6,Gefahrstoffverzeichnis!$CB:$CB,"&lt;&gt;"&amp;$BU6,Gefahrstoffverzeichnis!$CB:$CB,"&lt;&gt;"&amp;$BS6,Gefahrstoffverzeichnis!$CB:$CB,"&lt;&gt;"&amp;$BQ6)</f>
        <v>0</v>
      </c>
      <c r="BY6" s="304" t="str">
        <f t="shared" ref="BY6:BY33" si="13">IF(SUM($BZ6:$CC6)&lt;&gt;0,SUM($BZ6:$CC6),"")</f>
        <v/>
      </c>
      <c r="BZ6" s="249" t="s">
        <v>2646</v>
      </c>
      <c r="CA6" s="250">
        <f>SUMIFS(Gefahrstoffverzeichnis!$AU:$AU,Gefahrstoffverzeichnis!$BY:$BY,"kg",Gefahrstoffverzeichnis!$AP:$AP,Lager!$B6,Gefahrstoffverzeichnis!$CB:$CB,$BZ6)</f>
        <v>0</v>
      </c>
      <c r="CB6" s="249" t="s">
        <v>2647</v>
      </c>
      <c r="CC6" s="250">
        <f>SUMIFS(Gefahrstoffverzeichnis!$AU:$AU,Gefahrstoffverzeichnis!$BY:$BY,"kg",Gefahrstoffverzeichnis!$AP:$AP,Lager!$B6,Gefahrstoffverzeichnis!$CB:$CB,$CB6,Gefahrstoffverzeichnis!$CB:$CB,"&lt;&gt;"&amp;$BZ6)</f>
        <v>0</v>
      </c>
    </row>
    <row r="7" spans="1:81" ht="18.75" customHeight="1" x14ac:dyDescent="0.3">
      <c r="B7" s="306" t="str">
        <v>*nicht definiert3*</v>
      </c>
      <c r="D7" s="307">
        <f>SUMIFS(Gefahrstoffverzeichnis!$AU:$AU,Gefahrstoffverzeichnis!$BY:$BY,"kg",Gefahrstoffverzeichnis!$AP:$AP,Lager!$B7)</f>
        <v>0</v>
      </c>
      <c r="F7" s="248" t="str">
        <f t="shared" si="0"/>
        <v/>
      </c>
      <c r="G7" s="249" t="s">
        <v>2619</v>
      </c>
      <c r="H7" s="250">
        <f>SUMIFS(Gefahrstoffverzeichnis!$AU:$AU,Gefahrstoffverzeichnis!$BY:$BY,"kg",Gefahrstoffverzeichnis!$AP:$AP,Lager!$B7,Gefahrstoffverzeichnis!$CC:$CC,$G7)</f>
        <v>0</v>
      </c>
      <c r="I7" s="249" t="s">
        <v>2620</v>
      </c>
      <c r="J7" s="250">
        <f>SUMIFS(Gefahrstoffverzeichnis!$AU:$AU,Gefahrstoffverzeichnis!$BY:$BY,"kg",Gefahrstoffverzeichnis!$AP:$AP,Lager!$B7,Gefahrstoffverzeichnis!$CC:$CC,$I7,Gefahrstoffverzeichnis!$CC:$CC,"&lt;&gt;"&amp;$G7)</f>
        <v>0</v>
      </c>
      <c r="K7" s="249" t="s">
        <v>2621</v>
      </c>
      <c r="L7" s="250">
        <f>SUMIFS(Gefahrstoffverzeichnis!$AU:$AU,Gefahrstoffverzeichnis!$BY:$BY,"kg",Gefahrstoffverzeichnis!$AP:$AP,Lager!$B7,Gefahrstoffverzeichnis!$CC:$CC,$K7,Gefahrstoffverzeichnis!$CC:$CC,"&lt;&gt;"&amp;$I7,Gefahrstoffverzeichnis!$CC:$CC,"&lt;&gt;"&amp;$G7)</f>
        <v>0</v>
      </c>
      <c r="M7" s="249" t="s">
        <v>2622</v>
      </c>
      <c r="N7" s="250">
        <f>SUMIFS(Gefahrstoffverzeichnis!$AU:$AU,Gefahrstoffverzeichnis!$BY:$BY,"kg",Gefahrstoffverzeichnis!$AP:$AP,Lager!$B7,Gefahrstoffverzeichnis!$CC:$CC,$M7,Gefahrstoffverzeichnis!$CC:$CC,"&lt;&gt;"&amp;$K7,Gefahrstoffverzeichnis!$CC:$CC,"&lt;&gt;"&amp;$I7,Gefahrstoffverzeichnis!$CC:$CC,"&lt;&gt;"&amp;$G7)</f>
        <v>0</v>
      </c>
      <c r="O7" s="249" t="s">
        <v>2623</v>
      </c>
      <c r="P7" s="250">
        <f>SUMIFS(Gefahrstoffverzeichnis!$AU:$AU,Gefahrstoffverzeichnis!$BY:$BY,"kg",Gefahrstoffverzeichnis!$AP:$AP,Lager!$B7,Gefahrstoffverzeichnis!$CC:$CC,$O7,Gefahrstoffverzeichnis!$CC:$CC,"&lt;&gt;"&amp;$M7,Gefahrstoffverzeichnis!$CC:$CC,"&lt;&gt;"&amp;$K7,Gefahrstoffverzeichnis!$CC:$CC,"&lt;&gt;"&amp;$I7,Gefahrstoffverzeichnis!$CC:$CC,"&lt;&gt;"&amp;$G7)</f>
        <v>0</v>
      </c>
      <c r="Q7" s="249" t="s">
        <v>2624</v>
      </c>
      <c r="R7" s="250">
        <f>SUMIFS(Gefahrstoffverzeichnis!$AU:$AU,Gefahrstoffverzeichnis!$BY:$BY,"kg",Gefahrstoffverzeichnis!$AP:$AP,Lager!$B7,Gefahrstoffverzeichnis!$CC:$CC,$Q$5,Gefahrstoffverzeichnis!$CC:$CC,"&lt;&gt;"&amp;$O7,Gefahrstoffverzeichnis!$CC:$CC,"&lt;&gt;"&amp;$M7,Gefahrstoffverzeichnis!$CC:$CC,"&lt;&gt;"&amp;$K7,Gefahrstoffverzeichnis!$CC:$CC,"&lt;&gt;"&amp;$I7,Gefahrstoffverzeichnis!$CC:$CC,"&lt;&gt;"&amp;$G7)</f>
        <v>0</v>
      </c>
      <c r="S7" s="248" t="str">
        <f t="shared" si="1"/>
        <v/>
      </c>
      <c r="T7" s="249" t="s">
        <v>2625</v>
      </c>
      <c r="U7" s="250">
        <f>SUMIFS(Gefahrstoffverzeichnis!$AU:$AU,Gefahrstoffverzeichnis!$BY:$BY,"kg",Gefahrstoffverzeichnis!$AP:$AP,Lager!$B7,Gefahrstoffverzeichnis!$CC:$CC,$T7)</f>
        <v>0</v>
      </c>
      <c r="V7" s="249" t="s">
        <v>2626</v>
      </c>
      <c r="W7" s="250">
        <f>SUMIFS(Gefahrstoffverzeichnis!$AU:$AU,Gefahrstoffverzeichnis!$BY:$BY,"kg",Gefahrstoffverzeichnis!$AP:$AP,Lager!$B7,Gefahrstoffverzeichnis!$CC:$CC,$V7,Gefahrstoffverzeichnis!$CC:$CC,"&lt;&gt;"&amp;$T7)</f>
        <v>0</v>
      </c>
      <c r="X7" s="248" t="str">
        <f t="shared" si="2"/>
        <v/>
      </c>
      <c r="Y7" s="249" t="s">
        <v>2627</v>
      </c>
      <c r="Z7" s="250">
        <f>SUMIFS(Gefahrstoffverzeichnis!$AU:$AU,Gefahrstoffverzeichnis!$BY:$BY,"kg",Gefahrstoffverzeichnis!$AP:$AP,Lager!$B7,Gefahrstoffverzeichnis!$CC:$CC,$Y7)</f>
        <v>0</v>
      </c>
      <c r="AA7" s="249" t="s">
        <v>2628</v>
      </c>
      <c r="AB7" s="250">
        <f>SUMIFS(Gefahrstoffverzeichnis!$AU:$AU,Gefahrstoffverzeichnis!$BY:$BY,"kg",Gefahrstoffverzeichnis!$AP:$AP,Lager!$B7,Gefahrstoffverzeichnis!$CC:$CC,$AA7,Gefahrstoffverzeichnis!$CC:$CC,"&lt;&gt;"&amp;$Y7)</f>
        <v>0</v>
      </c>
      <c r="AC7" s="248" t="str">
        <f t="shared" si="3"/>
        <v/>
      </c>
      <c r="AD7" s="249" t="s">
        <v>2629</v>
      </c>
      <c r="AE7" s="250">
        <f>SUMIFS(Gefahrstoffverzeichnis!$AU:$AU,Gefahrstoffverzeichnis!$BY:$BY,"kg",Gefahrstoffverzeichnis!$AP:$AP,Lager!$B7,Gefahrstoffverzeichnis!$CB:$CB,$AD7)</f>
        <v>0</v>
      </c>
      <c r="AF7" s="249" t="s">
        <v>2630</v>
      </c>
      <c r="AG7" s="250">
        <f>SUMIFS(Gefahrstoffverzeichnis!$AU:$AU,Gefahrstoffverzeichnis!$BY:$BY,"kg",Gefahrstoffverzeichnis!$AP:$AP,Lager!$B7,Gefahrstoffverzeichnis!$CB:$CB,$AF7,Gefahrstoffverzeichnis!$CB:$CB,"&lt;&gt;"&amp;$AD7)</f>
        <v>0</v>
      </c>
      <c r="AH7" s="248" t="str">
        <f t="shared" si="4"/>
        <v/>
      </c>
      <c r="AI7" s="249" t="s">
        <v>2631</v>
      </c>
      <c r="AJ7" s="250">
        <f>SUMIFS(Gefahrstoffverzeichnis!$AU:$AU,Gefahrstoffverzeichnis!$BY:$BY,"kg",Gefahrstoffverzeichnis!$AP:$AP,Lager!$B7,Gefahrstoffverzeichnis!$CB:$CB,$AI7)</f>
        <v>0</v>
      </c>
      <c r="AK7" s="248" t="str">
        <f t="shared" si="5"/>
        <v/>
      </c>
      <c r="AL7" s="249" t="s">
        <v>2632</v>
      </c>
      <c r="AM7" s="250">
        <f>SUMIFS(Gefahrstoffverzeichnis!$AU:$AU,Gefahrstoffverzeichnis!$BY:$BY,"kg",Gefahrstoffverzeichnis!$AP:$AP,Lager!$B7,Gefahrstoffverzeichnis!$CB:$CB,$AL7)</f>
        <v>0</v>
      </c>
      <c r="AN7" s="248" t="str">
        <f t="shared" si="6"/>
        <v/>
      </c>
      <c r="AO7" s="249" t="s">
        <v>2633</v>
      </c>
      <c r="AP7" s="250">
        <f>SUMIFS(Gefahrstoffverzeichnis!$AU:$AU,Gefahrstoffverzeichnis!$BY:$BY,"kg",Gefahrstoffverzeichnis!$AP:$AP,Lager!$B7,Gefahrstoffverzeichnis!$CB:$CB,$AO7)</f>
        <v>0</v>
      </c>
      <c r="AQ7" s="248" t="str">
        <f t="shared" si="7"/>
        <v/>
      </c>
      <c r="AR7" s="249" t="s">
        <v>2634</v>
      </c>
      <c r="AS7" s="250">
        <f>SUMIFS(Gefahrstoffverzeichnis!$AU:$AU,Gefahrstoffverzeichnis!$BY:$BY,"kg",Gefahrstoffverzeichnis!$AP:$AP,Lager!$B7,Gefahrstoffverzeichnis!$CB:$CB,$AR7)</f>
        <v>0</v>
      </c>
      <c r="AT7" s="249" t="s">
        <v>2635</v>
      </c>
      <c r="AU7" s="250">
        <f>SUMIFS(Gefahrstoffverzeichnis!$AU:$AU,Gefahrstoffverzeichnis!$BY:$BY,"kg",Gefahrstoffverzeichnis!$AP:$AP,Lager!$B7,Gefahrstoffverzeichnis!$CB:$CB,$AT7,Gefahrstoffverzeichnis!$CB:$CB,"&lt;&gt;"&amp;$AR7)</f>
        <v>0</v>
      </c>
      <c r="AV7" s="248" t="str">
        <f t="shared" si="8"/>
        <v/>
      </c>
      <c r="AW7" s="249" t="s">
        <v>2636</v>
      </c>
      <c r="AX7" s="250">
        <f>SUMIFS(Gefahrstoffverzeichnis!$AU:$AU,Gefahrstoffverzeichnis!$BY:$BY,"kg",Gefahrstoffverzeichnis!$AP:$AP,Lager!$B7,Gefahrstoffverzeichnis!$CB:$CB,$AW7)</f>
        <v>0</v>
      </c>
      <c r="AY7" s="248" t="str">
        <f t="shared" si="9"/>
        <v/>
      </c>
      <c r="AZ7" s="249" t="s">
        <v>2637</v>
      </c>
      <c r="BA7" s="250">
        <f>SUMIFS(Gefahrstoffverzeichnis!$AU:$AU,Gefahrstoffverzeichnis!$BY:$BY,"kg",Gefahrstoffverzeichnis!$AP:$AP,Lager!$B7,Gefahrstoffverzeichnis!$CB:$CB,$AZ7)</f>
        <v>0</v>
      </c>
      <c r="BB7" s="248" t="str">
        <f t="shared" si="10"/>
        <v/>
      </c>
      <c r="BC7" s="249" t="s">
        <v>2638</v>
      </c>
      <c r="BD7" s="250">
        <f>SUMIFS(Gefahrstoffverzeichnis!$AU:$AU,Gefahrstoffverzeichnis!$BY:$BY,"kg",Gefahrstoffverzeichnis!$AP:$AP,Lager!$B7,Gefahrstoffverzeichnis!$CB:$CB,$BC7)</f>
        <v>0</v>
      </c>
      <c r="BE7" s="248" t="str">
        <f t="shared" si="11"/>
        <v/>
      </c>
      <c r="BF7" s="249" t="s">
        <v>2639</v>
      </c>
      <c r="BG7" s="250">
        <f>SUMIFS(Gefahrstoffverzeichnis!$AU:$AU,Gefahrstoffverzeichnis!$BY:$BY,"Liter",Gefahrstoffverzeichnis!$AP:$AP,Lager!$B7,Gefahrstoffverzeichnis!$CB:$CB,$BF7)</f>
        <v>0</v>
      </c>
      <c r="BH7" s="249" t="s">
        <v>2640</v>
      </c>
      <c r="BI7" s="250">
        <f>SUMIFS(Gefahrstoffverzeichnis!$AU:$AU,Gefahrstoffverzeichnis!$BY:$BY,"Liter",Gefahrstoffverzeichnis!$AP:$AP,Lager!$B7,Gefahrstoffverzeichnis!$CB:$CB,$BH7,Gefahrstoffverzeichnis!$CB:$CB,"&lt;&gt;"&amp;$BF7)</f>
        <v>0</v>
      </c>
      <c r="BJ7" s="249" t="s">
        <v>2641</v>
      </c>
      <c r="BK7" s="250">
        <f>SUMIFS(Gefahrstoffverzeichnis!$AU:$AU,Gefahrstoffverzeichnis!$BY:$BY,"Liter",Gefahrstoffverzeichnis!$AP:$AP,Lager!$B7,Gefahrstoffverzeichnis!$CB:$CB,$BJ7,Gefahrstoffverzeichnis!$CB:$CB,"&lt;&gt;"&amp;$BH7,Gefahrstoffverzeichnis!$CB:$CB,"&lt;&gt;"&amp;$BF7)</f>
        <v>0</v>
      </c>
      <c r="BL7" s="249" t="s">
        <v>2642</v>
      </c>
      <c r="BM7" s="250">
        <f>SUMIFS(Gefahrstoffverzeichnis!$AU:$AU,Gefahrstoffverzeichnis!$BY:$BY,"Liter",Gefahrstoffverzeichnis!$AP:$AP,Lager!$B7,Gefahrstoffverzeichnis!$CB:$CB,$BL7,Gefahrstoffverzeichnis!$CB:$CB,"&lt;&gt;"&amp;$BJ7,Gefahrstoffverzeichnis!$CB:$CB,"&lt;&gt;"&amp;$BH7,Gefahrstoffverzeichnis!$CB:$CB,"&lt;&gt;"&amp;$BF7)</f>
        <v>0</v>
      </c>
      <c r="BN7" s="249" t="s">
        <v>2643</v>
      </c>
      <c r="BO7" s="250">
        <f>SUMIFS(Gefahrstoffverzeichnis!$AU:$AU,Gefahrstoffverzeichnis!$BY:$BY,"Liter",Gefahrstoffverzeichnis!$AP:$AP,Lager!$B7,Gefahrstoffverzeichnis!$CB:$CB,$BN7,Gefahrstoffverzeichnis!$CB:$CB,"&lt;&gt;"&amp;$BL7,Gefahrstoffverzeichnis!$CB:$CB,"&lt;&gt;"&amp;$BJ7,Gefahrstoffverzeichnis!$CB:$CB,"&lt;&gt;"&amp;$BH7,Gefahrstoffverzeichnis!$CB:$CB,"&lt;&gt;"&amp;$BF7)</f>
        <v>0</v>
      </c>
      <c r="BP7" s="248" t="str">
        <f t="shared" si="12"/>
        <v/>
      </c>
      <c r="BQ7" s="249" t="s">
        <v>2639</v>
      </c>
      <c r="BR7" s="250">
        <f>SUMIFS(Gefahrstoffverzeichnis!$AU:$AU,Gefahrstoffverzeichnis!$BY:$BY,"kg",Gefahrstoffverzeichnis!$AP:$AP,Lager!$B7,Gefahrstoffverzeichnis!$CB:$CB,$BQ7)</f>
        <v>0</v>
      </c>
      <c r="BS7" s="249" t="s">
        <v>2640</v>
      </c>
      <c r="BT7" s="250">
        <f>SUMIFS(Gefahrstoffverzeichnis!$AU:$AU,Gefahrstoffverzeichnis!$BY:$BY,"kg",Gefahrstoffverzeichnis!$AP:$AP,Lager!$B7,Gefahrstoffverzeichnis!$CB:$CB,$BS7,Gefahrstoffverzeichnis!$CB:$CB,"&lt;&gt;"&amp;$BQ7)</f>
        <v>0</v>
      </c>
      <c r="BU7" s="249" t="s">
        <v>2644</v>
      </c>
      <c r="BV7" s="250">
        <f>SUMIFS(Gefahrstoffverzeichnis!$AU:$AU,Gefahrstoffverzeichnis!$BY:$BY,"kg",Gefahrstoffverzeichnis!$AP:$AP,Lager!$B7,Gefahrstoffverzeichnis!$CB:$CB,$BU7,Gefahrstoffverzeichnis!$CB:$CB,"&lt;&gt;"&amp;$BS7,Gefahrstoffverzeichnis!$CB:$CB,"&lt;&gt;"&amp;$BQ7)</f>
        <v>0</v>
      </c>
      <c r="BW7" s="249" t="s">
        <v>2645</v>
      </c>
      <c r="BX7" s="250">
        <f>SUMIFS(Gefahrstoffverzeichnis!$AU:$AU,Gefahrstoffverzeichnis!$BY:$BY,"kg",Gefahrstoffverzeichnis!$AP:$AP,Lager!$B7,Gefahrstoffverzeichnis!$CB:$CB,$BW7,Gefahrstoffverzeichnis!$CB:$CB,"&lt;&gt;"&amp;$BU7,Gefahrstoffverzeichnis!$CB:$CB,"&lt;&gt;"&amp;$BS7,Gefahrstoffverzeichnis!$CB:$CB,"&lt;&gt;"&amp;$BQ7)</f>
        <v>0</v>
      </c>
      <c r="BY7" s="248" t="str">
        <f t="shared" si="13"/>
        <v/>
      </c>
      <c r="BZ7" s="249" t="s">
        <v>2646</v>
      </c>
      <c r="CA7" s="250">
        <f>SUMIFS(Gefahrstoffverzeichnis!$AU:$AU,Gefahrstoffverzeichnis!$BY:$BY,"kg",Gefahrstoffverzeichnis!$AP:$AP,Lager!$B7,Gefahrstoffverzeichnis!$CB:$CB,$BZ7)</f>
        <v>0</v>
      </c>
      <c r="CB7" s="249" t="s">
        <v>2647</v>
      </c>
      <c r="CC7" s="250">
        <f>SUMIFS(Gefahrstoffverzeichnis!$AU:$AU,Gefahrstoffverzeichnis!$BY:$BY,"kg",Gefahrstoffverzeichnis!$AP:$AP,Lager!$B7,Gefahrstoffverzeichnis!$CB:$CB,$CB7,Gefahrstoffverzeichnis!$CB:$CB,"&lt;&gt;"&amp;$BZ7)</f>
        <v>0</v>
      </c>
    </row>
    <row r="8" spans="1:81" ht="18.75" customHeight="1" x14ac:dyDescent="0.3">
      <c r="B8" s="306" t="str">
        <v>*nicht definiert4*</v>
      </c>
      <c r="C8" s="303"/>
      <c r="D8" s="308">
        <f>SUMIFS(Gefahrstoffverzeichnis!$AU:$AU,Gefahrstoffverzeichnis!$BY:$BY,"kg",Gefahrstoffverzeichnis!$AP:$AP,Lager!$B8)</f>
        <v>0</v>
      </c>
      <c r="E8" s="303"/>
      <c r="F8" s="304" t="str">
        <f t="shared" si="0"/>
        <v/>
      </c>
      <c r="G8" s="250" t="s">
        <v>2619</v>
      </c>
      <c r="H8" s="250">
        <f>SUMIFS(Gefahrstoffverzeichnis!$AU:$AU,Gefahrstoffverzeichnis!$BY:$BY,"kg",Gefahrstoffverzeichnis!$AP:$AP,Lager!$B8,Gefahrstoffverzeichnis!$CC:$CC,$G8)</f>
        <v>0</v>
      </c>
      <c r="I8" s="250" t="s">
        <v>2620</v>
      </c>
      <c r="J8" s="250">
        <f>SUMIFS(Gefahrstoffverzeichnis!$AU:$AU,Gefahrstoffverzeichnis!$BY:$BY,"kg",Gefahrstoffverzeichnis!$AP:$AP,Lager!$B8,Gefahrstoffverzeichnis!$CC:$CC,$I8,Gefahrstoffverzeichnis!$CC:$CC,"&lt;&gt;"&amp;$G8)</f>
        <v>0</v>
      </c>
      <c r="K8" s="250" t="s">
        <v>2621</v>
      </c>
      <c r="L8" s="250">
        <f>SUMIFS(Gefahrstoffverzeichnis!$AU:$AU,Gefahrstoffverzeichnis!$BY:$BY,"kg",Gefahrstoffverzeichnis!$AP:$AP,Lager!$B8,Gefahrstoffverzeichnis!$CC:$CC,$K8,Gefahrstoffverzeichnis!$CC:$CC,"&lt;&gt;"&amp;$I8,Gefahrstoffverzeichnis!$CC:$CC,"&lt;&gt;"&amp;$G8)</f>
        <v>0</v>
      </c>
      <c r="M8" s="250" t="s">
        <v>2622</v>
      </c>
      <c r="N8" s="250">
        <f>SUMIFS(Gefahrstoffverzeichnis!$AU:$AU,Gefahrstoffverzeichnis!$BY:$BY,"kg",Gefahrstoffverzeichnis!$AP:$AP,Lager!$B8,Gefahrstoffverzeichnis!$CC:$CC,$M8,Gefahrstoffverzeichnis!$CC:$CC,"&lt;&gt;"&amp;$K8,Gefahrstoffverzeichnis!$CC:$CC,"&lt;&gt;"&amp;$I8,Gefahrstoffverzeichnis!$CC:$CC,"&lt;&gt;"&amp;$G8)</f>
        <v>0</v>
      </c>
      <c r="O8" s="250" t="s">
        <v>2623</v>
      </c>
      <c r="P8" s="250">
        <f>SUMIFS(Gefahrstoffverzeichnis!$AU:$AU,Gefahrstoffverzeichnis!$BY:$BY,"kg",Gefahrstoffverzeichnis!$AP:$AP,Lager!$B8,Gefahrstoffverzeichnis!$CC:$CC,$O8,Gefahrstoffverzeichnis!$CC:$CC,"&lt;&gt;"&amp;$M8,Gefahrstoffverzeichnis!$CC:$CC,"&lt;&gt;"&amp;$K8,Gefahrstoffverzeichnis!$CC:$CC,"&lt;&gt;"&amp;$I8,Gefahrstoffverzeichnis!$CC:$CC,"&lt;&gt;"&amp;$G8)</f>
        <v>0</v>
      </c>
      <c r="Q8" s="250" t="s">
        <v>2624</v>
      </c>
      <c r="R8" s="250">
        <f>SUMIFS(Gefahrstoffverzeichnis!$AU:$AU,Gefahrstoffverzeichnis!$BY:$BY,"kg",Gefahrstoffverzeichnis!$AP:$AP,Lager!$B8,Gefahrstoffverzeichnis!$CC:$CC,$Q$5,Gefahrstoffverzeichnis!$CC:$CC,"&lt;&gt;"&amp;$O8,Gefahrstoffverzeichnis!$CC:$CC,"&lt;&gt;"&amp;$M8,Gefahrstoffverzeichnis!$CC:$CC,"&lt;&gt;"&amp;$K8,Gefahrstoffverzeichnis!$CC:$CC,"&lt;&gt;"&amp;$I8,Gefahrstoffverzeichnis!$CC:$CC,"&lt;&gt;"&amp;$G8)</f>
        <v>0</v>
      </c>
      <c r="S8" s="304" t="str">
        <f t="shared" si="1"/>
        <v/>
      </c>
      <c r="T8" s="250" t="s">
        <v>2625</v>
      </c>
      <c r="U8" s="250">
        <f>SUMIFS(Gefahrstoffverzeichnis!$AU:$AU,Gefahrstoffverzeichnis!$BY:$BY,"kg",Gefahrstoffverzeichnis!$AP:$AP,Lager!$B8,Gefahrstoffverzeichnis!$CC:$CC,$T8)</f>
        <v>0</v>
      </c>
      <c r="V8" s="250" t="s">
        <v>2626</v>
      </c>
      <c r="W8" s="250">
        <f>SUMIFS(Gefahrstoffverzeichnis!$AU:$AU,Gefahrstoffverzeichnis!$BY:$BY,"kg",Gefahrstoffverzeichnis!$AP:$AP,Lager!$B8,Gefahrstoffverzeichnis!$CC:$CC,$V8,Gefahrstoffverzeichnis!$CC:$CC,"&lt;&gt;"&amp;$T8)</f>
        <v>0</v>
      </c>
      <c r="X8" s="304" t="str">
        <f t="shared" si="2"/>
        <v/>
      </c>
      <c r="Y8" s="250" t="s">
        <v>2627</v>
      </c>
      <c r="Z8" s="250">
        <f>SUMIFS(Gefahrstoffverzeichnis!$AU:$AU,Gefahrstoffverzeichnis!$BY:$BY,"kg",Gefahrstoffverzeichnis!$AP:$AP,Lager!$B8,Gefahrstoffverzeichnis!$CC:$CC,$Y8)</f>
        <v>0</v>
      </c>
      <c r="AA8" s="250" t="s">
        <v>2628</v>
      </c>
      <c r="AB8" s="250">
        <f>SUMIFS(Gefahrstoffverzeichnis!$AU:$AU,Gefahrstoffverzeichnis!$BY:$BY,"kg",Gefahrstoffverzeichnis!$AP:$AP,Lager!$B8,Gefahrstoffverzeichnis!$CC:$CC,$AA8,Gefahrstoffverzeichnis!$CC:$CC,"&lt;&gt;"&amp;$Y8)</f>
        <v>0</v>
      </c>
      <c r="AC8" s="304" t="str">
        <f t="shared" si="3"/>
        <v/>
      </c>
      <c r="AD8" s="250" t="s">
        <v>2629</v>
      </c>
      <c r="AE8" s="250">
        <f>SUMIFS(Gefahrstoffverzeichnis!$AU:$AU,Gefahrstoffverzeichnis!$BY:$BY,"kg",Gefahrstoffverzeichnis!$AP:$AP,Lager!$B8,Gefahrstoffverzeichnis!$CB:$CB,$AD8)</f>
        <v>0</v>
      </c>
      <c r="AF8" s="250" t="s">
        <v>2630</v>
      </c>
      <c r="AG8" s="250">
        <f>SUMIFS(Gefahrstoffverzeichnis!$AU:$AU,Gefahrstoffverzeichnis!$BY:$BY,"kg",Gefahrstoffverzeichnis!$AP:$AP,Lager!$B8,Gefahrstoffverzeichnis!$CB:$CB,$AF8,Gefahrstoffverzeichnis!$CB:$CB,"&lt;&gt;"&amp;$AD8)</f>
        <v>0</v>
      </c>
      <c r="AH8" s="304" t="str">
        <f t="shared" si="4"/>
        <v/>
      </c>
      <c r="AI8" s="250" t="s">
        <v>2631</v>
      </c>
      <c r="AJ8" s="250">
        <f>SUMIFS(Gefahrstoffverzeichnis!$AU:$AU,Gefahrstoffverzeichnis!$BY:$BY,"kg",Gefahrstoffverzeichnis!$AP:$AP,Lager!$B8,Gefahrstoffverzeichnis!$CB:$CB,$AI8)</f>
        <v>0</v>
      </c>
      <c r="AK8" s="304" t="str">
        <f t="shared" si="5"/>
        <v/>
      </c>
      <c r="AL8" s="250" t="s">
        <v>2632</v>
      </c>
      <c r="AM8" s="250">
        <f>SUMIFS(Gefahrstoffverzeichnis!$AU:$AU,Gefahrstoffverzeichnis!$BY:$BY,"kg",Gefahrstoffverzeichnis!$AP:$AP,Lager!$B8,Gefahrstoffverzeichnis!$CB:$CB,$AL8)</f>
        <v>0</v>
      </c>
      <c r="AN8" s="304" t="str">
        <f t="shared" si="6"/>
        <v/>
      </c>
      <c r="AO8" s="250" t="s">
        <v>2633</v>
      </c>
      <c r="AP8" s="250">
        <f>SUMIFS(Gefahrstoffverzeichnis!$AU:$AU,Gefahrstoffverzeichnis!$BY:$BY,"kg",Gefahrstoffverzeichnis!$AP:$AP,Lager!$B8,Gefahrstoffverzeichnis!$CB:$CB,$AO8)</f>
        <v>0</v>
      </c>
      <c r="AQ8" s="304" t="str">
        <f t="shared" si="7"/>
        <v/>
      </c>
      <c r="AR8" s="250" t="s">
        <v>2634</v>
      </c>
      <c r="AS8" s="250">
        <f>SUMIFS(Gefahrstoffverzeichnis!$AU:$AU,Gefahrstoffverzeichnis!$BY:$BY,"kg",Gefahrstoffverzeichnis!$AP:$AP,Lager!$B8,Gefahrstoffverzeichnis!$CB:$CB,$AR8)</f>
        <v>0</v>
      </c>
      <c r="AT8" s="250" t="s">
        <v>2635</v>
      </c>
      <c r="AU8" s="250">
        <f>SUMIFS(Gefahrstoffverzeichnis!$AU:$AU,Gefahrstoffverzeichnis!$BY:$BY,"kg",Gefahrstoffverzeichnis!$AP:$AP,Lager!$B8,Gefahrstoffverzeichnis!$CB:$CB,$AT8,Gefahrstoffverzeichnis!$CB:$CB,"&lt;&gt;"&amp;$AR8)</f>
        <v>0</v>
      </c>
      <c r="AV8" s="304" t="str">
        <f t="shared" si="8"/>
        <v/>
      </c>
      <c r="AW8" s="250" t="s">
        <v>2636</v>
      </c>
      <c r="AX8" s="250">
        <f>SUMIFS(Gefahrstoffverzeichnis!$AU:$AU,Gefahrstoffverzeichnis!$BY:$BY,"kg",Gefahrstoffverzeichnis!$AP:$AP,Lager!$B8,Gefahrstoffverzeichnis!$CB:$CB,$AW8)</f>
        <v>0</v>
      </c>
      <c r="AY8" s="304" t="str">
        <f t="shared" si="9"/>
        <v/>
      </c>
      <c r="AZ8" s="250" t="s">
        <v>2637</v>
      </c>
      <c r="BA8" s="250">
        <f>SUMIFS(Gefahrstoffverzeichnis!$AU:$AU,Gefahrstoffverzeichnis!$BY:$BY,"kg",Gefahrstoffverzeichnis!$AP:$AP,Lager!$B8,Gefahrstoffverzeichnis!$CB:$CB,$AZ8)</f>
        <v>0</v>
      </c>
      <c r="BB8" s="304" t="str">
        <f t="shared" si="10"/>
        <v/>
      </c>
      <c r="BC8" s="250" t="s">
        <v>2638</v>
      </c>
      <c r="BD8" s="250">
        <f>SUMIFS(Gefahrstoffverzeichnis!$AU:$AU,Gefahrstoffverzeichnis!$BY:$BY,"kg",Gefahrstoffverzeichnis!$AP:$AP,Lager!$B8,Gefahrstoffverzeichnis!$CB:$CB,$BC8)</f>
        <v>0</v>
      </c>
      <c r="BE8" s="304" t="str">
        <f t="shared" si="11"/>
        <v/>
      </c>
      <c r="BF8" s="250" t="s">
        <v>2639</v>
      </c>
      <c r="BG8" s="250">
        <f>SUMIFS(Gefahrstoffverzeichnis!$AU:$AU,Gefahrstoffverzeichnis!$BY:$BY,"Liter",Gefahrstoffverzeichnis!$AP:$AP,Lager!$B8,Gefahrstoffverzeichnis!$CB:$CB,$BF8)</f>
        <v>0</v>
      </c>
      <c r="BH8" s="250" t="s">
        <v>2640</v>
      </c>
      <c r="BI8" s="250">
        <f>SUMIFS(Gefahrstoffverzeichnis!$AU:$AU,Gefahrstoffverzeichnis!$BY:$BY,"Liter",Gefahrstoffverzeichnis!$AP:$AP,Lager!$B8,Gefahrstoffverzeichnis!$CB:$CB,$BH8,Gefahrstoffverzeichnis!$CB:$CB,"&lt;&gt;"&amp;$BF8)</f>
        <v>0</v>
      </c>
      <c r="BJ8" s="250" t="s">
        <v>2641</v>
      </c>
      <c r="BK8" s="250">
        <f>SUMIFS(Gefahrstoffverzeichnis!$AU:$AU,Gefahrstoffverzeichnis!$BY:$BY,"Liter",Gefahrstoffverzeichnis!$AP:$AP,Lager!$B8,Gefahrstoffverzeichnis!$CB:$CB,$BJ8,Gefahrstoffverzeichnis!$CB:$CB,"&lt;&gt;"&amp;$BH8,Gefahrstoffverzeichnis!$CB:$CB,"&lt;&gt;"&amp;$BF8)</f>
        <v>0</v>
      </c>
      <c r="BL8" s="250" t="s">
        <v>2642</v>
      </c>
      <c r="BM8" s="250">
        <f>SUMIFS(Gefahrstoffverzeichnis!$AU:$AU,Gefahrstoffverzeichnis!$BY:$BY,"Liter",Gefahrstoffverzeichnis!$AP:$AP,Lager!$B8,Gefahrstoffverzeichnis!$CB:$CB,$BL8,Gefahrstoffverzeichnis!$CB:$CB,"&lt;&gt;"&amp;$BJ8,Gefahrstoffverzeichnis!$CB:$CB,"&lt;&gt;"&amp;$BH8,Gefahrstoffverzeichnis!$CB:$CB,"&lt;&gt;"&amp;$BF8)</f>
        <v>0</v>
      </c>
      <c r="BN8" s="250" t="s">
        <v>2643</v>
      </c>
      <c r="BO8" s="250">
        <f>SUMIFS(Gefahrstoffverzeichnis!$AU:$AU,Gefahrstoffverzeichnis!$BY:$BY,"Liter",Gefahrstoffverzeichnis!$AP:$AP,Lager!$B8,Gefahrstoffverzeichnis!$CB:$CB,$BN8,Gefahrstoffverzeichnis!$CB:$CB,"&lt;&gt;"&amp;$BL8,Gefahrstoffverzeichnis!$CB:$CB,"&lt;&gt;"&amp;$BJ8,Gefahrstoffverzeichnis!$CB:$CB,"&lt;&gt;"&amp;$BH8,Gefahrstoffverzeichnis!$CB:$CB,"&lt;&gt;"&amp;$BF8)</f>
        <v>0</v>
      </c>
      <c r="BP8" s="304" t="str">
        <f t="shared" si="12"/>
        <v/>
      </c>
      <c r="BQ8" s="250" t="s">
        <v>2639</v>
      </c>
      <c r="BR8" s="250">
        <f>SUMIFS(Gefahrstoffverzeichnis!$AU:$AU,Gefahrstoffverzeichnis!$BY:$BY,"kg",Gefahrstoffverzeichnis!$AP:$AP,Lager!$B8,Gefahrstoffverzeichnis!$CB:$CB,$BQ8)</f>
        <v>0</v>
      </c>
      <c r="BS8" s="250" t="s">
        <v>2640</v>
      </c>
      <c r="BT8" s="250">
        <f>SUMIFS(Gefahrstoffverzeichnis!$AU:$AU,Gefahrstoffverzeichnis!$BY:$BY,"kg",Gefahrstoffverzeichnis!$AP:$AP,Lager!$B8,Gefahrstoffverzeichnis!$CB:$CB,$BS8,Gefahrstoffverzeichnis!$CB:$CB,"&lt;&gt;"&amp;$BQ8)</f>
        <v>0</v>
      </c>
      <c r="BU8" s="250" t="s">
        <v>2644</v>
      </c>
      <c r="BV8" s="250">
        <f>SUMIFS(Gefahrstoffverzeichnis!$AU:$AU,Gefahrstoffverzeichnis!$BY:$BY,"kg",Gefahrstoffverzeichnis!$AP:$AP,Lager!$B8,Gefahrstoffverzeichnis!$CB:$CB,$BU8,Gefahrstoffverzeichnis!$CB:$CB,"&lt;&gt;"&amp;$BS8,Gefahrstoffverzeichnis!$CB:$CB,"&lt;&gt;"&amp;$BQ8)</f>
        <v>0</v>
      </c>
      <c r="BW8" s="250" t="s">
        <v>2645</v>
      </c>
      <c r="BX8" s="250">
        <f>SUMIFS(Gefahrstoffverzeichnis!$AU:$AU,Gefahrstoffverzeichnis!$BY:$BY,"kg",Gefahrstoffverzeichnis!$AP:$AP,Lager!$B8,Gefahrstoffverzeichnis!$CB:$CB,$BW8,Gefahrstoffverzeichnis!$CB:$CB,"&lt;&gt;"&amp;$BU8,Gefahrstoffverzeichnis!$CB:$CB,"&lt;&gt;"&amp;$BS8,Gefahrstoffverzeichnis!$CB:$CB,"&lt;&gt;"&amp;$BQ8)</f>
        <v>0</v>
      </c>
      <c r="BY8" s="304" t="str">
        <f t="shared" si="13"/>
        <v/>
      </c>
      <c r="BZ8" s="249" t="s">
        <v>2646</v>
      </c>
      <c r="CA8" s="250">
        <f>SUMIFS(Gefahrstoffverzeichnis!$AU:$AU,Gefahrstoffverzeichnis!$BY:$BY,"kg",Gefahrstoffverzeichnis!$AP:$AP,Lager!$B8,Gefahrstoffverzeichnis!$CB:$CB,$BZ8)</f>
        <v>0</v>
      </c>
      <c r="CB8" s="249" t="s">
        <v>2647</v>
      </c>
      <c r="CC8" s="250">
        <f>SUMIFS(Gefahrstoffverzeichnis!$AU:$AU,Gefahrstoffverzeichnis!$BY:$BY,"kg",Gefahrstoffverzeichnis!$AP:$AP,Lager!$B8,Gefahrstoffverzeichnis!$CB:$CB,$CB8,Gefahrstoffverzeichnis!$CB:$CB,"&lt;&gt;"&amp;$BZ8)</f>
        <v>0</v>
      </c>
    </row>
    <row r="9" spans="1:81" ht="18.75" customHeight="1" x14ac:dyDescent="0.3">
      <c r="B9" s="306" t="str">
        <v>*nicht definiert5*</v>
      </c>
      <c r="D9" s="307">
        <f>SUMIFS(Gefahrstoffverzeichnis!$AU:$AU,Gefahrstoffverzeichnis!$BY:$BY,"kg",Gefahrstoffverzeichnis!$AP:$AP,Lager!$B9)</f>
        <v>0</v>
      </c>
      <c r="F9" s="248" t="str">
        <f t="shared" si="0"/>
        <v/>
      </c>
      <c r="G9" s="249" t="s">
        <v>2619</v>
      </c>
      <c r="H9" s="250">
        <f>SUMIFS(Gefahrstoffverzeichnis!$AU:$AU,Gefahrstoffverzeichnis!$BY:$BY,"kg",Gefahrstoffverzeichnis!$AP:$AP,Lager!$B9,Gefahrstoffverzeichnis!$CC:$CC,$G9)</f>
        <v>0</v>
      </c>
      <c r="I9" s="249" t="s">
        <v>2620</v>
      </c>
      <c r="J9" s="250">
        <f>SUMIFS(Gefahrstoffverzeichnis!$AU:$AU,Gefahrstoffverzeichnis!$BY:$BY,"kg",Gefahrstoffverzeichnis!$AP:$AP,Lager!$B9,Gefahrstoffverzeichnis!$CC:$CC,$I9,Gefahrstoffverzeichnis!$CC:$CC,"&lt;&gt;"&amp;$G9)</f>
        <v>0</v>
      </c>
      <c r="K9" s="249" t="s">
        <v>2621</v>
      </c>
      <c r="L9" s="250">
        <f>SUMIFS(Gefahrstoffverzeichnis!$AU:$AU,Gefahrstoffverzeichnis!$BY:$BY,"kg",Gefahrstoffverzeichnis!$AP:$AP,Lager!$B9,Gefahrstoffverzeichnis!$CC:$CC,$K9,Gefahrstoffverzeichnis!$CC:$CC,"&lt;&gt;"&amp;$I9,Gefahrstoffverzeichnis!$CC:$CC,"&lt;&gt;"&amp;$G9)</f>
        <v>0</v>
      </c>
      <c r="M9" s="249" t="s">
        <v>2622</v>
      </c>
      <c r="N9" s="250">
        <f>SUMIFS(Gefahrstoffverzeichnis!$AU:$AU,Gefahrstoffverzeichnis!$BY:$BY,"kg",Gefahrstoffverzeichnis!$AP:$AP,Lager!$B9,Gefahrstoffverzeichnis!$CC:$CC,$M9,Gefahrstoffverzeichnis!$CC:$CC,"&lt;&gt;"&amp;$K9,Gefahrstoffverzeichnis!$CC:$CC,"&lt;&gt;"&amp;$I9,Gefahrstoffverzeichnis!$CC:$CC,"&lt;&gt;"&amp;$G9)</f>
        <v>0</v>
      </c>
      <c r="O9" s="249" t="s">
        <v>2623</v>
      </c>
      <c r="P9" s="250">
        <f>SUMIFS(Gefahrstoffverzeichnis!$AU:$AU,Gefahrstoffverzeichnis!$BY:$BY,"kg",Gefahrstoffverzeichnis!$AP:$AP,Lager!$B9,Gefahrstoffverzeichnis!$CC:$CC,$O9,Gefahrstoffverzeichnis!$CC:$CC,"&lt;&gt;"&amp;$M9,Gefahrstoffverzeichnis!$CC:$CC,"&lt;&gt;"&amp;$K9,Gefahrstoffverzeichnis!$CC:$CC,"&lt;&gt;"&amp;$I9,Gefahrstoffverzeichnis!$CC:$CC,"&lt;&gt;"&amp;$G9)</f>
        <v>0</v>
      </c>
      <c r="Q9" s="249" t="s">
        <v>2624</v>
      </c>
      <c r="R9" s="250">
        <f>SUMIFS(Gefahrstoffverzeichnis!$AU:$AU,Gefahrstoffverzeichnis!$BY:$BY,"kg",Gefahrstoffverzeichnis!$AP:$AP,Lager!$B9,Gefahrstoffverzeichnis!$CC:$CC,$Q$5,Gefahrstoffverzeichnis!$CC:$CC,"&lt;&gt;"&amp;$O9,Gefahrstoffverzeichnis!$CC:$CC,"&lt;&gt;"&amp;$M9,Gefahrstoffverzeichnis!$CC:$CC,"&lt;&gt;"&amp;$K9,Gefahrstoffverzeichnis!$CC:$CC,"&lt;&gt;"&amp;$I9,Gefahrstoffverzeichnis!$CC:$CC,"&lt;&gt;"&amp;$G9)</f>
        <v>0</v>
      </c>
      <c r="S9" s="248" t="str">
        <f t="shared" si="1"/>
        <v/>
      </c>
      <c r="T9" s="249" t="s">
        <v>2625</v>
      </c>
      <c r="U9" s="250">
        <f>SUMIFS(Gefahrstoffverzeichnis!$AU:$AU,Gefahrstoffverzeichnis!$BY:$BY,"kg",Gefahrstoffverzeichnis!$AP:$AP,Lager!$B9,Gefahrstoffverzeichnis!$CC:$CC,$T9)</f>
        <v>0</v>
      </c>
      <c r="V9" s="249" t="s">
        <v>2626</v>
      </c>
      <c r="W9" s="250">
        <f>SUMIFS(Gefahrstoffverzeichnis!$AU:$AU,Gefahrstoffverzeichnis!$BY:$BY,"kg",Gefahrstoffverzeichnis!$AP:$AP,Lager!$B9,Gefahrstoffverzeichnis!$CC:$CC,$V9,Gefahrstoffverzeichnis!$CC:$CC,"&lt;&gt;"&amp;$T9)</f>
        <v>0</v>
      </c>
      <c r="X9" s="248" t="str">
        <f t="shared" si="2"/>
        <v/>
      </c>
      <c r="Y9" s="249" t="s">
        <v>2627</v>
      </c>
      <c r="Z9" s="250">
        <f>SUMIFS(Gefahrstoffverzeichnis!$AU:$AU,Gefahrstoffverzeichnis!$BY:$BY,"kg",Gefahrstoffverzeichnis!$AP:$AP,Lager!$B9,Gefahrstoffverzeichnis!$CC:$CC,$Y9)</f>
        <v>0</v>
      </c>
      <c r="AA9" s="249" t="s">
        <v>2628</v>
      </c>
      <c r="AB9" s="250">
        <f>SUMIFS(Gefahrstoffverzeichnis!$AU:$AU,Gefahrstoffverzeichnis!$BY:$BY,"kg",Gefahrstoffverzeichnis!$AP:$AP,Lager!$B9,Gefahrstoffverzeichnis!$CC:$CC,$AA9,Gefahrstoffverzeichnis!$CC:$CC,"&lt;&gt;"&amp;$Y9)</f>
        <v>0</v>
      </c>
      <c r="AC9" s="248" t="str">
        <f t="shared" si="3"/>
        <v/>
      </c>
      <c r="AD9" s="249" t="s">
        <v>2629</v>
      </c>
      <c r="AE9" s="250">
        <f>SUMIFS(Gefahrstoffverzeichnis!$AU:$AU,Gefahrstoffverzeichnis!$BY:$BY,"kg",Gefahrstoffverzeichnis!$AP:$AP,Lager!$B9,Gefahrstoffverzeichnis!$CB:$CB,$AD9)</f>
        <v>0</v>
      </c>
      <c r="AF9" s="249" t="s">
        <v>2630</v>
      </c>
      <c r="AG9" s="250">
        <f>SUMIFS(Gefahrstoffverzeichnis!$AU:$AU,Gefahrstoffverzeichnis!$BY:$BY,"kg",Gefahrstoffverzeichnis!$AP:$AP,Lager!$B9,Gefahrstoffverzeichnis!$CB:$CB,$AF9,Gefahrstoffverzeichnis!$CB:$CB,"&lt;&gt;"&amp;$AD9)</f>
        <v>0</v>
      </c>
      <c r="AH9" s="248" t="str">
        <f t="shared" si="4"/>
        <v/>
      </c>
      <c r="AI9" s="249" t="s">
        <v>2631</v>
      </c>
      <c r="AJ9" s="250">
        <f>SUMIFS(Gefahrstoffverzeichnis!$AU:$AU,Gefahrstoffverzeichnis!$BY:$BY,"kg",Gefahrstoffverzeichnis!$AP:$AP,Lager!$B9,Gefahrstoffverzeichnis!$CB:$CB,$AI9)</f>
        <v>0</v>
      </c>
      <c r="AK9" s="248" t="str">
        <f t="shared" si="5"/>
        <v/>
      </c>
      <c r="AL9" s="249" t="s">
        <v>2632</v>
      </c>
      <c r="AM9" s="250">
        <f>SUMIFS(Gefahrstoffverzeichnis!$AU:$AU,Gefahrstoffverzeichnis!$BY:$BY,"kg",Gefahrstoffverzeichnis!$AP:$AP,Lager!$B9,Gefahrstoffverzeichnis!$CB:$CB,$AL9)</f>
        <v>0</v>
      </c>
      <c r="AN9" s="248" t="str">
        <f t="shared" si="6"/>
        <v/>
      </c>
      <c r="AO9" s="249" t="s">
        <v>2633</v>
      </c>
      <c r="AP9" s="250">
        <f>SUMIFS(Gefahrstoffverzeichnis!$AU:$AU,Gefahrstoffverzeichnis!$BY:$BY,"kg",Gefahrstoffverzeichnis!$AP:$AP,Lager!$B9,Gefahrstoffverzeichnis!$CB:$CB,$AO9)</f>
        <v>0</v>
      </c>
      <c r="AQ9" s="248" t="str">
        <f t="shared" si="7"/>
        <v/>
      </c>
      <c r="AR9" s="249" t="s">
        <v>2634</v>
      </c>
      <c r="AS9" s="250">
        <f>SUMIFS(Gefahrstoffverzeichnis!$AU:$AU,Gefahrstoffverzeichnis!$BY:$BY,"kg",Gefahrstoffverzeichnis!$AP:$AP,Lager!$B9,Gefahrstoffverzeichnis!$CB:$CB,$AR9)</f>
        <v>0</v>
      </c>
      <c r="AT9" s="249" t="s">
        <v>2635</v>
      </c>
      <c r="AU9" s="250">
        <f>SUMIFS(Gefahrstoffverzeichnis!$AU:$AU,Gefahrstoffverzeichnis!$BY:$BY,"kg",Gefahrstoffverzeichnis!$AP:$AP,Lager!$B9,Gefahrstoffverzeichnis!$CB:$CB,$AT9,Gefahrstoffverzeichnis!$CB:$CB,"&lt;&gt;"&amp;$AR9)</f>
        <v>0</v>
      </c>
      <c r="AV9" s="248" t="str">
        <f t="shared" si="8"/>
        <v/>
      </c>
      <c r="AW9" s="249" t="s">
        <v>2636</v>
      </c>
      <c r="AX9" s="250">
        <f>SUMIFS(Gefahrstoffverzeichnis!$AU:$AU,Gefahrstoffverzeichnis!$BY:$BY,"kg",Gefahrstoffverzeichnis!$AP:$AP,Lager!$B9,Gefahrstoffverzeichnis!$CB:$CB,$AW9)</f>
        <v>0</v>
      </c>
      <c r="AY9" s="248" t="str">
        <f t="shared" si="9"/>
        <v/>
      </c>
      <c r="AZ9" s="249" t="s">
        <v>2637</v>
      </c>
      <c r="BA9" s="250">
        <f>SUMIFS(Gefahrstoffverzeichnis!$AU:$AU,Gefahrstoffverzeichnis!$BY:$BY,"kg",Gefahrstoffverzeichnis!$AP:$AP,Lager!$B9,Gefahrstoffverzeichnis!$CB:$CB,$AZ9)</f>
        <v>0</v>
      </c>
      <c r="BB9" s="248" t="str">
        <f t="shared" si="10"/>
        <v/>
      </c>
      <c r="BC9" s="249" t="s">
        <v>2638</v>
      </c>
      <c r="BD9" s="250">
        <f>SUMIFS(Gefahrstoffverzeichnis!$AU:$AU,Gefahrstoffverzeichnis!$BY:$BY,"kg",Gefahrstoffverzeichnis!$AP:$AP,Lager!$B9,Gefahrstoffverzeichnis!$CB:$CB,$BC9)</f>
        <v>0</v>
      </c>
      <c r="BE9" s="248" t="str">
        <f t="shared" si="11"/>
        <v/>
      </c>
      <c r="BF9" s="249" t="s">
        <v>2639</v>
      </c>
      <c r="BG9" s="250">
        <f>SUMIFS(Gefahrstoffverzeichnis!$AU:$AU,Gefahrstoffverzeichnis!$BY:$BY,"Liter",Gefahrstoffverzeichnis!$AP:$AP,Lager!$B9,Gefahrstoffverzeichnis!$CB:$CB,$BF9)</f>
        <v>0</v>
      </c>
      <c r="BH9" s="249" t="s">
        <v>2640</v>
      </c>
      <c r="BI9" s="250">
        <f>SUMIFS(Gefahrstoffverzeichnis!$AU:$AU,Gefahrstoffverzeichnis!$BY:$BY,"Liter",Gefahrstoffverzeichnis!$AP:$AP,Lager!$B9,Gefahrstoffverzeichnis!$CB:$CB,$BH9,Gefahrstoffverzeichnis!$CB:$CB,"&lt;&gt;"&amp;$BF9)</f>
        <v>0</v>
      </c>
      <c r="BJ9" s="249" t="s">
        <v>2641</v>
      </c>
      <c r="BK9" s="250">
        <f>SUMIFS(Gefahrstoffverzeichnis!$AU:$AU,Gefahrstoffverzeichnis!$BY:$BY,"Liter",Gefahrstoffverzeichnis!$AP:$AP,Lager!$B9,Gefahrstoffverzeichnis!$CB:$CB,$BJ9,Gefahrstoffverzeichnis!$CB:$CB,"&lt;&gt;"&amp;$BH9,Gefahrstoffverzeichnis!$CB:$CB,"&lt;&gt;"&amp;$BF9)</f>
        <v>0</v>
      </c>
      <c r="BL9" s="249" t="s">
        <v>2642</v>
      </c>
      <c r="BM9" s="250">
        <f>SUMIFS(Gefahrstoffverzeichnis!$AU:$AU,Gefahrstoffverzeichnis!$BY:$BY,"Liter",Gefahrstoffverzeichnis!$AP:$AP,Lager!$B9,Gefahrstoffverzeichnis!$CB:$CB,$BL9,Gefahrstoffverzeichnis!$CB:$CB,"&lt;&gt;"&amp;$BJ9,Gefahrstoffverzeichnis!$CB:$CB,"&lt;&gt;"&amp;$BH9,Gefahrstoffverzeichnis!$CB:$CB,"&lt;&gt;"&amp;$BF9)</f>
        <v>0</v>
      </c>
      <c r="BN9" s="249" t="s">
        <v>2643</v>
      </c>
      <c r="BO9" s="250">
        <f>SUMIFS(Gefahrstoffverzeichnis!$AU:$AU,Gefahrstoffverzeichnis!$BY:$BY,"Liter",Gefahrstoffverzeichnis!$AP:$AP,Lager!$B9,Gefahrstoffverzeichnis!$CB:$CB,$BN9,Gefahrstoffverzeichnis!$CB:$CB,"&lt;&gt;"&amp;$BL9,Gefahrstoffverzeichnis!$CB:$CB,"&lt;&gt;"&amp;$BJ9,Gefahrstoffverzeichnis!$CB:$CB,"&lt;&gt;"&amp;$BH9,Gefahrstoffverzeichnis!$CB:$CB,"&lt;&gt;"&amp;$BF9)</f>
        <v>0</v>
      </c>
      <c r="BP9" s="248" t="str">
        <f t="shared" si="12"/>
        <v/>
      </c>
      <c r="BQ9" s="249" t="s">
        <v>2639</v>
      </c>
      <c r="BR9" s="250">
        <f>SUMIFS(Gefahrstoffverzeichnis!$AU:$AU,Gefahrstoffverzeichnis!$BY:$BY,"kg",Gefahrstoffverzeichnis!$AP:$AP,Lager!$B9,Gefahrstoffverzeichnis!$CB:$CB,$BQ9)</f>
        <v>0</v>
      </c>
      <c r="BS9" s="249" t="s">
        <v>2640</v>
      </c>
      <c r="BT9" s="250">
        <f>SUMIFS(Gefahrstoffverzeichnis!$AU:$AU,Gefahrstoffverzeichnis!$BY:$BY,"kg",Gefahrstoffverzeichnis!$AP:$AP,Lager!$B9,Gefahrstoffverzeichnis!$CB:$CB,$BS9,Gefahrstoffverzeichnis!$CB:$CB,"&lt;&gt;"&amp;$BQ9)</f>
        <v>0</v>
      </c>
      <c r="BU9" s="249" t="s">
        <v>2644</v>
      </c>
      <c r="BV9" s="250">
        <f>SUMIFS(Gefahrstoffverzeichnis!$AU:$AU,Gefahrstoffverzeichnis!$BY:$BY,"kg",Gefahrstoffverzeichnis!$AP:$AP,Lager!$B9,Gefahrstoffverzeichnis!$CB:$CB,$BU9,Gefahrstoffverzeichnis!$CB:$CB,"&lt;&gt;"&amp;$BS9,Gefahrstoffverzeichnis!$CB:$CB,"&lt;&gt;"&amp;$BQ9)</f>
        <v>0</v>
      </c>
      <c r="BW9" s="249" t="s">
        <v>2645</v>
      </c>
      <c r="BX9" s="250">
        <f>SUMIFS(Gefahrstoffverzeichnis!$AU:$AU,Gefahrstoffverzeichnis!$BY:$BY,"kg",Gefahrstoffverzeichnis!$AP:$AP,Lager!$B9,Gefahrstoffverzeichnis!$CB:$CB,$BW9,Gefahrstoffverzeichnis!$CB:$CB,"&lt;&gt;"&amp;$BU9,Gefahrstoffverzeichnis!$CB:$CB,"&lt;&gt;"&amp;$BS9,Gefahrstoffverzeichnis!$CB:$CB,"&lt;&gt;"&amp;$BQ9)</f>
        <v>0</v>
      </c>
      <c r="BY9" s="248" t="str">
        <f t="shared" si="13"/>
        <v/>
      </c>
      <c r="BZ9" s="249" t="s">
        <v>2646</v>
      </c>
      <c r="CA9" s="250">
        <f>SUMIFS(Gefahrstoffverzeichnis!$AU:$AU,Gefahrstoffverzeichnis!$BY:$BY,"kg",Gefahrstoffverzeichnis!$AP:$AP,Lager!$B9,Gefahrstoffverzeichnis!$CB:$CB,$BZ9)</f>
        <v>0</v>
      </c>
      <c r="CB9" s="249" t="s">
        <v>2647</v>
      </c>
      <c r="CC9" s="250">
        <f>SUMIFS(Gefahrstoffverzeichnis!$AU:$AU,Gefahrstoffverzeichnis!$BY:$BY,"kg",Gefahrstoffverzeichnis!$AP:$AP,Lager!$B9,Gefahrstoffverzeichnis!$CB:$CB,$CB9,Gefahrstoffverzeichnis!$CB:$CB,"&lt;&gt;"&amp;$BZ9)</f>
        <v>0</v>
      </c>
    </row>
    <row r="10" spans="1:81" ht="18.75" customHeight="1" x14ac:dyDescent="0.3">
      <c r="B10" s="306" t="str">
        <v>*nicht definiert6*</v>
      </c>
      <c r="C10" s="303"/>
      <c r="D10" s="308">
        <f>SUMIFS(Gefahrstoffverzeichnis!$AU:$AU,Gefahrstoffverzeichnis!$BY:$BY,"kg",Gefahrstoffverzeichnis!$AP:$AP,Lager!$B10)</f>
        <v>0</v>
      </c>
      <c r="E10" s="303"/>
      <c r="F10" s="304" t="str">
        <f t="shared" si="0"/>
        <v/>
      </c>
      <c r="G10" s="250" t="s">
        <v>2619</v>
      </c>
      <c r="H10" s="250">
        <f>SUMIFS(Gefahrstoffverzeichnis!$AU:$AU,Gefahrstoffverzeichnis!$BY:$BY,"kg",Gefahrstoffverzeichnis!$AP:$AP,Lager!$B10,Gefahrstoffverzeichnis!$CC:$CC,$G10)</f>
        <v>0</v>
      </c>
      <c r="I10" s="250" t="s">
        <v>2620</v>
      </c>
      <c r="J10" s="250">
        <f>SUMIFS(Gefahrstoffverzeichnis!$AU:$AU,Gefahrstoffverzeichnis!$BY:$BY,"kg",Gefahrstoffverzeichnis!$AP:$AP,Lager!$B10,Gefahrstoffverzeichnis!$CC:$CC,$I10,Gefahrstoffverzeichnis!$CC:$CC,"&lt;&gt;"&amp;$G10)</f>
        <v>0</v>
      </c>
      <c r="K10" s="250" t="s">
        <v>2621</v>
      </c>
      <c r="L10" s="250">
        <f>SUMIFS(Gefahrstoffverzeichnis!$AU:$AU,Gefahrstoffverzeichnis!$BY:$BY,"kg",Gefahrstoffverzeichnis!$AP:$AP,Lager!$B10,Gefahrstoffverzeichnis!$CC:$CC,$K10,Gefahrstoffverzeichnis!$CC:$CC,"&lt;&gt;"&amp;$I10,Gefahrstoffverzeichnis!$CC:$CC,"&lt;&gt;"&amp;$G10)</f>
        <v>0</v>
      </c>
      <c r="M10" s="250" t="s">
        <v>2622</v>
      </c>
      <c r="N10" s="250">
        <f>SUMIFS(Gefahrstoffverzeichnis!$AU:$AU,Gefahrstoffverzeichnis!$BY:$BY,"kg",Gefahrstoffverzeichnis!$AP:$AP,Lager!$B10,Gefahrstoffverzeichnis!$CC:$CC,$M10,Gefahrstoffverzeichnis!$CC:$CC,"&lt;&gt;"&amp;$K10,Gefahrstoffverzeichnis!$CC:$CC,"&lt;&gt;"&amp;$I10,Gefahrstoffverzeichnis!$CC:$CC,"&lt;&gt;"&amp;$G10)</f>
        <v>0</v>
      </c>
      <c r="O10" s="250" t="s">
        <v>2623</v>
      </c>
      <c r="P10" s="250">
        <f>SUMIFS(Gefahrstoffverzeichnis!$AU:$AU,Gefahrstoffverzeichnis!$BY:$BY,"kg",Gefahrstoffverzeichnis!$AP:$AP,Lager!$B10,Gefahrstoffverzeichnis!$CC:$CC,$O10,Gefahrstoffverzeichnis!$CC:$CC,"&lt;&gt;"&amp;$M10,Gefahrstoffverzeichnis!$CC:$CC,"&lt;&gt;"&amp;$K10,Gefahrstoffverzeichnis!$CC:$CC,"&lt;&gt;"&amp;$I10,Gefahrstoffverzeichnis!$CC:$CC,"&lt;&gt;"&amp;$G10)</f>
        <v>0</v>
      </c>
      <c r="Q10" s="250" t="s">
        <v>2624</v>
      </c>
      <c r="R10" s="250">
        <f>SUMIFS(Gefahrstoffverzeichnis!$AU:$AU,Gefahrstoffverzeichnis!$BY:$BY,"kg",Gefahrstoffverzeichnis!$AP:$AP,Lager!$B10,Gefahrstoffverzeichnis!$CC:$CC,$Q$5,Gefahrstoffverzeichnis!$CC:$CC,"&lt;&gt;"&amp;$O10,Gefahrstoffverzeichnis!$CC:$CC,"&lt;&gt;"&amp;$M10,Gefahrstoffverzeichnis!$CC:$CC,"&lt;&gt;"&amp;$K10,Gefahrstoffverzeichnis!$CC:$CC,"&lt;&gt;"&amp;$I10,Gefahrstoffverzeichnis!$CC:$CC,"&lt;&gt;"&amp;$G10)</f>
        <v>0</v>
      </c>
      <c r="S10" s="304" t="str">
        <f t="shared" si="1"/>
        <v/>
      </c>
      <c r="T10" s="250" t="s">
        <v>2625</v>
      </c>
      <c r="U10" s="250">
        <f>SUMIFS(Gefahrstoffverzeichnis!$AU:$AU,Gefahrstoffverzeichnis!$BY:$BY,"kg",Gefahrstoffverzeichnis!$AP:$AP,Lager!$B10,Gefahrstoffverzeichnis!$CC:$CC,$T10)</f>
        <v>0</v>
      </c>
      <c r="V10" s="250" t="s">
        <v>2626</v>
      </c>
      <c r="W10" s="250">
        <f>SUMIFS(Gefahrstoffverzeichnis!$AU:$AU,Gefahrstoffverzeichnis!$BY:$BY,"kg",Gefahrstoffverzeichnis!$AP:$AP,Lager!$B10,Gefahrstoffverzeichnis!$CC:$CC,$V10,Gefahrstoffverzeichnis!$CC:$CC,"&lt;&gt;"&amp;$T10)</f>
        <v>0</v>
      </c>
      <c r="X10" s="304" t="str">
        <f t="shared" si="2"/>
        <v/>
      </c>
      <c r="Y10" s="250" t="s">
        <v>2627</v>
      </c>
      <c r="Z10" s="250">
        <f>SUMIFS(Gefahrstoffverzeichnis!$AU:$AU,Gefahrstoffverzeichnis!$BY:$BY,"kg",Gefahrstoffverzeichnis!$AP:$AP,Lager!$B10,Gefahrstoffverzeichnis!$CC:$CC,$Y10)</f>
        <v>0</v>
      </c>
      <c r="AA10" s="250" t="s">
        <v>2628</v>
      </c>
      <c r="AB10" s="250">
        <f>SUMIFS(Gefahrstoffverzeichnis!$AU:$AU,Gefahrstoffverzeichnis!$BY:$BY,"kg",Gefahrstoffverzeichnis!$AP:$AP,Lager!$B10,Gefahrstoffverzeichnis!$CC:$CC,$AA10,Gefahrstoffverzeichnis!$CC:$CC,"&lt;&gt;"&amp;$Y10)</f>
        <v>0</v>
      </c>
      <c r="AC10" s="304" t="str">
        <f t="shared" si="3"/>
        <v/>
      </c>
      <c r="AD10" s="250" t="s">
        <v>2629</v>
      </c>
      <c r="AE10" s="250">
        <f>SUMIFS(Gefahrstoffverzeichnis!$AU:$AU,Gefahrstoffverzeichnis!$BY:$BY,"kg",Gefahrstoffverzeichnis!$AP:$AP,Lager!$B10,Gefahrstoffverzeichnis!$CB:$CB,$AD10)</f>
        <v>0</v>
      </c>
      <c r="AF10" s="250" t="s">
        <v>2630</v>
      </c>
      <c r="AG10" s="250">
        <f>SUMIFS(Gefahrstoffverzeichnis!$AU:$AU,Gefahrstoffverzeichnis!$BY:$BY,"kg",Gefahrstoffverzeichnis!$AP:$AP,Lager!$B10,Gefahrstoffverzeichnis!$CB:$CB,$AF10,Gefahrstoffverzeichnis!$CB:$CB,"&lt;&gt;"&amp;$AD10)</f>
        <v>0</v>
      </c>
      <c r="AH10" s="304" t="str">
        <f t="shared" si="4"/>
        <v/>
      </c>
      <c r="AI10" s="250" t="s">
        <v>2631</v>
      </c>
      <c r="AJ10" s="250">
        <f>SUMIFS(Gefahrstoffverzeichnis!$AU:$AU,Gefahrstoffverzeichnis!$BY:$BY,"kg",Gefahrstoffverzeichnis!$AP:$AP,Lager!$B10,Gefahrstoffverzeichnis!$CB:$CB,$AI10)</f>
        <v>0</v>
      </c>
      <c r="AK10" s="304" t="str">
        <f t="shared" si="5"/>
        <v/>
      </c>
      <c r="AL10" s="250" t="s">
        <v>2632</v>
      </c>
      <c r="AM10" s="250">
        <f>SUMIFS(Gefahrstoffverzeichnis!$AU:$AU,Gefahrstoffverzeichnis!$BY:$BY,"kg",Gefahrstoffverzeichnis!$AP:$AP,Lager!$B10,Gefahrstoffverzeichnis!$CB:$CB,$AL10)</f>
        <v>0</v>
      </c>
      <c r="AN10" s="304" t="str">
        <f t="shared" si="6"/>
        <v/>
      </c>
      <c r="AO10" s="250" t="s">
        <v>2633</v>
      </c>
      <c r="AP10" s="250">
        <f>SUMIFS(Gefahrstoffverzeichnis!$AU:$AU,Gefahrstoffverzeichnis!$BY:$BY,"kg",Gefahrstoffverzeichnis!$AP:$AP,Lager!$B10,Gefahrstoffverzeichnis!$CB:$CB,$AO10)</f>
        <v>0</v>
      </c>
      <c r="AQ10" s="304" t="str">
        <f t="shared" si="7"/>
        <v/>
      </c>
      <c r="AR10" s="250" t="s">
        <v>2634</v>
      </c>
      <c r="AS10" s="250">
        <f>SUMIFS(Gefahrstoffverzeichnis!$AU:$AU,Gefahrstoffverzeichnis!$BY:$BY,"kg",Gefahrstoffverzeichnis!$AP:$AP,Lager!$B10,Gefahrstoffverzeichnis!$CB:$CB,$AR10)</f>
        <v>0</v>
      </c>
      <c r="AT10" s="250" t="s">
        <v>2635</v>
      </c>
      <c r="AU10" s="250">
        <f>SUMIFS(Gefahrstoffverzeichnis!$AU:$AU,Gefahrstoffverzeichnis!$BY:$BY,"kg",Gefahrstoffverzeichnis!$AP:$AP,Lager!$B10,Gefahrstoffverzeichnis!$CB:$CB,$AT10,Gefahrstoffverzeichnis!$CB:$CB,"&lt;&gt;"&amp;$AR10)</f>
        <v>0</v>
      </c>
      <c r="AV10" s="304" t="str">
        <f t="shared" si="8"/>
        <v/>
      </c>
      <c r="AW10" s="250" t="s">
        <v>2636</v>
      </c>
      <c r="AX10" s="250">
        <f>SUMIFS(Gefahrstoffverzeichnis!$AU:$AU,Gefahrstoffverzeichnis!$BY:$BY,"kg",Gefahrstoffverzeichnis!$AP:$AP,Lager!$B10,Gefahrstoffverzeichnis!$CB:$CB,$AW10)</f>
        <v>0</v>
      </c>
      <c r="AY10" s="304" t="str">
        <f t="shared" si="9"/>
        <v/>
      </c>
      <c r="AZ10" s="250" t="s">
        <v>2637</v>
      </c>
      <c r="BA10" s="250">
        <f>SUMIFS(Gefahrstoffverzeichnis!$AU:$AU,Gefahrstoffverzeichnis!$BY:$BY,"kg",Gefahrstoffverzeichnis!$AP:$AP,Lager!$B10,Gefahrstoffverzeichnis!$CB:$CB,$AZ10)</f>
        <v>0</v>
      </c>
      <c r="BB10" s="304" t="str">
        <f t="shared" si="10"/>
        <v/>
      </c>
      <c r="BC10" s="250" t="s">
        <v>2638</v>
      </c>
      <c r="BD10" s="250">
        <f>SUMIFS(Gefahrstoffverzeichnis!$AU:$AU,Gefahrstoffverzeichnis!$BY:$BY,"kg",Gefahrstoffverzeichnis!$AP:$AP,Lager!$B10,Gefahrstoffverzeichnis!$CB:$CB,$BC10)</f>
        <v>0</v>
      </c>
      <c r="BE10" s="304" t="str">
        <f t="shared" si="11"/>
        <v/>
      </c>
      <c r="BF10" s="250" t="s">
        <v>2639</v>
      </c>
      <c r="BG10" s="250">
        <f>SUMIFS(Gefahrstoffverzeichnis!$AU:$AU,Gefahrstoffverzeichnis!$BY:$BY,"Liter",Gefahrstoffverzeichnis!$AP:$AP,Lager!$B10,Gefahrstoffverzeichnis!$CB:$CB,$BF10)</f>
        <v>0</v>
      </c>
      <c r="BH10" s="250" t="s">
        <v>2640</v>
      </c>
      <c r="BI10" s="250">
        <f>SUMIFS(Gefahrstoffverzeichnis!$AU:$AU,Gefahrstoffverzeichnis!$BY:$BY,"Liter",Gefahrstoffverzeichnis!$AP:$AP,Lager!$B10,Gefahrstoffverzeichnis!$CB:$CB,$BH10,Gefahrstoffverzeichnis!$CB:$CB,"&lt;&gt;"&amp;$BF10)</f>
        <v>0</v>
      </c>
      <c r="BJ10" s="250" t="s">
        <v>2641</v>
      </c>
      <c r="BK10" s="250">
        <f>SUMIFS(Gefahrstoffverzeichnis!$AU:$AU,Gefahrstoffverzeichnis!$BY:$BY,"Liter",Gefahrstoffverzeichnis!$AP:$AP,Lager!$B10,Gefahrstoffverzeichnis!$CB:$CB,$BJ10,Gefahrstoffverzeichnis!$CB:$CB,"&lt;&gt;"&amp;$BH10,Gefahrstoffverzeichnis!$CB:$CB,"&lt;&gt;"&amp;$BF10)</f>
        <v>0</v>
      </c>
      <c r="BL10" s="250" t="s">
        <v>2642</v>
      </c>
      <c r="BM10" s="250">
        <f>SUMIFS(Gefahrstoffverzeichnis!$AU:$AU,Gefahrstoffverzeichnis!$BY:$BY,"Liter",Gefahrstoffverzeichnis!$AP:$AP,Lager!$B10,Gefahrstoffverzeichnis!$CB:$CB,$BL10,Gefahrstoffverzeichnis!$CB:$CB,"&lt;&gt;"&amp;$BJ10,Gefahrstoffverzeichnis!$CB:$CB,"&lt;&gt;"&amp;$BH10,Gefahrstoffverzeichnis!$CB:$CB,"&lt;&gt;"&amp;$BF10)</f>
        <v>0</v>
      </c>
      <c r="BN10" s="250" t="s">
        <v>2643</v>
      </c>
      <c r="BO10" s="250">
        <f>SUMIFS(Gefahrstoffverzeichnis!$AU:$AU,Gefahrstoffverzeichnis!$BY:$BY,"Liter",Gefahrstoffverzeichnis!$AP:$AP,Lager!$B10,Gefahrstoffverzeichnis!$CB:$CB,$BN10,Gefahrstoffverzeichnis!$CB:$CB,"&lt;&gt;"&amp;$BL10,Gefahrstoffverzeichnis!$CB:$CB,"&lt;&gt;"&amp;$BJ10,Gefahrstoffverzeichnis!$CB:$CB,"&lt;&gt;"&amp;$BH10,Gefahrstoffverzeichnis!$CB:$CB,"&lt;&gt;"&amp;$BF10)</f>
        <v>0</v>
      </c>
      <c r="BP10" s="304" t="str">
        <f t="shared" si="12"/>
        <v/>
      </c>
      <c r="BQ10" s="250" t="s">
        <v>2639</v>
      </c>
      <c r="BR10" s="250">
        <f>SUMIFS(Gefahrstoffverzeichnis!$AU:$AU,Gefahrstoffverzeichnis!$BY:$BY,"kg",Gefahrstoffverzeichnis!$AP:$AP,Lager!$B10,Gefahrstoffverzeichnis!$CB:$CB,$BQ10)</f>
        <v>0</v>
      </c>
      <c r="BS10" s="250" t="s">
        <v>2640</v>
      </c>
      <c r="BT10" s="250">
        <f>SUMIFS(Gefahrstoffverzeichnis!$AU:$AU,Gefahrstoffverzeichnis!$BY:$BY,"kg",Gefahrstoffverzeichnis!$AP:$AP,Lager!$B10,Gefahrstoffverzeichnis!$CB:$CB,$BS10,Gefahrstoffverzeichnis!$CB:$CB,"&lt;&gt;"&amp;$BQ10)</f>
        <v>0</v>
      </c>
      <c r="BU10" s="250" t="s">
        <v>2644</v>
      </c>
      <c r="BV10" s="250">
        <f>SUMIFS(Gefahrstoffverzeichnis!$AU:$AU,Gefahrstoffverzeichnis!$BY:$BY,"kg",Gefahrstoffverzeichnis!$AP:$AP,Lager!$B10,Gefahrstoffverzeichnis!$CB:$CB,$BU10,Gefahrstoffverzeichnis!$CB:$CB,"&lt;&gt;"&amp;$BS10,Gefahrstoffverzeichnis!$CB:$CB,"&lt;&gt;"&amp;$BQ10)</f>
        <v>0</v>
      </c>
      <c r="BW10" s="250" t="s">
        <v>2645</v>
      </c>
      <c r="BX10" s="250">
        <f>SUMIFS(Gefahrstoffverzeichnis!$AU:$AU,Gefahrstoffverzeichnis!$BY:$BY,"kg",Gefahrstoffverzeichnis!$AP:$AP,Lager!$B10,Gefahrstoffverzeichnis!$CB:$CB,$BW10,Gefahrstoffverzeichnis!$CB:$CB,"&lt;&gt;"&amp;$BU10,Gefahrstoffverzeichnis!$CB:$CB,"&lt;&gt;"&amp;$BS10,Gefahrstoffverzeichnis!$CB:$CB,"&lt;&gt;"&amp;$BQ10)</f>
        <v>0</v>
      </c>
      <c r="BY10" s="304" t="str">
        <f t="shared" si="13"/>
        <v/>
      </c>
      <c r="BZ10" s="249" t="s">
        <v>2646</v>
      </c>
      <c r="CA10" s="250">
        <f>SUMIFS(Gefahrstoffverzeichnis!$AU:$AU,Gefahrstoffverzeichnis!$BY:$BY,"kg",Gefahrstoffverzeichnis!$AP:$AP,Lager!$B10,Gefahrstoffverzeichnis!$CB:$CB,$BZ10)</f>
        <v>0</v>
      </c>
      <c r="CB10" s="249" t="s">
        <v>2647</v>
      </c>
      <c r="CC10" s="250">
        <f>SUMIFS(Gefahrstoffverzeichnis!$AU:$AU,Gefahrstoffverzeichnis!$BY:$BY,"kg",Gefahrstoffverzeichnis!$AP:$AP,Lager!$B10,Gefahrstoffverzeichnis!$CB:$CB,$CB10,Gefahrstoffverzeichnis!$CB:$CB,"&lt;&gt;"&amp;$BZ10)</f>
        <v>0</v>
      </c>
    </row>
    <row r="11" spans="1:81" ht="18.75" customHeight="1" x14ac:dyDescent="0.3">
      <c r="B11" s="306" t="str">
        <v>*nicht definiert7*</v>
      </c>
      <c r="D11" s="307">
        <f>SUMIFS(Gefahrstoffverzeichnis!$AU:$AU,Gefahrstoffverzeichnis!$BY:$BY,"kg",Gefahrstoffverzeichnis!$AP:$AP,Lager!$B11)</f>
        <v>0</v>
      </c>
      <c r="F11" s="248" t="str">
        <f t="shared" si="0"/>
        <v/>
      </c>
      <c r="G11" s="249" t="s">
        <v>2619</v>
      </c>
      <c r="H11" s="250">
        <f>SUMIFS(Gefahrstoffverzeichnis!$AU:$AU,Gefahrstoffverzeichnis!$BY:$BY,"kg",Gefahrstoffverzeichnis!$AP:$AP,Lager!$B11,Gefahrstoffverzeichnis!$CC:$CC,$G11)</f>
        <v>0</v>
      </c>
      <c r="I11" s="249" t="s">
        <v>2620</v>
      </c>
      <c r="J11" s="250">
        <f>SUMIFS(Gefahrstoffverzeichnis!$AU:$AU,Gefahrstoffverzeichnis!$BY:$BY,"kg",Gefahrstoffverzeichnis!$AP:$AP,Lager!$B11,Gefahrstoffverzeichnis!$CC:$CC,$I11,Gefahrstoffverzeichnis!$CC:$CC,"&lt;&gt;"&amp;$G11)</f>
        <v>0</v>
      </c>
      <c r="K11" s="249" t="s">
        <v>2621</v>
      </c>
      <c r="L11" s="250">
        <f>SUMIFS(Gefahrstoffverzeichnis!$AU:$AU,Gefahrstoffverzeichnis!$BY:$BY,"kg",Gefahrstoffverzeichnis!$AP:$AP,Lager!$B11,Gefahrstoffverzeichnis!$CC:$CC,$K11,Gefahrstoffverzeichnis!$CC:$CC,"&lt;&gt;"&amp;$I11,Gefahrstoffverzeichnis!$CC:$CC,"&lt;&gt;"&amp;$G11)</f>
        <v>0</v>
      </c>
      <c r="M11" s="249" t="s">
        <v>2622</v>
      </c>
      <c r="N11" s="250">
        <f>SUMIFS(Gefahrstoffverzeichnis!$AU:$AU,Gefahrstoffverzeichnis!$BY:$BY,"kg",Gefahrstoffverzeichnis!$AP:$AP,Lager!$B11,Gefahrstoffverzeichnis!$CC:$CC,$M11,Gefahrstoffverzeichnis!$CC:$CC,"&lt;&gt;"&amp;$K11,Gefahrstoffverzeichnis!$CC:$CC,"&lt;&gt;"&amp;$I11,Gefahrstoffverzeichnis!$CC:$CC,"&lt;&gt;"&amp;$G11)</f>
        <v>0</v>
      </c>
      <c r="O11" s="249" t="s">
        <v>2623</v>
      </c>
      <c r="P11" s="250">
        <f>SUMIFS(Gefahrstoffverzeichnis!$AU:$AU,Gefahrstoffverzeichnis!$BY:$BY,"kg",Gefahrstoffverzeichnis!$AP:$AP,Lager!$B11,Gefahrstoffverzeichnis!$CC:$CC,$O11,Gefahrstoffverzeichnis!$CC:$CC,"&lt;&gt;"&amp;$M11,Gefahrstoffverzeichnis!$CC:$CC,"&lt;&gt;"&amp;$K11,Gefahrstoffverzeichnis!$CC:$CC,"&lt;&gt;"&amp;$I11,Gefahrstoffverzeichnis!$CC:$CC,"&lt;&gt;"&amp;$G11)</f>
        <v>0</v>
      </c>
      <c r="Q11" s="249" t="s">
        <v>2624</v>
      </c>
      <c r="R11" s="250">
        <f>SUMIFS(Gefahrstoffverzeichnis!$AU:$AU,Gefahrstoffverzeichnis!$BY:$BY,"kg",Gefahrstoffverzeichnis!$AP:$AP,Lager!$B11,Gefahrstoffverzeichnis!$CC:$CC,$Q$5,Gefahrstoffverzeichnis!$CC:$CC,"&lt;&gt;"&amp;$O11,Gefahrstoffverzeichnis!$CC:$CC,"&lt;&gt;"&amp;$M11,Gefahrstoffverzeichnis!$CC:$CC,"&lt;&gt;"&amp;$K11,Gefahrstoffverzeichnis!$CC:$CC,"&lt;&gt;"&amp;$I11,Gefahrstoffverzeichnis!$CC:$CC,"&lt;&gt;"&amp;$G11)</f>
        <v>0</v>
      </c>
      <c r="S11" s="248" t="str">
        <f t="shared" si="1"/>
        <v/>
      </c>
      <c r="T11" s="249" t="s">
        <v>2625</v>
      </c>
      <c r="U11" s="250">
        <f>SUMIFS(Gefahrstoffverzeichnis!$AU:$AU,Gefahrstoffverzeichnis!$BY:$BY,"kg",Gefahrstoffverzeichnis!$AP:$AP,Lager!$B11,Gefahrstoffverzeichnis!$CC:$CC,$T11)</f>
        <v>0</v>
      </c>
      <c r="V11" s="249" t="s">
        <v>2626</v>
      </c>
      <c r="W11" s="250">
        <f>SUMIFS(Gefahrstoffverzeichnis!$AU:$AU,Gefahrstoffverzeichnis!$BY:$BY,"kg",Gefahrstoffverzeichnis!$AP:$AP,Lager!$B11,Gefahrstoffverzeichnis!$CC:$CC,$V11,Gefahrstoffverzeichnis!$CC:$CC,"&lt;&gt;"&amp;$T11)</f>
        <v>0</v>
      </c>
      <c r="X11" s="248" t="str">
        <f t="shared" si="2"/>
        <v/>
      </c>
      <c r="Y11" s="249" t="s">
        <v>2627</v>
      </c>
      <c r="Z11" s="250">
        <f>SUMIFS(Gefahrstoffverzeichnis!$AU:$AU,Gefahrstoffverzeichnis!$BY:$BY,"kg",Gefahrstoffverzeichnis!$AP:$AP,Lager!$B11,Gefahrstoffverzeichnis!$CC:$CC,$Y11)</f>
        <v>0</v>
      </c>
      <c r="AA11" s="249" t="s">
        <v>2628</v>
      </c>
      <c r="AB11" s="250">
        <f>SUMIFS(Gefahrstoffverzeichnis!$AU:$AU,Gefahrstoffverzeichnis!$BY:$BY,"kg",Gefahrstoffverzeichnis!$AP:$AP,Lager!$B11,Gefahrstoffverzeichnis!$CC:$CC,$AA11,Gefahrstoffverzeichnis!$CC:$CC,"&lt;&gt;"&amp;$Y11)</f>
        <v>0</v>
      </c>
      <c r="AC11" s="248" t="str">
        <f t="shared" si="3"/>
        <v/>
      </c>
      <c r="AD11" s="249" t="s">
        <v>2629</v>
      </c>
      <c r="AE11" s="250">
        <f>SUMIFS(Gefahrstoffverzeichnis!$AU:$AU,Gefahrstoffverzeichnis!$BY:$BY,"kg",Gefahrstoffverzeichnis!$AP:$AP,Lager!$B11,Gefahrstoffverzeichnis!$CB:$CB,$AD11)</f>
        <v>0</v>
      </c>
      <c r="AF11" s="249" t="s">
        <v>2630</v>
      </c>
      <c r="AG11" s="250">
        <f>SUMIFS(Gefahrstoffverzeichnis!$AU:$AU,Gefahrstoffverzeichnis!$BY:$BY,"kg",Gefahrstoffverzeichnis!$AP:$AP,Lager!$B11,Gefahrstoffverzeichnis!$CB:$CB,$AF11,Gefahrstoffverzeichnis!$CB:$CB,"&lt;&gt;"&amp;$AD11)</f>
        <v>0</v>
      </c>
      <c r="AH11" s="248" t="str">
        <f t="shared" si="4"/>
        <v/>
      </c>
      <c r="AI11" s="249" t="s">
        <v>2631</v>
      </c>
      <c r="AJ11" s="250">
        <f>SUMIFS(Gefahrstoffverzeichnis!$AU:$AU,Gefahrstoffverzeichnis!$BY:$BY,"kg",Gefahrstoffverzeichnis!$AP:$AP,Lager!$B11,Gefahrstoffverzeichnis!$CB:$CB,$AI11)</f>
        <v>0</v>
      </c>
      <c r="AK11" s="248" t="str">
        <f t="shared" si="5"/>
        <v/>
      </c>
      <c r="AL11" s="249" t="s">
        <v>2632</v>
      </c>
      <c r="AM11" s="250">
        <f>SUMIFS(Gefahrstoffverzeichnis!$AU:$AU,Gefahrstoffverzeichnis!$BY:$BY,"kg",Gefahrstoffverzeichnis!$AP:$AP,Lager!$B11,Gefahrstoffverzeichnis!$CB:$CB,$AL11)</f>
        <v>0</v>
      </c>
      <c r="AN11" s="248" t="str">
        <f t="shared" si="6"/>
        <v/>
      </c>
      <c r="AO11" s="249" t="s">
        <v>2633</v>
      </c>
      <c r="AP11" s="250">
        <f>SUMIFS(Gefahrstoffverzeichnis!$AU:$AU,Gefahrstoffverzeichnis!$BY:$BY,"kg",Gefahrstoffverzeichnis!$AP:$AP,Lager!$B11,Gefahrstoffverzeichnis!$CB:$CB,$AO11)</f>
        <v>0</v>
      </c>
      <c r="AQ11" s="248" t="str">
        <f t="shared" si="7"/>
        <v/>
      </c>
      <c r="AR11" s="249" t="s">
        <v>2634</v>
      </c>
      <c r="AS11" s="250">
        <f>SUMIFS(Gefahrstoffverzeichnis!$AU:$AU,Gefahrstoffverzeichnis!$BY:$BY,"kg",Gefahrstoffverzeichnis!$AP:$AP,Lager!$B11,Gefahrstoffverzeichnis!$CB:$CB,$AR11)</f>
        <v>0</v>
      </c>
      <c r="AT11" s="249" t="s">
        <v>2635</v>
      </c>
      <c r="AU11" s="250">
        <f>SUMIFS(Gefahrstoffverzeichnis!$AU:$AU,Gefahrstoffverzeichnis!$BY:$BY,"kg",Gefahrstoffverzeichnis!$AP:$AP,Lager!$B11,Gefahrstoffverzeichnis!$CB:$CB,$AT11,Gefahrstoffverzeichnis!$CB:$CB,"&lt;&gt;"&amp;$AR11)</f>
        <v>0</v>
      </c>
      <c r="AV11" s="248" t="str">
        <f t="shared" si="8"/>
        <v/>
      </c>
      <c r="AW11" s="249" t="s">
        <v>2636</v>
      </c>
      <c r="AX11" s="250">
        <f>SUMIFS(Gefahrstoffverzeichnis!$AU:$AU,Gefahrstoffverzeichnis!$BY:$BY,"kg",Gefahrstoffverzeichnis!$AP:$AP,Lager!$B11,Gefahrstoffverzeichnis!$CB:$CB,$AW11)</f>
        <v>0</v>
      </c>
      <c r="AY11" s="248" t="str">
        <f t="shared" si="9"/>
        <v/>
      </c>
      <c r="AZ11" s="249" t="s">
        <v>2637</v>
      </c>
      <c r="BA11" s="250">
        <f>SUMIFS(Gefahrstoffverzeichnis!$AU:$AU,Gefahrstoffverzeichnis!$BY:$BY,"kg",Gefahrstoffverzeichnis!$AP:$AP,Lager!$B11,Gefahrstoffverzeichnis!$CB:$CB,$AZ11)</f>
        <v>0</v>
      </c>
      <c r="BB11" s="248" t="str">
        <f t="shared" si="10"/>
        <v/>
      </c>
      <c r="BC11" s="249" t="s">
        <v>2638</v>
      </c>
      <c r="BD11" s="250">
        <f>SUMIFS(Gefahrstoffverzeichnis!$AU:$AU,Gefahrstoffverzeichnis!$BY:$BY,"kg",Gefahrstoffverzeichnis!$AP:$AP,Lager!$B11,Gefahrstoffverzeichnis!$CB:$CB,$BC11)</f>
        <v>0</v>
      </c>
      <c r="BE11" s="248" t="str">
        <f t="shared" si="11"/>
        <v/>
      </c>
      <c r="BF11" s="249" t="s">
        <v>2639</v>
      </c>
      <c r="BG11" s="250">
        <f>SUMIFS(Gefahrstoffverzeichnis!$AU:$AU,Gefahrstoffverzeichnis!$BY:$BY,"Liter",Gefahrstoffverzeichnis!$AP:$AP,Lager!$B11,Gefahrstoffverzeichnis!$CB:$CB,$BF11)</f>
        <v>0</v>
      </c>
      <c r="BH11" s="249" t="s">
        <v>2640</v>
      </c>
      <c r="BI11" s="250">
        <f>SUMIFS(Gefahrstoffverzeichnis!$AU:$AU,Gefahrstoffverzeichnis!$BY:$BY,"Liter",Gefahrstoffverzeichnis!$AP:$AP,Lager!$B11,Gefahrstoffverzeichnis!$CB:$CB,$BH11,Gefahrstoffverzeichnis!$CB:$CB,"&lt;&gt;"&amp;$BF11)</f>
        <v>0</v>
      </c>
      <c r="BJ11" s="249" t="s">
        <v>2641</v>
      </c>
      <c r="BK11" s="250">
        <f>SUMIFS(Gefahrstoffverzeichnis!$AU:$AU,Gefahrstoffverzeichnis!$BY:$BY,"Liter",Gefahrstoffverzeichnis!$AP:$AP,Lager!$B11,Gefahrstoffverzeichnis!$CB:$CB,$BJ11,Gefahrstoffverzeichnis!$CB:$CB,"&lt;&gt;"&amp;$BH11,Gefahrstoffverzeichnis!$CB:$CB,"&lt;&gt;"&amp;$BF11)</f>
        <v>0</v>
      </c>
      <c r="BL11" s="249" t="s">
        <v>2642</v>
      </c>
      <c r="BM11" s="250">
        <f>SUMIFS(Gefahrstoffverzeichnis!$AU:$AU,Gefahrstoffverzeichnis!$BY:$BY,"Liter",Gefahrstoffverzeichnis!$AP:$AP,Lager!$B11,Gefahrstoffverzeichnis!$CB:$CB,$BL11,Gefahrstoffverzeichnis!$CB:$CB,"&lt;&gt;"&amp;$BJ11,Gefahrstoffverzeichnis!$CB:$CB,"&lt;&gt;"&amp;$BH11,Gefahrstoffverzeichnis!$CB:$CB,"&lt;&gt;"&amp;$BF11)</f>
        <v>0</v>
      </c>
      <c r="BN11" s="249" t="s">
        <v>2643</v>
      </c>
      <c r="BO11" s="250">
        <f>SUMIFS(Gefahrstoffverzeichnis!$AU:$AU,Gefahrstoffverzeichnis!$BY:$BY,"Liter",Gefahrstoffverzeichnis!$AP:$AP,Lager!$B11,Gefahrstoffverzeichnis!$CB:$CB,$BN11,Gefahrstoffverzeichnis!$CB:$CB,"&lt;&gt;"&amp;$BL11,Gefahrstoffverzeichnis!$CB:$CB,"&lt;&gt;"&amp;$BJ11,Gefahrstoffverzeichnis!$CB:$CB,"&lt;&gt;"&amp;$BH11,Gefahrstoffverzeichnis!$CB:$CB,"&lt;&gt;"&amp;$BF11)</f>
        <v>0</v>
      </c>
      <c r="BP11" s="248" t="str">
        <f t="shared" si="12"/>
        <v/>
      </c>
      <c r="BQ11" s="249" t="s">
        <v>2639</v>
      </c>
      <c r="BR11" s="250">
        <f>SUMIFS(Gefahrstoffverzeichnis!$AU:$AU,Gefahrstoffverzeichnis!$BY:$BY,"kg",Gefahrstoffverzeichnis!$AP:$AP,Lager!$B11,Gefahrstoffverzeichnis!$CB:$CB,$BQ11)</f>
        <v>0</v>
      </c>
      <c r="BS11" s="249" t="s">
        <v>2640</v>
      </c>
      <c r="BT11" s="250">
        <f>SUMIFS(Gefahrstoffverzeichnis!$AU:$AU,Gefahrstoffverzeichnis!$BY:$BY,"kg",Gefahrstoffverzeichnis!$AP:$AP,Lager!$B11,Gefahrstoffverzeichnis!$CB:$CB,$BS11,Gefahrstoffverzeichnis!$CB:$CB,"&lt;&gt;"&amp;$BQ11)</f>
        <v>0</v>
      </c>
      <c r="BU11" s="249" t="s">
        <v>2644</v>
      </c>
      <c r="BV11" s="250">
        <f>SUMIFS(Gefahrstoffverzeichnis!$AU:$AU,Gefahrstoffverzeichnis!$BY:$BY,"kg",Gefahrstoffverzeichnis!$AP:$AP,Lager!$B11,Gefahrstoffverzeichnis!$CB:$CB,$BU11,Gefahrstoffverzeichnis!$CB:$CB,"&lt;&gt;"&amp;$BS11,Gefahrstoffverzeichnis!$CB:$CB,"&lt;&gt;"&amp;$BQ11)</f>
        <v>0</v>
      </c>
      <c r="BW11" s="249" t="s">
        <v>2645</v>
      </c>
      <c r="BX11" s="250">
        <f>SUMIFS(Gefahrstoffverzeichnis!$AU:$AU,Gefahrstoffverzeichnis!$BY:$BY,"kg",Gefahrstoffverzeichnis!$AP:$AP,Lager!$B11,Gefahrstoffverzeichnis!$CB:$CB,$BW11,Gefahrstoffverzeichnis!$CB:$CB,"&lt;&gt;"&amp;$BU11,Gefahrstoffverzeichnis!$CB:$CB,"&lt;&gt;"&amp;$BS11,Gefahrstoffverzeichnis!$CB:$CB,"&lt;&gt;"&amp;$BQ11)</f>
        <v>0</v>
      </c>
      <c r="BY11" s="248" t="str">
        <f t="shared" si="13"/>
        <v/>
      </c>
      <c r="BZ11" s="249" t="s">
        <v>2646</v>
      </c>
      <c r="CA11" s="250">
        <f>SUMIFS(Gefahrstoffverzeichnis!$AU:$AU,Gefahrstoffverzeichnis!$BY:$BY,"kg",Gefahrstoffverzeichnis!$AP:$AP,Lager!$B11,Gefahrstoffverzeichnis!$CB:$CB,$BZ11)</f>
        <v>0</v>
      </c>
      <c r="CB11" s="249" t="s">
        <v>2647</v>
      </c>
      <c r="CC11" s="250">
        <f>SUMIFS(Gefahrstoffverzeichnis!$AU:$AU,Gefahrstoffverzeichnis!$BY:$BY,"kg",Gefahrstoffverzeichnis!$AP:$AP,Lager!$B11,Gefahrstoffverzeichnis!$CB:$CB,$CB11,Gefahrstoffverzeichnis!$CB:$CB,"&lt;&gt;"&amp;$BZ11)</f>
        <v>0</v>
      </c>
    </row>
    <row r="12" spans="1:81" ht="18.75" customHeight="1" x14ac:dyDescent="0.3">
      <c r="B12" s="306" t="str">
        <v>*nicht definiert8*</v>
      </c>
      <c r="C12" s="303"/>
      <c r="D12" s="308">
        <f>SUMIFS(Gefahrstoffverzeichnis!$AU:$AU,Gefahrstoffverzeichnis!$BY:$BY,"kg",Gefahrstoffverzeichnis!$AP:$AP,Lager!$B12)</f>
        <v>0</v>
      </c>
      <c r="E12" s="303"/>
      <c r="F12" s="304" t="str">
        <f t="shared" si="0"/>
        <v/>
      </c>
      <c r="G12" s="250" t="s">
        <v>2619</v>
      </c>
      <c r="H12" s="250">
        <f>SUMIFS(Gefahrstoffverzeichnis!$AU:$AU,Gefahrstoffverzeichnis!$BY:$BY,"kg",Gefahrstoffverzeichnis!$AP:$AP,Lager!$B12,Gefahrstoffverzeichnis!$CC:$CC,$G12)</f>
        <v>0</v>
      </c>
      <c r="I12" s="250" t="s">
        <v>2620</v>
      </c>
      <c r="J12" s="250">
        <f>SUMIFS(Gefahrstoffverzeichnis!$AU:$AU,Gefahrstoffverzeichnis!$BY:$BY,"kg",Gefahrstoffverzeichnis!$AP:$AP,Lager!$B12,Gefahrstoffverzeichnis!$CC:$CC,$I12,Gefahrstoffverzeichnis!$CC:$CC,"&lt;&gt;"&amp;$G12)</f>
        <v>0</v>
      </c>
      <c r="K12" s="250" t="s">
        <v>2621</v>
      </c>
      <c r="L12" s="250">
        <f>SUMIFS(Gefahrstoffverzeichnis!$AU:$AU,Gefahrstoffverzeichnis!$BY:$BY,"kg",Gefahrstoffverzeichnis!$AP:$AP,Lager!$B12,Gefahrstoffverzeichnis!$CC:$CC,$K12,Gefahrstoffverzeichnis!$CC:$CC,"&lt;&gt;"&amp;$I12,Gefahrstoffverzeichnis!$CC:$CC,"&lt;&gt;"&amp;$G12)</f>
        <v>0</v>
      </c>
      <c r="M12" s="250" t="s">
        <v>2622</v>
      </c>
      <c r="N12" s="250">
        <f>SUMIFS(Gefahrstoffverzeichnis!$AU:$AU,Gefahrstoffverzeichnis!$BY:$BY,"kg",Gefahrstoffverzeichnis!$AP:$AP,Lager!$B12,Gefahrstoffverzeichnis!$CC:$CC,$M12,Gefahrstoffverzeichnis!$CC:$CC,"&lt;&gt;"&amp;$K12,Gefahrstoffverzeichnis!$CC:$CC,"&lt;&gt;"&amp;$I12,Gefahrstoffverzeichnis!$CC:$CC,"&lt;&gt;"&amp;$G12)</f>
        <v>0</v>
      </c>
      <c r="O12" s="250" t="s">
        <v>2623</v>
      </c>
      <c r="P12" s="250">
        <f>SUMIFS(Gefahrstoffverzeichnis!$AU:$AU,Gefahrstoffverzeichnis!$BY:$BY,"kg",Gefahrstoffverzeichnis!$AP:$AP,Lager!$B12,Gefahrstoffverzeichnis!$CC:$CC,$O12,Gefahrstoffverzeichnis!$CC:$CC,"&lt;&gt;"&amp;$M12,Gefahrstoffverzeichnis!$CC:$CC,"&lt;&gt;"&amp;$K12,Gefahrstoffverzeichnis!$CC:$CC,"&lt;&gt;"&amp;$I12,Gefahrstoffverzeichnis!$CC:$CC,"&lt;&gt;"&amp;$G12)</f>
        <v>0</v>
      </c>
      <c r="Q12" s="250" t="s">
        <v>2624</v>
      </c>
      <c r="R12" s="250">
        <f>SUMIFS(Gefahrstoffverzeichnis!$AU:$AU,Gefahrstoffverzeichnis!$BY:$BY,"kg",Gefahrstoffverzeichnis!$AP:$AP,Lager!$B12,Gefahrstoffverzeichnis!$CC:$CC,$Q$5,Gefahrstoffverzeichnis!$CC:$CC,"&lt;&gt;"&amp;$O12,Gefahrstoffverzeichnis!$CC:$CC,"&lt;&gt;"&amp;$M12,Gefahrstoffverzeichnis!$CC:$CC,"&lt;&gt;"&amp;$K12,Gefahrstoffverzeichnis!$CC:$CC,"&lt;&gt;"&amp;$I12,Gefahrstoffverzeichnis!$CC:$CC,"&lt;&gt;"&amp;$G12)</f>
        <v>0</v>
      </c>
      <c r="S12" s="304" t="str">
        <f t="shared" si="1"/>
        <v/>
      </c>
      <c r="T12" s="250" t="s">
        <v>2625</v>
      </c>
      <c r="U12" s="250">
        <f>SUMIFS(Gefahrstoffverzeichnis!$AU:$AU,Gefahrstoffverzeichnis!$BY:$BY,"kg",Gefahrstoffverzeichnis!$AP:$AP,Lager!$B12,Gefahrstoffverzeichnis!$CC:$CC,$T12)</f>
        <v>0</v>
      </c>
      <c r="V12" s="250" t="s">
        <v>2626</v>
      </c>
      <c r="W12" s="250">
        <f>SUMIFS(Gefahrstoffverzeichnis!$AU:$AU,Gefahrstoffverzeichnis!$BY:$BY,"kg",Gefahrstoffverzeichnis!$AP:$AP,Lager!$B12,Gefahrstoffverzeichnis!$CC:$CC,$V12,Gefahrstoffverzeichnis!$CC:$CC,"&lt;&gt;"&amp;$T12)</f>
        <v>0</v>
      </c>
      <c r="X12" s="304" t="str">
        <f t="shared" si="2"/>
        <v/>
      </c>
      <c r="Y12" s="250" t="s">
        <v>2627</v>
      </c>
      <c r="Z12" s="250">
        <f>SUMIFS(Gefahrstoffverzeichnis!$AU:$AU,Gefahrstoffverzeichnis!$BY:$BY,"kg",Gefahrstoffverzeichnis!$AP:$AP,Lager!$B12,Gefahrstoffverzeichnis!$CC:$CC,$Y12)</f>
        <v>0</v>
      </c>
      <c r="AA12" s="250" t="s">
        <v>2628</v>
      </c>
      <c r="AB12" s="250">
        <f>SUMIFS(Gefahrstoffverzeichnis!$AU:$AU,Gefahrstoffverzeichnis!$BY:$BY,"kg",Gefahrstoffverzeichnis!$AP:$AP,Lager!$B12,Gefahrstoffverzeichnis!$CC:$CC,$AA12,Gefahrstoffverzeichnis!$CC:$CC,"&lt;&gt;"&amp;$Y12)</f>
        <v>0</v>
      </c>
      <c r="AC12" s="304" t="str">
        <f t="shared" si="3"/>
        <v/>
      </c>
      <c r="AD12" s="250" t="s">
        <v>2629</v>
      </c>
      <c r="AE12" s="250">
        <f>SUMIFS(Gefahrstoffverzeichnis!$AU:$AU,Gefahrstoffverzeichnis!$BY:$BY,"kg",Gefahrstoffverzeichnis!$AP:$AP,Lager!$B12,Gefahrstoffverzeichnis!$CB:$CB,$AD12)</f>
        <v>0</v>
      </c>
      <c r="AF12" s="250" t="s">
        <v>2630</v>
      </c>
      <c r="AG12" s="250">
        <f>SUMIFS(Gefahrstoffverzeichnis!$AU:$AU,Gefahrstoffverzeichnis!$BY:$BY,"kg",Gefahrstoffverzeichnis!$AP:$AP,Lager!$B12,Gefahrstoffverzeichnis!$CB:$CB,$AF12,Gefahrstoffverzeichnis!$CB:$CB,"&lt;&gt;"&amp;$AD12)</f>
        <v>0</v>
      </c>
      <c r="AH12" s="304" t="str">
        <f t="shared" si="4"/>
        <v/>
      </c>
      <c r="AI12" s="250" t="s">
        <v>2631</v>
      </c>
      <c r="AJ12" s="250">
        <f>SUMIFS(Gefahrstoffverzeichnis!$AU:$AU,Gefahrstoffverzeichnis!$BY:$BY,"kg",Gefahrstoffverzeichnis!$AP:$AP,Lager!$B12,Gefahrstoffverzeichnis!$CB:$CB,$AI12)</f>
        <v>0</v>
      </c>
      <c r="AK12" s="304" t="str">
        <f t="shared" si="5"/>
        <v/>
      </c>
      <c r="AL12" s="250" t="s">
        <v>2632</v>
      </c>
      <c r="AM12" s="250">
        <f>SUMIFS(Gefahrstoffverzeichnis!$AU:$AU,Gefahrstoffverzeichnis!$BY:$BY,"kg",Gefahrstoffverzeichnis!$AP:$AP,Lager!$B12,Gefahrstoffverzeichnis!$CB:$CB,$AL12)</f>
        <v>0</v>
      </c>
      <c r="AN12" s="304" t="str">
        <f t="shared" si="6"/>
        <v/>
      </c>
      <c r="AO12" s="250" t="s">
        <v>2633</v>
      </c>
      <c r="AP12" s="250">
        <f>SUMIFS(Gefahrstoffverzeichnis!$AU:$AU,Gefahrstoffverzeichnis!$BY:$BY,"kg",Gefahrstoffverzeichnis!$AP:$AP,Lager!$B12,Gefahrstoffverzeichnis!$CB:$CB,$AO12)</f>
        <v>0</v>
      </c>
      <c r="AQ12" s="304" t="str">
        <f t="shared" si="7"/>
        <v/>
      </c>
      <c r="AR12" s="250" t="s">
        <v>2634</v>
      </c>
      <c r="AS12" s="250">
        <f>SUMIFS(Gefahrstoffverzeichnis!$AU:$AU,Gefahrstoffverzeichnis!$BY:$BY,"kg",Gefahrstoffverzeichnis!$AP:$AP,Lager!$B12,Gefahrstoffverzeichnis!$CB:$CB,$AR12)</f>
        <v>0</v>
      </c>
      <c r="AT12" s="250" t="s">
        <v>2635</v>
      </c>
      <c r="AU12" s="250">
        <f>SUMIFS(Gefahrstoffverzeichnis!$AU:$AU,Gefahrstoffverzeichnis!$BY:$BY,"kg",Gefahrstoffverzeichnis!$AP:$AP,Lager!$B12,Gefahrstoffverzeichnis!$CB:$CB,$AT12,Gefahrstoffverzeichnis!$CB:$CB,"&lt;&gt;"&amp;$AR12)</f>
        <v>0</v>
      </c>
      <c r="AV12" s="304" t="str">
        <f t="shared" si="8"/>
        <v/>
      </c>
      <c r="AW12" s="250" t="s">
        <v>2636</v>
      </c>
      <c r="AX12" s="250">
        <f>SUMIFS(Gefahrstoffverzeichnis!$AU:$AU,Gefahrstoffverzeichnis!$BY:$BY,"kg",Gefahrstoffverzeichnis!$AP:$AP,Lager!$B12,Gefahrstoffverzeichnis!$CB:$CB,$AW12)</f>
        <v>0</v>
      </c>
      <c r="AY12" s="304" t="str">
        <f t="shared" si="9"/>
        <v/>
      </c>
      <c r="AZ12" s="250" t="s">
        <v>2637</v>
      </c>
      <c r="BA12" s="250">
        <f>SUMIFS(Gefahrstoffverzeichnis!$AU:$AU,Gefahrstoffverzeichnis!$BY:$BY,"kg",Gefahrstoffverzeichnis!$AP:$AP,Lager!$B12,Gefahrstoffverzeichnis!$CB:$CB,$AZ12)</f>
        <v>0</v>
      </c>
      <c r="BB12" s="304" t="str">
        <f t="shared" si="10"/>
        <v/>
      </c>
      <c r="BC12" s="250" t="s">
        <v>2638</v>
      </c>
      <c r="BD12" s="250">
        <f>SUMIFS(Gefahrstoffverzeichnis!$AU:$AU,Gefahrstoffverzeichnis!$BY:$BY,"kg",Gefahrstoffverzeichnis!$AP:$AP,Lager!$B12,Gefahrstoffverzeichnis!$CB:$CB,$BC12)</f>
        <v>0</v>
      </c>
      <c r="BE12" s="304" t="str">
        <f t="shared" si="11"/>
        <v/>
      </c>
      <c r="BF12" s="250" t="s">
        <v>2639</v>
      </c>
      <c r="BG12" s="250">
        <f>SUMIFS(Gefahrstoffverzeichnis!$AU:$AU,Gefahrstoffverzeichnis!$BY:$BY,"Liter",Gefahrstoffverzeichnis!$AP:$AP,Lager!$B12,Gefahrstoffverzeichnis!$CB:$CB,$BF12)</f>
        <v>0</v>
      </c>
      <c r="BH12" s="250" t="s">
        <v>2640</v>
      </c>
      <c r="BI12" s="250">
        <f>SUMIFS(Gefahrstoffverzeichnis!$AU:$AU,Gefahrstoffverzeichnis!$BY:$BY,"Liter",Gefahrstoffverzeichnis!$AP:$AP,Lager!$B12,Gefahrstoffverzeichnis!$CB:$CB,$BH12,Gefahrstoffverzeichnis!$CB:$CB,"&lt;&gt;"&amp;$BF12)</f>
        <v>0</v>
      </c>
      <c r="BJ12" s="250" t="s">
        <v>2641</v>
      </c>
      <c r="BK12" s="250">
        <f>SUMIFS(Gefahrstoffverzeichnis!$AU:$AU,Gefahrstoffverzeichnis!$BY:$BY,"Liter",Gefahrstoffverzeichnis!$AP:$AP,Lager!$B12,Gefahrstoffverzeichnis!$CB:$CB,$BJ12,Gefahrstoffverzeichnis!$CB:$CB,"&lt;&gt;"&amp;$BH12,Gefahrstoffverzeichnis!$CB:$CB,"&lt;&gt;"&amp;$BF12)</f>
        <v>0</v>
      </c>
      <c r="BL12" s="250" t="s">
        <v>2642</v>
      </c>
      <c r="BM12" s="250">
        <f>SUMIFS(Gefahrstoffverzeichnis!$AU:$AU,Gefahrstoffverzeichnis!$BY:$BY,"Liter",Gefahrstoffverzeichnis!$AP:$AP,Lager!$B12,Gefahrstoffverzeichnis!$CB:$CB,$BL12,Gefahrstoffverzeichnis!$CB:$CB,"&lt;&gt;"&amp;$BJ12,Gefahrstoffverzeichnis!$CB:$CB,"&lt;&gt;"&amp;$BH12,Gefahrstoffverzeichnis!$CB:$CB,"&lt;&gt;"&amp;$BF12)</f>
        <v>0</v>
      </c>
      <c r="BN12" s="250" t="s">
        <v>2643</v>
      </c>
      <c r="BO12" s="250">
        <f>SUMIFS(Gefahrstoffverzeichnis!$AU:$AU,Gefahrstoffverzeichnis!$BY:$BY,"Liter",Gefahrstoffverzeichnis!$AP:$AP,Lager!$B12,Gefahrstoffverzeichnis!$CB:$CB,$BN12,Gefahrstoffverzeichnis!$CB:$CB,"&lt;&gt;"&amp;$BL12,Gefahrstoffverzeichnis!$CB:$CB,"&lt;&gt;"&amp;$BJ12,Gefahrstoffverzeichnis!$CB:$CB,"&lt;&gt;"&amp;$BH12,Gefahrstoffverzeichnis!$CB:$CB,"&lt;&gt;"&amp;$BF12)</f>
        <v>0</v>
      </c>
      <c r="BP12" s="304" t="str">
        <f t="shared" si="12"/>
        <v/>
      </c>
      <c r="BQ12" s="250" t="s">
        <v>2639</v>
      </c>
      <c r="BR12" s="250">
        <f>SUMIFS(Gefahrstoffverzeichnis!$AU:$AU,Gefahrstoffverzeichnis!$BY:$BY,"kg",Gefahrstoffverzeichnis!$AP:$AP,Lager!$B12,Gefahrstoffverzeichnis!$CB:$CB,$BQ12)</f>
        <v>0</v>
      </c>
      <c r="BS12" s="250" t="s">
        <v>2640</v>
      </c>
      <c r="BT12" s="250">
        <f>SUMIFS(Gefahrstoffverzeichnis!$AU:$AU,Gefahrstoffverzeichnis!$BY:$BY,"kg",Gefahrstoffverzeichnis!$AP:$AP,Lager!$B12,Gefahrstoffverzeichnis!$CB:$CB,$BS12,Gefahrstoffverzeichnis!$CB:$CB,"&lt;&gt;"&amp;$BQ12)</f>
        <v>0</v>
      </c>
      <c r="BU12" s="250" t="s">
        <v>2644</v>
      </c>
      <c r="BV12" s="250">
        <f>SUMIFS(Gefahrstoffverzeichnis!$AU:$AU,Gefahrstoffverzeichnis!$BY:$BY,"kg",Gefahrstoffverzeichnis!$AP:$AP,Lager!$B12,Gefahrstoffverzeichnis!$CB:$CB,$BU12,Gefahrstoffverzeichnis!$CB:$CB,"&lt;&gt;"&amp;$BS12,Gefahrstoffverzeichnis!$CB:$CB,"&lt;&gt;"&amp;$BQ12)</f>
        <v>0</v>
      </c>
      <c r="BW12" s="250" t="s">
        <v>2645</v>
      </c>
      <c r="BX12" s="250">
        <f>SUMIFS(Gefahrstoffverzeichnis!$AU:$AU,Gefahrstoffverzeichnis!$BY:$BY,"kg",Gefahrstoffverzeichnis!$AP:$AP,Lager!$B12,Gefahrstoffverzeichnis!$CB:$CB,$BW12,Gefahrstoffverzeichnis!$CB:$CB,"&lt;&gt;"&amp;$BU12,Gefahrstoffverzeichnis!$CB:$CB,"&lt;&gt;"&amp;$BS12,Gefahrstoffverzeichnis!$CB:$CB,"&lt;&gt;"&amp;$BQ12)</f>
        <v>0</v>
      </c>
      <c r="BY12" s="304" t="str">
        <f t="shared" si="13"/>
        <v/>
      </c>
      <c r="BZ12" s="249" t="s">
        <v>2646</v>
      </c>
      <c r="CA12" s="250">
        <f>SUMIFS(Gefahrstoffverzeichnis!$AU:$AU,Gefahrstoffverzeichnis!$BY:$BY,"kg",Gefahrstoffverzeichnis!$AP:$AP,Lager!$B12,Gefahrstoffverzeichnis!$CB:$CB,$BZ12)</f>
        <v>0</v>
      </c>
      <c r="CB12" s="249" t="s">
        <v>2647</v>
      </c>
      <c r="CC12" s="250">
        <f>SUMIFS(Gefahrstoffverzeichnis!$AU:$AU,Gefahrstoffverzeichnis!$BY:$BY,"kg",Gefahrstoffverzeichnis!$AP:$AP,Lager!$B12,Gefahrstoffverzeichnis!$CB:$CB,$CB12,Gefahrstoffverzeichnis!$CB:$CB,"&lt;&gt;"&amp;$BZ12)</f>
        <v>0</v>
      </c>
    </row>
    <row r="13" spans="1:81" ht="18.75" customHeight="1" x14ac:dyDescent="0.3">
      <c r="B13" s="306" t="str">
        <v>*nicht definiert10*</v>
      </c>
      <c r="D13" s="307">
        <f>SUMIFS(Gefahrstoffverzeichnis!$AU:$AU,Gefahrstoffverzeichnis!$BY:$BY,"kg",Gefahrstoffverzeichnis!$AP:$AP,Lager!$B13)</f>
        <v>0</v>
      </c>
      <c r="F13" s="248" t="str">
        <f t="shared" si="0"/>
        <v/>
      </c>
      <c r="G13" s="249" t="s">
        <v>2619</v>
      </c>
      <c r="H13" s="250">
        <f>SUMIFS(Gefahrstoffverzeichnis!$AU:$AU,Gefahrstoffverzeichnis!$BY:$BY,"kg",Gefahrstoffverzeichnis!$AP:$AP,Lager!$B13,Gefahrstoffverzeichnis!$CC:$CC,$G13)</f>
        <v>0</v>
      </c>
      <c r="I13" s="249" t="s">
        <v>2620</v>
      </c>
      <c r="J13" s="250">
        <f>SUMIFS(Gefahrstoffverzeichnis!$AU:$AU,Gefahrstoffverzeichnis!$BY:$BY,"kg",Gefahrstoffverzeichnis!$AP:$AP,Lager!$B13,Gefahrstoffverzeichnis!$CC:$CC,$I13,Gefahrstoffverzeichnis!$CC:$CC,"&lt;&gt;"&amp;$G13)</f>
        <v>0</v>
      </c>
      <c r="K13" s="249" t="s">
        <v>2621</v>
      </c>
      <c r="L13" s="250">
        <f>SUMIFS(Gefahrstoffverzeichnis!$AU:$AU,Gefahrstoffverzeichnis!$BY:$BY,"kg",Gefahrstoffverzeichnis!$AP:$AP,Lager!$B13,Gefahrstoffverzeichnis!$CC:$CC,$K13,Gefahrstoffverzeichnis!$CC:$CC,"&lt;&gt;"&amp;$I13,Gefahrstoffverzeichnis!$CC:$CC,"&lt;&gt;"&amp;$G13)</f>
        <v>0</v>
      </c>
      <c r="M13" s="249" t="s">
        <v>2622</v>
      </c>
      <c r="N13" s="250">
        <f>SUMIFS(Gefahrstoffverzeichnis!$AU:$AU,Gefahrstoffverzeichnis!$BY:$BY,"kg",Gefahrstoffverzeichnis!$AP:$AP,Lager!$B13,Gefahrstoffverzeichnis!$CC:$CC,$M13,Gefahrstoffverzeichnis!$CC:$CC,"&lt;&gt;"&amp;$K13,Gefahrstoffverzeichnis!$CC:$CC,"&lt;&gt;"&amp;$I13,Gefahrstoffverzeichnis!$CC:$CC,"&lt;&gt;"&amp;$G13)</f>
        <v>0</v>
      </c>
      <c r="O13" s="249" t="s">
        <v>2623</v>
      </c>
      <c r="P13" s="250">
        <f>SUMIFS(Gefahrstoffverzeichnis!$AU:$AU,Gefahrstoffverzeichnis!$BY:$BY,"kg",Gefahrstoffverzeichnis!$AP:$AP,Lager!$B13,Gefahrstoffverzeichnis!$CC:$CC,$O13,Gefahrstoffverzeichnis!$CC:$CC,"&lt;&gt;"&amp;$M13,Gefahrstoffverzeichnis!$CC:$CC,"&lt;&gt;"&amp;$K13,Gefahrstoffverzeichnis!$CC:$CC,"&lt;&gt;"&amp;$I13,Gefahrstoffverzeichnis!$CC:$CC,"&lt;&gt;"&amp;$G13)</f>
        <v>0</v>
      </c>
      <c r="Q13" s="249" t="s">
        <v>2624</v>
      </c>
      <c r="R13" s="250">
        <f>SUMIFS(Gefahrstoffverzeichnis!$AU:$AU,Gefahrstoffverzeichnis!$BY:$BY,"kg",Gefahrstoffverzeichnis!$AP:$AP,Lager!$B13,Gefahrstoffverzeichnis!$CC:$CC,$Q$5,Gefahrstoffverzeichnis!$CC:$CC,"&lt;&gt;"&amp;$O13,Gefahrstoffverzeichnis!$CC:$CC,"&lt;&gt;"&amp;$M13,Gefahrstoffverzeichnis!$CC:$CC,"&lt;&gt;"&amp;$K13,Gefahrstoffverzeichnis!$CC:$CC,"&lt;&gt;"&amp;$I13,Gefahrstoffverzeichnis!$CC:$CC,"&lt;&gt;"&amp;$G13)</f>
        <v>0</v>
      </c>
      <c r="S13" s="248" t="str">
        <f t="shared" si="1"/>
        <v/>
      </c>
      <c r="T13" s="249" t="s">
        <v>2625</v>
      </c>
      <c r="U13" s="250">
        <f>SUMIFS(Gefahrstoffverzeichnis!$AU:$AU,Gefahrstoffverzeichnis!$BY:$BY,"kg",Gefahrstoffverzeichnis!$AP:$AP,Lager!$B13,Gefahrstoffverzeichnis!$CC:$CC,$T13)</f>
        <v>0</v>
      </c>
      <c r="V13" s="249" t="s">
        <v>2626</v>
      </c>
      <c r="W13" s="250">
        <f>SUMIFS(Gefahrstoffverzeichnis!$AU:$AU,Gefahrstoffverzeichnis!$BY:$BY,"kg",Gefahrstoffverzeichnis!$AP:$AP,Lager!$B13,Gefahrstoffverzeichnis!$CC:$CC,$V13,Gefahrstoffverzeichnis!$CC:$CC,"&lt;&gt;"&amp;$T13)</f>
        <v>0</v>
      </c>
      <c r="X13" s="248" t="str">
        <f t="shared" si="2"/>
        <v/>
      </c>
      <c r="Y13" s="249" t="s">
        <v>2627</v>
      </c>
      <c r="Z13" s="250">
        <f>SUMIFS(Gefahrstoffverzeichnis!$AU:$AU,Gefahrstoffverzeichnis!$BY:$BY,"kg",Gefahrstoffverzeichnis!$AP:$AP,Lager!$B13,Gefahrstoffverzeichnis!$CC:$CC,$Y13)</f>
        <v>0</v>
      </c>
      <c r="AA13" s="249" t="s">
        <v>2628</v>
      </c>
      <c r="AB13" s="250">
        <f>SUMIFS(Gefahrstoffverzeichnis!$AU:$AU,Gefahrstoffverzeichnis!$BY:$BY,"kg",Gefahrstoffverzeichnis!$AP:$AP,Lager!$B13,Gefahrstoffverzeichnis!$CC:$CC,$AA13,Gefahrstoffverzeichnis!$CC:$CC,"&lt;&gt;"&amp;$Y13)</f>
        <v>0</v>
      </c>
      <c r="AC13" s="248" t="str">
        <f t="shared" si="3"/>
        <v/>
      </c>
      <c r="AD13" s="249" t="s">
        <v>2629</v>
      </c>
      <c r="AE13" s="250">
        <f>SUMIFS(Gefahrstoffverzeichnis!$AU:$AU,Gefahrstoffverzeichnis!$BY:$BY,"kg",Gefahrstoffverzeichnis!$AP:$AP,Lager!$B13,Gefahrstoffverzeichnis!$CB:$CB,$AD13)</f>
        <v>0</v>
      </c>
      <c r="AF13" s="249" t="s">
        <v>2630</v>
      </c>
      <c r="AG13" s="250">
        <f>SUMIFS(Gefahrstoffverzeichnis!$AU:$AU,Gefahrstoffverzeichnis!$BY:$BY,"kg",Gefahrstoffverzeichnis!$AP:$AP,Lager!$B13,Gefahrstoffverzeichnis!$CB:$CB,$AF13,Gefahrstoffverzeichnis!$CB:$CB,"&lt;&gt;"&amp;$AD13)</f>
        <v>0</v>
      </c>
      <c r="AH13" s="248" t="str">
        <f t="shared" si="4"/>
        <v/>
      </c>
      <c r="AI13" s="249" t="s">
        <v>2631</v>
      </c>
      <c r="AJ13" s="250">
        <f>SUMIFS(Gefahrstoffverzeichnis!$AU:$AU,Gefahrstoffverzeichnis!$BY:$BY,"kg",Gefahrstoffverzeichnis!$AP:$AP,Lager!$B13,Gefahrstoffverzeichnis!$CB:$CB,$AI13)</f>
        <v>0</v>
      </c>
      <c r="AK13" s="248" t="str">
        <f t="shared" si="5"/>
        <v/>
      </c>
      <c r="AL13" s="249" t="s">
        <v>2632</v>
      </c>
      <c r="AM13" s="250">
        <f>SUMIFS(Gefahrstoffverzeichnis!$AU:$AU,Gefahrstoffverzeichnis!$BY:$BY,"kg",Gefahrstoffverzeichnis!$AP:$AP,Lager!$B13,Gefahrstoffverzeichnis!$CB:$CB,$AL13)</f>
        <v>0</v>
      </c>
      <c r="AN13" s="248" t="str">
        <f t="shared" si="6"/>
        <v/>
      </c>
      <c r="AO13" s="249" t="s">
        <v>2633</v>
      </c>
      <c r="AP13" s="250">
        <f>SUMIFS(Gefahrstoffverzeichnis!$AU:$AU,Gefahrstoffverzeichnis!$BY:$BY,"kg",Gefahrstoffverzeichnis!$AP:$AP,Lager!$B13,Gefahrstoffverzeichnis!$CB:$CB,$AO13)</f>
        <v>0</v>
      </c>
      <c r="AQ13" s="248" t="str">
        <f t="shared" si="7"/>
        <v/>
      </c>
      <c r="AR13" s="249" t="s">
        <v>2634</v>
      </c>
      <c r="AS13" s="250">
        <f>SUMIFS(Gefahrstoffverzeichnis!$AU:$AU,Gefahrstoffverzeichnis!$BY:$BY,"kg",Gefahrstoffverzeichnis!$AP:$AP,Lager!$B13,Gefahrstoffverzeichnis!$CB:$CB,$AR13)</f>
        <v>0</v>
      </c>
      <c r="AT13" s="249" t="s">
        <v>2635</v>
      </c>
      <c r="AU13" s="250">
        <f>SUMIFS(Gefahrstoffverzeichnis!$AU:$AU,Gefahrstoffverzeichnis!$BY:$BY,"kg",Gefahrstoffverzeichnis!$AP:$AP,Lager!$B13,Gefahrstoffverzeichnis!$CB:$CB,$AT13,Gefahrstoffverzeichnis!$CB:$CB,"&lt;&gt;"&amp;$AR13)</f>
        <v>0</v>
      </c>
      <c r="AV13" s="248" t="str">
        <f t="shared" si="8"/>
        <v/>
      </c>
      <c r="AW13" s="249" t="s">
        <v>2636</v>
      </c>
      <c r="AX13" s="250">
        <f>SUMIFS(Gefahrstoffverzeichnis!$AU:$AU,Gefahrstoffverzeichnis!$BY:$BY,"kg",Gefahrstoffverzeichnis!$AP:$AP,Lager!$B13,Gefahrstoffverzeichnis!$CB:$CB,$AW13)</f>
        <v>0</v>
      </c>
      <c r="AY13" s="248" t="str">
        <f t="shared" si="9"/>
        <v/>
      </c>
      <c r="AZ13" s="249" t="s">
        <v>2637</v>
      </c>
      <c r="BA13" s="250">
        <f>SUMIFS(Gefahrstoffverzeichnis!$AU:$AU,Gefahrstoffverzeichnis!$BY:$BY,"kg",Gefahrstoffverzeichnis!$AP:$AP,Lager!$B13,Gefahrstoffverzeichnis!$CB:$CB,$AZ13)</f>
        <v>0</v>
      </c>
      <c r="BB13" s="248" t="str">
        <f t="shared" si="10"/>
        <v/>
      </c>
      <c r="BC13" s="249" t="s">
        <v>2638</v>
      </c>
      <c r="BD13" s="250">
        <f>SUMIFS(Gefahrstoffverzeichnis!$AU:$AU,Gefahrstoffverzeichnis!$BY:$BY,"kg",Gefahrstoffverzeichnis!$AP:$AP,Lager!$B13,Gefahrstoffverzeichnis!$CB:$CB,$BC13)</f>
        <v>0</v>
      </c>
      <c r="BE13" s="248" t="str">
        <f t="shared" si="11"/>
        <v/>
      </c>
      <c r="BF13" s="249" t="s">
        <v>2639</v>
      </c>
      <c r="BG13" s="250">
        <f>SUMIFS(Gefahrstoffverzeichnis!$AU:$AU,Gefahrstoffverzeichnis!$BY:$BY,"Liter",Gefahrstoffverzeichnis!$AP:$AP,Lager!$B13,Gefahrstoffverzeichnis!$CB:$CB,$BF13)</f>
        <v>0</v>
      </c>
      <c r="BH13" s="249" t="s">
        <v>2640</v>
      </c>
      <c r="BI13" s="250">
        <f>SUMIFS(Gefahrstoffverzeichnis!$AU:$AU,Gefahrstoffverzeichnis!$BY:$BY,"Liter",Gefahrstoffverzeichnis!$AP:$AP,Lager!$B13,Gefahrstoffverzeichnis!$CB:$CB,$BH13,Gefahrstoffverzeichnis!$CB:$CB,"&lt;&gt;"&amp;$BF13)</f>
        <v>0</v>
      </c>
      <c r="BJ13" s="249" t="s">
        <v>2641</v>
      </c>
      <c r="BK13" s="250">
        <f>SUMIFS(Gefahrstoffverzeichnis!$AU:$AU,Gefahrstoffverzeichnis!$BY:$BY,"Liter",Gefahrstoffverzeichnis!$AP:$AP,Lager!$B13,Gefahrstoffverzeichnis!$CB:$CB,$BJ13,Gefahrstoffverzeichnis!$CB:$CB,"&lt;&gt;"&amp;$BH13,Gefahrstoffverzeichnis!$CB:$CB,"&lt;&gt;"&amp;$BF13)</f>
        <v>0</v>
      </c>
      <c r="BL13" s="249" t="s">
        <v>2642</v>
      </c>
      <c r="BM13" s="250">
        <f>SUMIFS(Gefahrstoffverzeichnis!$AU:$AU,Gefahrstoffverzeichnis!$BY:$BY,"Liter",Gefahrstoffverzeichnis!$AP:$AP,Lager!$B13,Gefahrstoffverzeichnis!$CB:$CB,$BL13,Gefahrstoffverzeichnis!$CB:$CB,"&lt;&gt;"&amp;$BJ13,Gefahrstoffverzeichnis!$CB:$CB,"&lt;&gt;"&amp;$BH13,Gefahrstoffverzeichnis!$CB:$CB,"&lt;&gt;"&amp;$BF13)</f>
        <v>0</v>
      </c>
      <c r="BN13" s="249" t="s">
        <v>2643</v>
      </c>
      <c r="BO13" s="250">
        <f>SUMIFS(Gefahrstoffverzeichnis!$AU:$AU,Gefahrstoffverzeichnis!$BY:$BY,"Liter",Gefahrstoffverzeichnis!$AP:$AP,Lager!$B13,Gefahrstoffverzeichnis!$CB:$CB,$BN13,Gefahrstoffverzeichnis!$CB:$CB,"&lt;&gt;"&amp;$BL13,Gefahrstoffverzeichnis!$CB:$CB,"&lt;&gt;"&amp;$BJ13,Gefahrstoffverzeichnis!$CB:$CB,"&lt;&gt;"&amp;$BH13,Gefahrstoffverzeichnis!$CB:$CB,"&lt;&gt;"&amp;$BF13)</f>
        <v>0</v>
      </c>
      <c r="BP13" s="248" t="str">
        <f t="shared" si="12"/>
        <v/>
      </c>
      <c r="BQ13" s="249" t="s">
        <v>2639</v>
      </c>
      <c r="BR13" s="250">
        <f>SUMIFS(Gefahrstoffverzeichnis!$AU:$AU,Gefahrstoffverzeichnis!$BY:$BY,"kg",Gefahrstoffverzeichnis!$AP:$AP,Lager!$B13,Gefahrstoffverzeichnis!$CB:$CB,$BQ13)</f>
        <v>0</v>
      </c>
      <c r="BS13" s="249" t="s">
        <v>2640</v>
      </c>
      <c r="BT13" s="250">
        <f>SUMIFS(Gefahrstoffverzeichnis!$AU:$AU,Gefahrstoffverzeichnis!$BY:$BY,"kg",Gefahrstoffverzeichnis!$AP:$AP,Lager!$B13,Gefahrstoffverzeichnis!$CB:$CB,$BS13,Gefahrstoffverzeichnis!$CB:$CB,"&lt;&gt;"&amp;$BQ13)</f>
        <v>0</v>
      </c>
      <c r="BU13" s="249" t="s">
        <v>2644</v>
      </c>
      <c r="BV13" s="250">
        <f>SUMIFS(Gefahrstoffverzeichnis!$AU:$AU,Gefahrstoffverzeichnis!$BY:$BY,"kg",Gefahrstoffverzeichnis!$AP:$AP,Lager!$B13,Gefahrstoffverzeichnis!$CB:$CB,$BU13,Gefahrstoffverzeichnis!$CB:$CB,"&lt;&gt;"&amp;$BS13,Gefahrstoffverzeichnis!$CB:$CB,"&lt;&gt;"&amp;$BQ13)</f>
        <v>0</v>
      </c>
      <c r="BW13" s="249" t="s">
        <v>2645</v>
      </c>
      <c r="BX13" s="250">
        <f>SUMIFS(Gefahrstoffverzeichnis!$AU:$AU,Gefahrstoffverzeichnis!$BY:$BY,"kg",Gefahrstoffverzeichnis!$AP:$AP,Lager!$B13,Gefahrstoffverzeichnis!$CB:$CB,$BW13,Gefahrstoffverzeichnis!$CB:$CB,"&lt;&gt;"&amp;$BU13,Gefahrstoffverzeichnis!$CB:$CB,"&lt;&gt;"&amp;$BS13,Gefahrstoffverzeichnis!$CB:$CB,"&lt;&gt;"&amp;$BQ13)</f>
        <v>0</v>
      </c>
      <c r="BY13" s="248" t="str">
        <f t="shared" si="13"/>
        <v/>
      </c>
      <c r="BZ13" s="249" t="s">
        <v>2646</v>
      </c>
      <c r="CA13" s="250">
        <f>SUMIFS(Gefahrstoffverzeichnis!$AU:$AU,Gefahrstoffverzeichnis!$BY:$BY,"kg",Gefahrstoffverzeichnis!$AP:$AP,Lager!$B13,Gefahrstoffverzeichnis!$CB:$CB,$BZ13)</f>
        <v>0</v>
      </c>
      <c r="CB13" s="249" t="s">
        <v>2647</v>
      </c>
      <c r="CC13" s="250">
        <f>SUMIFS(Gefahrstoffverzeichnis!$AU:$AU,Gefahrstoffverzeichnis!$BY:$BY,"kg",Gefahrstoffverzeichnis!$AP:$AP,Lager!$B13,Gefahrstoffverzeichnis!$CB:$CB,$CB13,Gefahrstoffverzeichnis!$CB:$CB,"&lt;&gt;"&amp;$BZ13)</f>
        <v>0</v>
      </c>
    </row>
    <row r="14" spans="1:81" ht="18.75" customHeight="1" x14ac:dyDescent="0.3">
      <c r="B14" s="306" t="str">
        <v>*nicht definiert11*</v>
      </c>
      <c r="C14" s="303"/>
      <c r="D14" s="308">
        <f>SUMIFS(Gefahrstoffverzeichnis!$AU:$AU,Gefahrstoffverzeichnis!$BY:$BY,"kg",Gefahrstoffverzeichnis!$AP:$AP,Lager!$B14)</f>
        <v>0</v>
      </c>
      <c r="E14" s="303"/>
      <c r="F14" s="304" t="str">
        <f t="shared" si="0"/>
        <v/>
      </c>
      <c r="G14" s="250" t="s">
        <v>2619</v>
      </c>
      <c r="H14" s="250">
        <f>SUMIFS(Gefahrstoffverzeichnis!$AU:$AU,Gefahrstoffverzeichnis!$BY:$BY,"kg",Gefahrstoffverzeichnis!$AP:$AP,Lager!$B14,Gefahrstoffverzeichnis!$CC:$CC,$G14)</f>
        <v>0</v>
      </c>
      <c r="I14" s="250" t="s">
        <v>2620</v>
      </c>
      <c r="J14" s="250">
        <f>SUMIFS(Gefahrstoffverzeichnis!$AU:$AU,Gefahrstoffverzeichnis!$BY:$BY,"kg",Gefahrstoffverzeichnis!$AP:$AP,Lager!$B14,Gefahrstoffverzeichnis!$CC:$CC,$I14,Gefahrstoffverzeichnis!$CC:$CC,"&lt;&gt;"&amp;$G14)</f>
        <v>0</v>
      </c>
      <c r="K14" s="250" t="s">
        <v>2621</v>
      </c>
      <c r="L14" s="250">
        <f>SUMIFS(Gefahrstoffverzeichnis!$AU:$AU,Gefahrstoffverzeichnis!$BY:$BY,"kg",Gefahrstoffverzeichnis!$AP:$AP,Lager!$B14,Gefahrstoffverzeichnis!$CC:$CC,$K14,Gefahrstoffverzeichnis!$CC:$CC,"&lt;&gt;"&amp;$I14,Gefahrstoffverzeichnis!$CC:$CC,"&lt;&gt;"&amp;$G14)</f>
        <v>0</v>
      </c>
      <c r="M14" s="250" t="s">
        <v>2622</v>
      </c>
      <c r="N14" s="250">
        <f>SUMIFS(Gefahrstoffverzeichnis!$AU:$AU,Gefahrstoffverzeichnis!$BY:$BY,"kg",Gefahrstoffverzeichnis!$AP:$AP,Lager!$B14,Gefahrstoffverzeichnis!$CC:$CC,$M14,Gefahrstoffverzeichnis!$CC:$CC,"&lt;&gt;"&amp;$K14,Gefahrstoffverzeichnis!$CC:$CC,"&lt;&gt;"&amp;$I14,Gefahrstoffverzeichnis!$CC:$CC,"&lt;&gt;"&amp;$G14)</f>
        <v>0</v>
      </c>
      <c r="O14" s="250" t="s">
        <v>2623</v>
      </c>
      <c r="P14" s="250">
        <f>SUMIFS(Gefahrstoffverzeichnis!$AU:$AU,Gefahrstoffverzeichnis!$BY:$BY,"kg",Gefahrstoffverzeichnis!$AP:$AP,Lager!$B14,Gefahrstoffverzeichnis!$CC:$CC,$O14,Gefahrstoffverzeichnis!$CC:$CC,"&lt;&gt;"&amp;$M14,Gefahrstoffverzeichnis!$CC:$CC,"&lt;&gt;"&amp;$K14,Gefahrstoffverzeichnis!$CC:$CC,"&lt;&gt;"&amp;$I14,Gefahrstoffverzeichnis!$CC:$CC,"&lt;&gt;"&amp;$G14)</f>
        <v>0</v>
      </c>
      <c r="Q14" s="250" t="s">
        <v>2624</v>
      </c>
      <c r="R14" s="250">
        <f>SUMIFS(Gefahrstoffverzeichnis!$AU:$AU,Gefahrstoffverzeichnis!$BY:$BY,"kg",Gefahrstoffverzeichnis!$AP:$AP,Lager!$B14,Gefahrstoffverzeichnis!$CC:$CC,$Q$5,Gefahrstoffverzeichnis!$CC:$CC,"&lt;&gt;"&amp;$O14,Gefahrstoffverzeichnis!$CC:$CC,"&lt;&gt;"&amp;$M14,Gefahrstoffverzeichnis!$CC:$CC,"&lt;&gt;"&amp;$K14,Gefahrstoffverzeichnis!$CC:$CC,"&lt;&gt;"&amp;$I14,Gefahrstoffverzeichnis!$CC:$CC,"&lt;&gt;"&amp;$G14)</f>
        <v>0</v>
      </c>
      <c r="S14" s="304" t="str">
        <f t="shared" si="1"/>
        <v/>
      </c>
      <c r="T14" s="250" t="s">
        <v>2625</v>
      </c>
      <c r="U14" s="250">
        <f>SUMIFS(Gefahrstoffverzeichnis!$AU:$AU,Gefahrstoffverzeichnis!$BY:$BY,"kg",Gefahrstoffverzeichnis!$AP:$AP,Lager!$B14,Gefahrstoffverzeichnis!$CC:$CC,$T14)</f>
        <v>0</v>
      </c>
      <c r="V14" s="250" t="s">
        <v>2626</v>
      </c>
      <c r="W14" s="250">
        <f>SUMIFS(Gefahrstoffverzeichnis!$AU:$AU,Gefahrstoffverzeichnis!$BY:$BY,"kg",Gefahrstoffverzeichnis!$AP:$AP,Lager!$B14,Gefahrstoffverzeichnis!$CC:$CC,$V14,Gefahrstoffverzeichnis!$CC:$CC,"&lt;&gt;"&amp;$T14)</f>
        <v>0</v>
      </c>
      <c r="X14" s="304" t="str">
        <f t="shared" si="2"/>
        <v/>
      </c>
      <c r="Y14" s="250" t="s">
        <v>2627</v>
      </c>
      <c r="Z14" s="250">
        <f>SUMIFS(Gefahrstoffverzeichnis!$AU:$AU,Gefahrstoffverzeichnis!$BY:$BY,"kg",Gefahrstoffverzeichnis!$AP:$AP,Lager!$B14,Gefahrstoffverzeichnis!$CC:$CC,$Y14)</f>
        <v>0</v>
      </c>
      <c r="AA14" s="250" t="s">
        <v>2628</v>
      </c>
      <c r="AB14" s="250">
        <f>SUMIFS(Gefahrstoffverzeichnis!$AU:$AU,Gefahrstoffverzeichnis!$BY:$BY,"kg",Gefahrstoffverzeichnis!$AP:$AP,Lager!$B14,Gefahrstoffverzeichnis!$CC:$CC,$AA14,Gefahrstoffverzeichnis!$CC:$CC,"&lt;&gt;"&amp;$Y14)</f>
        <v>0</v>
      </c>
      <c r="AC14" s="304" t="str">
        <f t="shared" si="3"/>
        <v/>
      </c>
      <c r="AD14" s="250" t="s">
        <v>2629</v>
      </c>
      <c r="AE14" s="250">
        <f>SUMIFS(Gefahrstoffverzeichnis!$AU:$AU,Gefahrstoffverzeichnis!$BY:$BY,"kg",Gefahrstoffverzeichnis!$AP:$AP,Lager!$B14,Gefahrstoffverzeichnis!$CB:$CB,$AD14)</f>
        <v>0</v>
      </c>
      <c r="AF14" s="250" t="s">
        <v>2630</v>
      </c>
      <c r="AG14" s="250">
        <f>SUMIFS(Gefahrstoffverzeichnis!$AU:$AU,Gefahrstoffverzeichnis!$BY:$BY,"kg",Gefahrstoffverzeichnis!$AP:$AP,Lager!$B14,Gefahrstoffverzeichnis!$CB:$CB,$AF14,Gefahrstoffverzeichnis!$CB:$CB,"&lt;&gt;"&amp;$AD14)</f>
        <v>0</v>
      </c>
      <c r="AH14" s="304" t="str">
        <f t="shared" si="4"/>
        <v/>
      </c>
      <c r="AI14" s="250" t="s">
        <v>2631</v>
      </c>
      <c r="AJ14" s="250">
        <f>SUMIFS(Gefahrstoffverzeichnis!$AU:$AU,Gefahrstoffverzeichnis!$BY:$BY,"kg",Gefahrstoffverzeichnis!$AP:$AP,Lager!$B14,Gefahrstoffverzeichnis!$CB:$CB,$AI14)</f>
        <v>0</v>
      </c>
      <c r="AK14" s="304" t="str">
        <f t="shared" si="5"/>
        <v/>
      </c>
      <c r="AL14" s="250" t="s">
        <v>2632</v>
      </c>
      <c r="AM14" s="250">
        <f>SUMIFS(Gefahrstoffverzeichnis!$AU:$AU,Gefahrstoffverzeichnis!$BY:$BY,"kg",Gefahrstoffverzeichnis!$AP:$AP,Lager!$B14,Gefahrstoffverzeichnis!$CB:$CB,$AL14)</f>
        <v>0</v>
      </c>
      <c r="AN14" s="304" t="str">
        <f t="shared" si="6"/>
        <v/>
      </c>
      <c r="AO14" s="250" t="s">
        <v>2633</v>
      </c>
      <c r="AP14" s="250">
        <f>SUMIFS(Gefahrstoffverzeichnis!$AU:$AU,Gefahrstoffverzeichnis!$BY:$BY,"kg",Gefahrstoffverzeichnis!$AP:$AP,Lager!$B14,Gefahrstoffverzeichnis!$CB:$CB,$AO14)</f>
        <v>0</v>
      </c>
      <c r="AQ14" s="304" t="str">
        <f t="shared" si="7"/>
        <v/>
      </c>
      <c r="AR14" s="250" t="s">
        <v>2634</v>
      </c>
      <c r="AS14" s="250">
        <f>SUMIFS(Gefahrstoffverzeichnis!$AU:$AU,Gefahrstoffverzeichnis!$BY:$BY,"kg",Gefahrstoffverzeichnis!$AP:$AP,Lager!$B14,Gefahrstoffverzeichnis!$CB:$CB,$AR14)</f>
        <v>0</v>
      </c>
      <c r="AT14" s="250" t="s">
        <v>2635</v>
      </c>
      <c r="AU14" s="250">
        <f>SUMIFS(Gefahrstoffverzeichnis!$AU:$AU,Gefahrstoffverzeichnis!$BY:$BY,"kg",Gefahrstoffverzeichnis!$AP:$AP,Lager!$B14,Gefahrstoffverzeichnis!$CB:$CB,$AT14,Gefahrstoffverzeichnis!$CB:$CB,"&lt;&gt;"&amp;$AR14)</f>
        <v>0</v>
      </c>
      <c r="AV14" s="304" t="str">
        <f t="shared" si="8"/>
        <v/>
      </c>
      <c r="AW14" s="250" t="s">
        <v>2636</v>
      </c>
      <c r="AX14" s="250">
        <f>SUMIFS(Gefahrstoffverzeichnis!$AU:$AU,Gefahrstoffverzeichnis!$BY:$BY,"kg",Gefahrstoffverzeichnis!$AP:$AP,Lager!$B14,Gefahrstoffverzeichnis!$CB:$CB,$AW14)</f>
        <v>0</v>
      </c>
      <c r="AY14" s="304" t="str">
        <f t="shared" si="9"/>
        <v/>
      </c>
      <c r="AZ14" s="250" t="s">
        <v>2637</v>
      </c>
      <c r="BA14" s="250">
        <f>SUMIFS(Gefahrstoffverzeichnis!$AU:$AU,Gefahrstoffverzeichnis!$BY:$BY,"kg",Gefahrstoffverzeichnis!$AP:$AP,Lager!$B14,Gefahrstoffverzeichnis!$CB:$CB,$AZ14)</f>
        <v>0</v>
      </c>
      <c r="BB14" s="304" t="str">
        <f t="shared" si="10"/>
        <v/>
      </c>
      <c r="BC14" s="250" t="s">
        <v>2638</v>
      </c>
      <c r="BD14" s="250">
        <f>SUMIFS(Gefahrstoffverzeichnis!$AU:$AU,Gefahrstoffverzeichnis!$BY:$BY,"kg",Gefahrstoffverzeichnis!$AP:$AP,Lager!$B14,Gefahrstoffverzeichnis!$CB:$CB,$BC14)</f>
        <v>0</v>
      </c>
      <c r="BE14" s="304" t="str">
        <f t="shared" si="11"/>
        <v/>
      </c>
      <c r="BF14" s="250" t="s">
        <v>2639</v>
      </c>
      <c r="BG14" s="250">
        <f>SUMIFS(Gefahrstoffverzeichnis!$AU:$AU,Gefahrstoffverzeichnis!$BY:$BY,"Liter",Gefahrstoffverzeichnis!$AP:$AP,Lager!$B14,Gefahrstoffverzeichnis!$CB:$CB,$BF14)</f>
        <v>0</v>
      </c>
      <c r="BH14" s="250" t="s">
        <v>2640</v>
      </c>
      <c r="BI14" s="250">
        <f>SUMIFS(Gefahrstoffverzeichnis!$AU:$AU,Gefahrstoffverzeichnis!$BY:$BY,"Liter",Gefahrstoffverzeichnis!$AP:$AP,Lager!$B14,Gefahrstoffverzeichnis!$CB:$CB,$BH14,Gefahrstoffverzeichnis!$CB:$CB,"&lt;&gt;"&amp;$BF14)</f>
        <v>0</v>
      </c>
      <c r="BJ14" s="250" t="s">
        <v>2641</v>
      </c>
      <c r="BK14" s="250">
        <f>SUMIFS(Gefahrstoffverzeichnis!$AU:$AU,Gefahrstoffverzeichnis!$BY:$BY,"Liter",Gefahrstoffverzeichnis!$AP:$AP,Lager!$B14,Gefahrstoffverzeichnis!$CB:$CB,$BJ14,Gefahrstoffverzeichnis!$CB:$CB,"&lt;&gt;"&amp;$BH14,Gefahrstoffverzeichnis!$CB:$CB,"&lt;&gt;"&amp;$BF14)</f>
        <v>0</v>
      </c>
      <c r="BL14" s="250" t="s">
        <v>2642</v>
      </c>
      <c r="BM14" s="250">
        <f>SUMIFS(Gefahrstoffverzeichnis!$AU:$AU,Gefahrstoffverzeichnis!$BY:$BY,"Liter",Gefahrstoffverzeichnis!$AP:$AP,Lager!$B14,Gefahrstoffverzeichnis!$CB:$CB,$BL14,Gefahrstoffverzeichnis!$CB:$CB,"&lt;&gt;"&amp;$BJ14,Gefahrstoffverzeichnis!$CB:$CB,"&lt;&gt;"&amp;$BH14,Gefahrstoffverzeichnis!$CB:$CB,"&lt;&gt;"&amp;$BF14)</f>
        <v>0</v>
      </c>
      <c r="BN14" s="250" t="s">
        <v>2643</v>
      </c>
      <c r="BO14" s="250">
        <f>SUMIFS(Gefahrstoffverzeichnis!$AU:$AU,Gefahrstoffverzeichnis!$BY:$BY,"Liter",Gefahrstoffverzeichnis!$AP:$AP,Lager!$B14,Gefahrstoffverzeichnis!$CB:$CB,$BN14,Gefahrstoffverzeichnis!$CB:$CB,"&lt;&gt;"&amp;$BL14,Gefahrstoffverzeichnis!$CB:$CB,"&lt;&gt;"&amp;$BJ14,Gefahrstoffverzeichnis!$CB:$CB,"&lt;&gt;"&amp;$BH14,Gefahrstoffverzeichnis!$CB:$CB,"&lt;&gt;"&amp;$BF14)</f>
        <v>0</v>
      </c>
      <c r="BP14" s="304" t="str">
        <f t="shared" si="12"/>
        <v/>
      </c>
      <c r="BQ14" s="250" t="s">
        <v>2639</v>
      </c>
      <c r="BR14" s="250">
        <f>SUMIFS(Gefahrstoffverzeichnis!$AU:$AU,Gefahrstoffverzeichnis!$BY:$BY,"kg",Gefahrstoffverzeichnis!$AP:$AP,Lager!$B14,Gefahrstoffverzeichnis!$CB:$CB,$BQ14)</f>
        <v>0</v>
      </c>
      <c r="BS14" s="250" t="s">
        <v>2640</v>
      </c>
      <c r="BT14" s="250">
        <f>SUMIFS(Gefahrstoffverzeichnis!$AU:$AU,Gefahrstoffverzeichnis!$BY:$BY,"kg",Gefahrstoffverzeichnis!$AP:$AP,Lager!$B14,Gefahrstoffverzeichnis!$CB:$CB,$BS14,Gefahrstoffverzeichnis!$CB:$CB,"&lt;&gt;"&amp;$BQ14)</f>
        <v>0</v>
      </c>
      <c r="BU14" s="250" t="s">
        <v>2644</v>
      </c>
      <c r="BV14" s="250">
        <f>SUMIFS(Gefahrstoffverzeichnis!$AU:$AU,Gefahrstoffverzeichnis!$BY:$BY,"kg",Gefahrstoffverzeichnis!$AP:$AP,Lager!$B14,Gefahrstoffverzeichnis!$CB:$CB,$BU14,Gefahrstoffverzeichnis!$CB:$CB,"&lt;&gt;"&amp;$BS14,Gefahrstoffverzeichnis!$CB:$CB,"&lt;&gt;"&amp;$BQ14)</f>
        <v>0</v>
      </c>
      <c r="BW14" s="250" t="s">
        <v>2645</v>
      </c>
      <c r="BX14" s="250">
        <f>SUMIFS(Gefahrstoffverzeichnis!$AU:$AU,Gefahrstoffverzeichnis!$BY:$BY,"kg",Gefahrstoffverzeichnis!$AP:$AP,Lager!$B14,Gefahrstoffverzeichnis!$CB:$CB,$BW14,Gefahrstoffverzeichnis!$CB:$CB,"&lt;&gt;"&amp;$BU14,Gefahrstoffverzeichnis!$CB:$CB,"&lt;&gt;"&amp;$BS14,Gefahrstoffverzeichnis!$CB:$CB,"&lt;&gt;"&amp;$BQ14)</f>
        <v>0</v>
      </c>
      <c r="BY14" s="304" t="str">
        <f t="shared" si="13"/>
        <v/>
      </c>
      <c r="BZ14" s="249" t="s">
        <v>2646</v>
      </c>
      <c r="CA14" s="250">
        <f>SUMIFS(Gefahrstoffverzeichnis!$AU:$AU,Gefahrstoffverzeichnis!$BY:$BY,"kg",Gefahrstoffverzeichnis!$AP:$AP,Lager!$B14,Gefahrstoffverzeichnis!$CB:$CB,$BZ14)</f>
        <v>0</v>
      </c>
      <c r="CB14" s="249" t="s">
        <v>2647</v>
      </c>
      <c r="CC14" s="250">
        <f>SUMIFS(Gefahrstoffverzeichnis!$AU:$AU,Gefahrstoffverzeichnis!$BY:$BY,"kg",Gefahrstoffverzeichnis!$AP:$AP,Lager!$B14,Gefahrstoffverzeichnis!$CB:$CB,$CB14,Gefahrstoffverzeichnis!$CB:$CB,"&lt;&gt;"&amp;$BZ14)</f>
        <v>0</v>
      </c>
    </row>
    <row r="15" spans="1:81" ht="18.75" customHeight="1" x14ac:dyDescent="0.3">
      <c r="B15" s="306" t="str">
        <v>*nicht definiert12*</v>
      </c>
      <c r="D15" s="307">
        <f>SUMIFS(Gefahrstoffverzeichnis!$AU:$AU,Gefahrstoffverzeichnis!$BY:$BY,"kg",Gefahrstoffverzeichnis!$AP:$AP,Lager!$B15)</f>
        <v>0</v>
      </c>
      <c r="F15" s="248" t="str">
        <f t="shared" si="0"/>
        <v/>
      </c>
      <c r="G15" s="249" t="s">
        <v>2619</v>
      </c>
      <c r="H15" s="250">
        <f>SUMIFS(Gefahrstoffverzeichnis!$AU:$AU,Gefahrstoffverzeichnis!$BY:$BY,"kg",Gefahrstoffverzeichnis!$AP:$AP,Lager!$B15,Gefahrstoffverzeichnis!$CC:$CC,$G15)</f>
        <v>0</v>
      </c>
      <c r="I15" s="249" t="s">
        <v>2620</v>
      </c>
      <c r="J15" s="250">
        <f>SUMIFS(Gefahrstoffverzeichnis!$AU:$AU,Gefahrstoffverzeichnis!$BY:$BY,"kg",Gefahrstoffverzeichnis!$AP:$AP,Lager!$B15,Gefahrstoffverzeichnis!$CC:$CC,$I15,Gefahrstoffverzeichnis!$CC:$CC,"&lt;&gt;"&amp;$G15)</f>
        <v>0</v>
      </c>
      <c r="K15" s="249" t="s">
        <v>2621</v>
      </c>
      <c r="L15" s="250">
        <f>SUMIFS(Gefahrstoffverzeichnis!$AU:$AU,Gefahrstoffverzeichnis!$BY:$BY,"kg",Gefahrstoffverzeichnis!$AP:$AP,Lager!$B15,Gefahrstoffverzeichnis!$CC:$CC,$K15,Gefahrstoffverzeichnis!$CC:$CC,"&lt;&gt;"&amp;$I15,Gefahrstoffverzeichnis!$CC:$CC,"&lt;&gt;"&amp;$G15)</f>
        <v>0</v>
      </c>
      <c r="M15" s="249" t="s">
        <v>2622</v>
      </c>
      <c r="N15" s="250">
        <f>SUMIFS(Gefahrstoffverzeichnis!$AU:$AU,Gefahrstoffverzeichnis!$BY:$BY,"kg",Gefahrstoffverzeichnis!$AP:$AP,Lager!$B15,Gefahrstoffverzeichnis!$CC:$CC,$M15,Gefahrstoffverzeichnis!$CC:$CC,"&lt;&gt;"&amp;$K15,Gefahrstoffverzeichnis!$CC:$CC,"&lt;&gt;"&amp;$I15,Gefahrstoffverzeichnis!$CC:$CC,"&lt;&gt;"&amp;$G15)</f>
        <v>0</v>
      </c>
      <c r="O15" s="249" t="s">
        <v>2623</v>
      </c>
      <c r="P15" s="250">
        <f>SUMIFS(Gefahrstoffverzeichnis!$AU:$AU,Gefahrstoffverzeichnis!$BY:$BY,"kg",Gefahrstoffverzeichnis!$AP:$AP,Lager!$B15,Gefahrstoffverzeichnis!$CC:$CC,$O15,Gefahrstoffverzeichnis!$CC:$CC,"&lt;&gt;"&amp;$M15,Gefahrstoffverzeichnis!$CC:$CC,"&lt;&gt;"&amp;$K15,Gefahrstoffverzeichnis!$CC:$CC,"&lt;&gt;"&amp;$I15,Gefahrstoffverzeichnis!$CC:$CC,"&lt;&gt;"&amp;$G15)</f>
        <v>0</v>
      </c>
      <c r="Q15" s="249" t="s">
        <v>2624</v>
      </c>
      <c r="R15" s="250">
        <f>SUMIFS(Gefahrstoffverzeichnis!$AU:$AU,Gefahrstoffverzeichnis!$BY:$BY,"kg",Gefahrstoffverzeichnis!$AP:$AP,Lager!$B15,Gefahrstoffverzeichnis!$CC:$CC,$Q$5,Gefahrstoffverzeichnis!$CC:$CC,"&lt;&gt;"&amp;$O15,Gefahrstoffverzeichnis!$CC:$CC,"&lt;&gt;"&amp;$M15,Gefahrstoffverzeichnis!$CC:$CC,"&lt;&gt;"&amp;$K15,Gefahrstoffverzeichnis!$CC:$CC,"&lt;&gt;"&amp;$I15,Gefahrstoffverzeichnis!$CC:$CC,"&lt;&gt;"&amp;$G15)</f>
        <v>0</v>
      </c>
      <c r="S15" s="248" t="str">
        <f t="shared" si="1"/>
        <v/>
      </c>
      <c r="T15" s="249" t="s">
        <v>2625</v>
      </c>
      <c r="U15" s="250">
        <f>SUMIFS(Gefahrstoffverzeichnis!$AU:$AU,Gefahrstoffverzeichnis!$BY:$BY,"kg",Gefahrstoffverzeichnis!$AP:$AP,Lager!$B15,Gefahrstoffverzeichnis!$CC:$CC,$T15)</f>
        <v>0</v>
      </c>
      <c r="V15" s="249" t="s">
        <v>2626</v>
      </c>
      <c r="W15" s="250">
        <f>SUMIFS(Gefahrstoffverzeichnis!$AU:$AU,Gefahrstoffverzeichnis!$BY:$BY,"kg",Gefahrstoffverzeichnis!$AP:$AP,Lager!$B15,Gefahrstoffverzeichnis!$CC:$CC,$V15,Gefahrstoffverzeichnis!$CC:$CC,"&lt;&gt;"&amp;$T15)</f>
        <v>0</v>
      </c>
      <c r="X15" s="248" t="str">
        <f t="shared" si="2"/>
        <v/>
      </c>
      <c r="Y15" s="249" t="s">
        <v>2627</v>
      </c>
      <c r="Z15" s="250">
        <f>SUMIFS(Gefahrstoffverzeichnis!$AU:$AU,Gefahrstoffverzeichnis!$BY:$BY,"kg",Gefahrstoffverzeichnis!$AP:$AP,Lager!$B15,Gefahrstoffverzeichnis!$CC:$CC,$Y15)</f>
        <v>0</v>
      </c>
      <c r="AA15" s="249" t="s">
        <v>2628</v>
      </c>
      <c r="AB15" s="250">
        <f>SUMIFS(Gefahrstoffverzeichnis!$AU:$AU,Gefahrstoffverzeichnis!$BY:$BY,"kg",Gefahrstoffverzeichnis!$AP:$AP,Lager!$B15,Gefahrstoffverzeichnis!$CC:$CC,$AA15,Gefahrstoffverzeichnis!$CC:$CC,"&lt;&gt;"&amp;$Y15)</f>
        <v>0</v>
      </c>
      <c r="AC15" s="248" t="str">
        <f t="shared" si="3"/>
        <v/>
      </c>
      <c r="AD15" s="249" t="s">
        <v>2629</v>
      </c>
      <c r="AE15" s="250">
        <f>SUMIFS(Gefahrstoffverzeichnis!$AU:$AU,Gefahrstoffverzeichnis!$BY:$BY,"kg",Gefahrstoffverzeichnis!$AP:$AP,Lager!$B15,Gefahrstoffverzeichnis!$CB:$CB,$AD15)</f>
        <v>0</v>
      </c>
      <c r="AF15" s="249" t="s">
        <v>2630</v>
      </c>
      <c r="AG15" s="250">
        <f>SUMIFS(Gefahrstoffverzeichnis!$AU:$AU,Gefahrstoffverzeichnis!$BY:$BY,"kg",Gefahrstoffverzeichnis!$AP:$AP,Lager!$B15,Gefahrstoffverzeichnis!$CB:$CB,$AF15,Gefahrstoffverzeichnis!$CB:$CB,"&lt;&gt;"&amp;$AD15)</f>
        <v>0</v>
      </c>
      <c r="AH15" s="248" t="str">
        <f t="shared" si="4"/>
        <v/>
      </c>
      <c r="AI15" s="249" t="s">
        <v>2631</v>
      </c>
      <c r="AJ15" s="250">
        <f>SUMIFS(Gefahrstoffverzeichnis!$AU:$AU,Gefahrstoffverzeichnis!$BY:$BY,"kg",Gefahrstoffverzeichnis!$AP:$AP,Lager!$B15,Gefahrstoffverzeichnis!$CB:$CB,$AI15)</f>
        <v>0</v>
      </c>
      <c r="AK15" s="248" t="str">
        <f t="shared" si="5"/>
        <v/>
      </c>
      <c r="AL15" s="249" t="s">
        <v>2632</v>
      </c>
      <c r="AM15" s="250">
        <f>SUMIFS(Gefahrstoffverzeichnis!$AU:$AU,Gefahrstoffverzeichnis!$BY:$BY,"kg",Gefahrstoffverzeichnis!$AP:$AP,Lager!$B15,Gefahrstoffverzeichnis!$CB:$CB,$AL15)</f>
        <v>0</v>
      </c>
      <c r="AN15" s="248" t="str">
        <f t="shared" si="6"/>
        <v/>
      </c>
      <c r="AO15" s="249" t="s">
        <v>2633</v>
      </c>
      <c r="AP15" s="250">
        <f>SUMIFS(Gefahrstoffverzeichnis!$AU:$AU,Gefahrstoffverzeichnis!$BY:$BY,"kg",Gefahrstoffverzeichnis!$AP:$AP,Lager!$B15,Gefahrstoffverzeichnis!$CB:$CB,$AO15)</f>
        <v>0</v>
      </c>
      <c r="AQ15" s="248" t="str">
        <f t="shared" si="7"/>
        <v/>
      </c>
      <c r="AR15" s="249" t="s">
        <v>2634</v>
      </c>
      <c r="AS15" s="250">
        <f>SUMIFS(Gefahrstoffverzeichnis!$AU:$AU,Gefahrstoffverzeichnis!$BY:$BY,"kg",Gefahrstoffverzeichnis!$AP:$AP,Lager!$B15,Gefahrstoffverzeichnis!$CB:$CB,$AR15)</f>
        <v>0</v>
      </c>
      <c r="AT15" s="249" t="s">
        <v>2635</v>
      </c>
      <c r="AU15" s="250">
        <f>SUMIFS(Gefahrstoffverzeichnis!$AU:$AU,Gefahrstoffverzeichnis!$BY:$BY,"kg",Gefahrstoffverzeichnis!$AP:$AP,Lager!$B15,Gefahrstoffverzeichnis!$CB:$CB,$AT15,Gefahrstoffverzeichnis!$CB:$CB,"&lt;&gt;"&amp;$AR15)</f>
        <v>0</v>
      </c>
      <c r="AV15" s="248" t="str">
        <f t="shared" si="8"/>
        <v/>
      </c>
      <c r="AW15" s="249" t="s">
        <v>2636</v>
      </c>
      <c r="AX15" s="250">
        <f>SUMIFS(Gefahrstoffverzeichnis!$AU:$AU,Gefahrstoffverzeichnis!$BY:$BY,"kg",Gefahrstoffverzeichnis!$AP:$AP,Lager!$B15,Gefahrstoffverzeichnis!$CB:$CB,$AW15)</f>
        <v>0</v>
      </c>
      <c r="AY15" s="248" t="str">
        <f t="shared" si="9"/>
        <v/>
      </c>
      <c r="AZ15" s="249" t="s">
        <v>2637</v>
      </c>
      <c r="BA15" s="250">
        <f>SUMIFS(Gefahrstoffverzeichnis!$AU:$AU,Gefahrstoffverzeichnis!$BY:$BY,"kg",Gefahrstoffverzeichnis!$AP:$AP,Lager!$B15,Gefahrstoffverzeichnis!$CB:$CB,$AZ15)</f>
        <v>0</v>
      </c>
      <c r="BB15" s="248" t="str">
        <f t="shared" si="10"/>
        <v/>
      </c>
      <c r="BC15" s="249" t="s">
        <v>2638</v>
      </c>
      <c r="BD15" s="250">
        <f>SUMIFS(Gefahrstoffverzeichnis!$AU:$AU,Gefahrstoffverzeichnis!$BY:$BY,"kg",Gefahrstoffverzeichnis!$AP:$AP,Lager!$B15,Gefahrstoffverzeichnis!$CB:$CB,$BC15)</f>
        <v>0</v>
      </c>
      <c r="BE15" s="248" t="str">
        <f t="shared" si="11"/>
        <v/>
      </c>
      <c r="BF15" s="249" t="s">
        <v>2639</v>
      </c>
      <c r="BG15" s="250">
        <f>SUMIFS(Gefahrstoffverzeichnis!$AU:$AU,Gefahrstoffverzeichnis!$BY:$BY,"Liter",Gefahrstoffverzeichnis!$AP:$AP,Lager!$B15,Gefahrstoffverzeichnis!$CB:$CB,$BF15)</f>
        <v>0</v>
      </c>
      <c r="BH15" s="249" t="s">
        <v>2640</v>
      </c>
      <c r="BI15" s="250">
        <f>SUMIFS(Gefahrstoffverzeichnis!$AU:$AU,Gefahrstoffverzeichnis!$BY:$BY,"Liter",Gefahrstoffverzeichnis!$AP:$AP,Lager!$B15,Gefahrstoffverzeichnis!$CB:$CB,$BH15,Gefahrstoffverzeichnis!$CB:$CB,"&lt;&gt;"&amp;$BF15)</f>
        <v>0</v>
      </c>
      <c r="BJ15" s="249" t="s">
        <v>2641</v>
      </c>
      <c r="BK15" s="250">
        <f>SUMIFS(Gefahrstoffverzeichnis!$AU:$AU,Gefahrstoffverzeichnis!$BY:$BY,"Liter",Gefahrstoffverzeichnis!$AP:$AP,Lager!$B15,Gefahrstoffverzeichnis!$CB:$CB,$BJ15,Gefahrstoffverzeichnis!$CB:$CB,"&lt;&gt;"&amp;$BH15,Gefahrstoffverzeichnis!$CB:$CB,"&lt;&gt;"&amp;$BF15)</f>
        <v>0</v>
      </c>
      <c r="BL15" s="249" t="s">
        <v>2642</v>
      </c>
      <c r="BM15" s="250">
        <f>SUMIFS(Gefahrstoffverzeichnis!$AU:$AU,Gefahrstoffverzeichnis!$BY:$BY,"Liter",Gefahrstoffverzeichnis!$AP:$AP,Lager!$B15,Gefahrstoffverzeichnis!$CB:$CB,$BL15,Gefahrstoffverzeichnis!$CB:$CB,"&lt;&gt;"&amp;$BJ15,Gefahrstoffverzeichnis!$CB:$CB,"&lt;&gt;"&amp;$BH15,Gefahrstoffverzeichnis!$CB:$CB,"&lt;&gt;"&amp;$BF15)</f>
        <v>0</v>
      </c>
      <c r="BN15" s="249" t="s">
        <v>2643</v>
      </c>
      <c r="BO15" s="250">
        <f>SUMIFS(Gefahrstoffverzeichnis!$AU:$AU,Gefahrstoffverzeichnis!$BY:$BY,"Liter",Gefahrstoffverzeichnis!$AP:$AP,Lager!$B15,Gefahrstoffverzeichnis!$CB:$CB,$BN15,Gefahrstoffverzeichnis!$CB:$CB,"&lt;&gt;"&amp;$BL15,Gefahrstoffverzeichnis!$CB:$CB,"&lt;&gt;"&amp;$BJ15,Gefahrstoffverzeichnis!$CB:$CB,"&lt;&gt;"&amp;$BH15,Gefahrstoffverzeichnis!$CB:$CB,"&lt;&gt;"&amp;$BF15)</f>
        <v>0</v>
      </c>
      <c r="BP15" s="248" t="str">
        <f t="shared" si="12"/>
        <v/>
      </c>
      <c r="BQ15" s="249" t="s">
        <v>2639</v>
      </c>
      <c r="BR15" s="250">
        <f>SUMIFS(Gefahrstoffverzeichnis!$AU:$AU,Gefahrstoffverzeichnis!$BY:$BY,"kg",Gefahrstoffverzeichnis!$AP:$AP,Lager!$B15,Gefahrstoffverzeichnis!$CB:$CB,$BQ15)</f>
        <v>0</v>
      </c>
      <c r="BS15" s="249" t="s">
        <v>2640</v>
      </c>
      <c r="BT15" s="250">
        <f>SUMIFS(Gefahrstoffverzeichnis!$AU:$AU,Gefahrstoffverzeichnis!$BY:$BY,"kg",Gefahrstoffverzeichnis!$AP:$AP,Lager!$B15,Gefahrstoffverzeichnis!$CB:$CB,$BS15,Gefahrstoffverzeichnis!$CB:$CB,"&lt;&gt;"&amp;$BQ15)</f>
        <v>0</v>
      </c>
      <c r="BU15" s="249" t="s">
        <v>2644</v>
      </c>
      <c r="BV15" s="250">
        <f>SUMIFS(Gefahrstoffverzeichnis!$AU:$AU,Gefahrstoffverzeichnis!$BY:$BY,"kg",Gefahrstoffverzeichnis!$AP:$AP,Lager!$B15,Gefahrstoffverzeichnis!$CB:$CB,$BU15,Gefahrstoffverzeichnis!$CB:$CB,"&lt;&gt;"&amp;$BS15,Gefahrstoffverzeichnis!$CB:$CB,"&lt;&gt;"&amp;$BQ15)</f>
        <v>0</v>
      </c>
      <c r="BW15" s="249" t="s">
        <v>2645</v>
      </c>
      <c r="BX15" s="250">
        <f>SUMIFS(Gefahrstoffverzeichnis!$AU:$AU,Gefahrstoffverzeichnis!$BY:$BY,"kg",Gefahrstoffverzeichnis!$AP:$AP,Lager!$B15,Gefahrstoffverzeichnis!$CB:$CB,$BW15,Gefahrstoffverzeichnis!$CB:$CB,"&lt;&gt;"&amp;$BU15,Gefahrstoffverzeichnis!$CB:$CB,"&lt;&gt;"&amp;$BS15,Gefahrstoffverzeichnis!$CB:$CB,"&lt;&gt;"&amp;$BQ15)</f>
        <v>0</v>
      </c>
      <c r="BY15" s="248" t="str">
        <f t="shared" si="13"/>
        <v/>
      </c>
      <c r="BZ15" s="249" t="s">
        <v>2646</v>
      </c>
      <c r="CA15" s="250">
        <f>SUMIFS(Gefahrstoffverzeichnis!$AU:$AU,Gefahrstoffverzeichnis!$BY:$BY,"kg",Gefahrstoffverzeichnis!$AP:$AP,Lager!$B15,Gefahrstoffverzeichnis!$CB:$CB,$BZ15)</f>
        <v>0</v>
      </c>
      <c r="CB15" s="249" t="s">
        <v>2647</v>
      </c>
      <c r="CC15" s="250">
        <f>SUMIFS(Gefahrstoffverzeichnis!$AU:$AU,Gefahrstoffverzeichnis!$BY:$BY,"kg",Gefahrstoffverzeichnis!$AP:$AP,Lager!$B15,Gefahrstoffverzeichnis!$CB:$CB,$CB15,Gefahrstoffverzeichnis!$CB:$CB,"&lt;&gt;"&amp;$BZ15)</f>
        <v>0</v>
      </c>
    </row>
    <row r="16" spans="1:81" ht="18.75" customHeight="1" x14ac:dyDescent="0.3">
      <c r="B16" s="306" t="str">
        <v>*nicht definiert13*</v>
      </c>
      <c r="C16" s="303"/>
      <c r="D16" s="308">
        <f>SUMIFS(Gefahrstoffverzeichnis!$AU:$AU,Gefahrstoffverzeichnis!$BY:$BY,"kg",Gefahrstoffverzeichnis!$AP:$AP,Lager!$B16)</f>
        <v>0</v>
      </c>
      <c r="E16" s="303"/>
      <c r="F16" s="304" t="str">
        <f t="shared" si="0"/>
        <v/>
      </c>
      <c r="G16" s="250" t="s">
        <v>2619</v>
      </c>
      <c r="H16" s="250">
        <f>SUMIFS(Gefahrstoffverzeichnis!$AU:$AU,Gefahrstoffverzeichnis!$BY:$BY,"kg",Gefahrstoffverzeichnis!$AP:$AP,Lager!$B16,Gefahrstoffverzeichnis!$CC:$CC,$G16)</f>
        <v>0</v>
      </c>
      <c r="I16" s="250" t="s">
        <v>2620</v>
      </c>
      <c r="J16" s="250">
        <f>SUMIFS(Gefahrstoffverzeichnis!$AU:$AU,Gefahrstoffverzeichnis!$BY:$BY,"kg",Gefahrstoffverzeichnis!$AP:$AP,Lager!$B16,Gefahrstoffverzeichnis!$CC:$CC,$I16,Gefahrstoffverzeichnis!$CC:$CC,"&lt;&gt;"&amp;$G16)</f>
        <v>0</v>
      </c>
      <c r="K16" s="250" t="s">
        <v>2621</v>
      </c>
      <c r="L16" s="250">
        <f>SUMIFS(Gefahrstoffverzeichnis!$AU:$AU,Gefahrstoffverzeichnis!$BY:$BY,"kg",Gefahrstoffverzeichnis!$AP:$AP,Lager!$B16,Gefahrstoffverzeichnis!$CC:$CC,$K16,Gefahrstoffverzeichnis!$CC:$CC,"&lt;&gt;"&amp;$I16,Gefahrstoffverzeichnis!$CC:$CC,"&lt;&gt;"&amp;$G16)</f>
        <v>0</v>
      </c>
      <c r="M16" s="250" t="s">
        <v>2622</v>
      </c>
      <c r="N16" s="250">
        <f>SUMIFS(Gefahrstoffverzeichnis!$AU:$AU,Gefahrstoffverzeichnis!$BY:$BY,"kg",Gefahrstoffverzeichnis!$AP:$AP,Lager!$B16,Gefahrstoffverzeichnis!$CC:$CC,$M16,Gefahrstoffverzeichnis!$CC:$CC,"&lt;&gt;"&amp;$K16,Gefahrstoffverzeichnis!$CC:$CC,"&lt;&gt;"&amp;$I16,Gefahrstoffverzeichnis!$CC:$CC,"&lt;&gt;"&amp;$G16)</f>
        <v>0</v>
      </c>
      <c r="O16" s="250" t="s">
        <v>2623</v>
      </c>
      <c r="P16" s="250">
        <f>SUMIFS(Gefahrstoffverzeichnis!$AU:$AU,Gefahrstoffverzeichnis!$BY:$BY,"kg",Gefahrstoffverzeichnis!$AP:$AP,Lager!$B16,Gefahrstoffverzeichnis!$CC:$CC,$O16,Gefahrstoffverzeichnis!$CC:$CC,"&lt;&gt;"&amp;$M16,Gefahrstoffverzeichnis!$CC:$CC,"&lt;&gt;"&amp;$K16,Gefahrstoffverzeichnis!$CC:$CC,"&lt;&gt;"&amp;$I16,Gefahrstoffverzeichnis!$CC:$CC,"&lt;&gt;"&amp;$G16)</f>
        <v>0</v>
      </c>
      <c r="Q16" s="250" t="s">
        <v>2624</v>
      </c>
      <c r="R16" s="250">
        <f>SUMIFS(Gefahrstoffverzeichnis!$AU:$AU,Gefahrstoffverzeichnis!$BY:$BY,"kg",Gefahrstoffverzeichnis!$AP:$AP,Lager!$B16,Gefahrstoffverzeichnis!$CC:$CC,$Q$5,Gefahrstoffverzeichnis!$CC:$CC,"&lt;&gt;"&amp;$O16,Gefahrstoffverzeichnis!$CC:$CC,"&lt;&gt;"&amp;$M16,Gefahrstoffverzeichnis!$CC:$CC,"&lt;&gt;"&amp;$K16,Gefahrstoffverzeichnis!$CC:$CC,"&lt;&gt;"&amp;$I16,Gefahrstoffverzeichnis!$CC:$CC,"&lt;&gt;"&amp;$G16)</f>
        <v>0</v>
      </c>
      <c r="S16" s="304" t="str">
        <f t="shared" si="1"/>
        <v/>
      </c>
      <c r="T16" s="250" t="s">
        <v>2625</v>
      </c>
      <c r="U16" s="250">
        <f>SUMIFS(Gefahrstoffverzeichnis!$AU:$AU,Gefahrstoffverzeichnis!$BY:$BY,"kg",Gefahrstoffverzeichnis!$AP:$AP,Lager!$B16,Gefahrstoffverzeichnis!$CC:$CC,$T16)</f>
        <v>0</v>
      </c>
      <c r="V16" s="250" t="s">
        <v>2626</v>
      </c>
      <c r="W16" s="250">
        <f>SUMIFS(Gefahrstoffverzeichnis!$AU:$AU,Gefahrstoffverzeichnis!$BY:$BY,"kg",Gefahrstoffverzeichnis!$AP:$AP,Lager!$B16,Gefahrstoffverzeichnis!$CC:$CC,$V16,Gefahrstoffverzeichnis!$CC:$CC,"&lt;&gt;"&amp;$T16)</f>
        <v>0</v>
      </c>
      <c r="X16" s="304" t="str">
        <f t="shared" si="2"/>
        <v/>
      </c>
      <c r="Y16" s="250" t="s">
        <v>2627</v>
      </c>
      <c r="Z16" s="250">
        <f>SUMIFS(Gefahrstoffverzeichnis!$AU:$AU,Gefahrstoffverzeichnis!$BY:$BY,"kg",Gefahrstoffverzeichnis!$AP:$AP,Lager!$B16,Gefahrstoffverzeichnis!$CC:$CC,$Y16)</f>
        <v>0</v>
      </c>
      <c r="AA16" s="250" t="s">
        <v>2628</v>
      </c>
      <c r="AB16" s="250">
        <f>SUMIFS(Gefahrstoffverzeichnis!$AU:$AU,Gefahrstoffverzeichnis!$BY:$BY,"kg",Gefahrstoffverzeichnis!$AP:$AP,Lager!$B16,Gefahrstoffverzeichnis!$CC:$CC,$AA16,Gefahrstoffverzeichnis!$CC:$CC,"&lt;&gt;"&amp;$Y16)</f>
        <v>0</v>
      </c>
      <c r="AC16" s="304" t="str">
        <f t="shared" si="3"/>
        <v/>
      </c>
      <c r="AD16" s="250" t="s">
        <v>2629</v>
      </c>
      <c r="AE16" s="250">
        <f>SUMIFS(Gefahrstoffverzeichnis!$AU:$AU,Gefahrstoffverzeichnis!$BY:$BY,"kg",Gefahrstoffverzeichnis!$AP:$AP,Lager!$B16,Gefahrstoffverzeichnis!$CB:$CB,$AD16)</f>
        <v>0</v>
      </c>
      <c r="AF16" s="250" t="s">
        <v>2630</v>
      </c>
      <c r="AG16" s="250">
        <f>SUMIFS(Gefahrstoffverzeichnis!$AU:$AU,Gefahrstoffverzeichnis!$BY:$BY,"kg",Gefahrstoffverzeichnis!$AP:$AP,Lager!$B16,Gefahrstoffverzeichnis!$CB:$CB,$AF16,Gefahrstoffverzeichnis!$CB:$CB,"&lt;&gt;"&amp;$AD16)</f>
        <v>0</v>
      </c>
      <c r="AH16" s="304" t="str">
        <f t="shared" si="4"/>
        <v/>
      </c>
      <c r="AI16" s="250" t="s">
        <v>2631</v>
      </c>
      <c r="AJ16" s="250">
        <f>SUMIFS(Gefahrstoffverzeichnis!$AU:$AU,Gefahrstoffverzeichnis!$BY:$BY,"kg",Gefahrstoffverzeichnis!$AP:$AP,Lager!$B16,Gefahrstoffverzeichnis!$CB:$CB,$AI16)</f>
        <v>0</v>
      </c>
      <c r="AK16" s="304" t="str">
        <f t="shared" si="5"/>
        <v/>
      </c>
      <c r="AL16" s="250" t="s">
        <v>2632</v>
      </c>
      <c r="AM16" s="250">
        <f>SUMIFS(Gefahrstoffverzeichnis!$AU:$AU,Gefahrstoffverzeichnis!$BY:$BY,"kg",Gefahrstoffverzeichnis!$AP:$AP,Lager!$B16,Gefahrstoffverzeichnis!$CB:$CB,$AL16)</f>
        <v>0</v>
      </c>
      <c r="AN16" s="304" t="str">
        <f t="shared" si="6"/>
        <v/>
      </c>
      <c r="AO16" s="250" t="s">
        <v>2633</v>
      </c>
      <c r="AP16" s="250">
        <f>SUMIFS(Gefahrstoffverzeichnis!$AU:$AU,Gefahrstoffverzeichnis!$BY:$BY,"kg",Gefahrstoffverzeichnis!$AP:$AP,Lager!$B16,Gefahrstoffverzeichnis!$CB:$CB,$AO16)</f>
        <v>0</v>
      </c>
      <c r="AQ16" s="304" t="str">
        <f t="shared" si="7"/>
        <v/>
      </c>
      <c r="AR16" s="250" t="s">
        <v>2634</v>
      </c>
      <c r="AS16" s="250">
        <f>SUMIFS(Gefahrstoffverzeichnis!$AU:$AU,Gefahrstoffverzeichnis!$BY:$BY,"kg",Gefahrstoffverzeichnis!$AP:$AP,Lager!$B16,Gefahrstoffverzeichnis!$CB:$CB,$AR16)</f>
        <v>0</v>
      </c>
      <c r="AT16" s="250" t="s">
        <v>2635</v>
      </c>
      <c r="AU16" s="250">
        <f>SUMIFS(Gefahrstoffverzeichnis!$AU:$AU,Gefahrstoffverzeichnis!$BY:$BY,"kg",Gefahrstoffverzeichnis!$AP:$AP,Lager!$B16,Gefahrstoffverzeichnis!$CB:$CB,$AT16,Gefahrstoffverzeichnis!$CB:$CB,"&lt;&gt;"&amp;$AR16)</f>
        <v>0</v>
      </c>
      <c r="AV16" s="304" t="str">
        <f t="shared" si="8"/>
        <v/>
      </c>
      <c r="AW16" s="250" t="s">
        <v>2636</v>
      </c>
      <c r="AX16" s="250">
        <f>SUMIFS(Gefahrstoffverzeichnis!$AU:$AU,Gefahrstoffverzeichnis!$BY:$BY,"kg",Gefahrstoffverzeichnis!$AP:$AP,Lager!$B16,Gefahrstoffverzeichnis!$CB:$CB,$AW16)</f>
        <v>0</v>
      </c>
      <c r="AY16" s="304" t="str">
        <f t="shared" si="9"/>
        <v/>
      </c>
      <c r="AZ16" s="250" t="s">
        <v>2637</v>
      </c>
      <c r="BA16" s="250">
        <f>SUMIFS(Gefahrstoffverzeichnis!$AU:$AU,Gefahrstoffverzeichnis!$BY:$BY,"kg",Gefahrstoffverzeichnis!$AP:$AP,Lager!$B16,Gefahrstoffverzeichnis!$CB:$CB,$AZ16)</f>
        <v>0</v>
      </c>
      <c r="BB16" s="304" t="str">
        <f t="shared" si="10"/>
        <v/>
      </c>
      <c r="BC16" s="250" t="s">
        <v>2638</v>
      </c>
      <c r="BD16" s="250">
        <f>SUMIFS(Gefahrstoffverzeichnis!$AU:$AU,Gefahrstoffverzeichnis!$BY:$BY,"kg",Gefahrstoffverzeichnis!$AP:$AP,Lager!$B16,Gefahrstoffverzeichnis!$CB:$CB,$BC16)</f>
        <v>0</v>
      </c>
      <c r="BE16" s="304" t="str">
        <f t="shared" si="11"/>
        <v/>
      </c>
      <c r="BF16" s="250" t="s">
        <v>2639</v>
      </c>
      <c r="BG16" s="250">
        <f>SUMIFS(Gefahrstoffverzeichnis!$AU:$AU,Gefahrstoffverzeichnis!$BY:$BY,"Liter",Gefahrstoffverzeichnis!$AP:$AP,Lager!$B16,Gefahrstoffverzeichnis!$CB:$CB,$BF16)</f>
        <v>0</v>
      </c>
      <c r="BH16" s="250" t="s">
        <v>2640</v>
      </c>
      <c r="BI16" s="250">
        <f>SUMIFS(Gefahrstoffverzeichnis!$AU:$AU,Gefahrstoffverzeichnis!$BY:$BY,"Liter",Gefahrstoffverzeichnis!$AP:$AP,Lager!$B16,Gefahrstoffverzeichnis!$CB:$CB,$BH16,Gefahrstoffverzeichnis!$CB:$CB,"&lt;&gt;"&amp;$BF16)</f>
        <v>0</v>
      </c>
      <c r="BJ16" s="250" t="s">
        <v>2641</v>
      </c>
      <c r="BK16" s="250">
        <f>SUMIFS(Gefahrstoffverzeichnis!$AU:$AU,Gefahrstoffverzeichnis!$BY:$BY,"Liter",Gefahrstoffverzeichnis!$AP:$AP,Lager!$B16,Gefahrstoffverzeichnis!$CB:$CB,$BJ16,Gefahrstoffverzeichnis!$CB:$CB,"&lt;&gt;"&amp;$BH16,Gefahrstoffverzeichnis!$CB:$CB,"&lt;&gt;"&amp;$BF16)</f>
        <v>0</v>
      </c>
      <c r="BL16" s="250" t="s">
        <v>2642</v>
      </c>
      <c r="BM16" s="250">
        <f>SUMIFS(Gefahrstoffverzeichnis!$AU:$AU,Gefahrstoffverzeichnis!$BY:$BY,"Liter",Gefahrstoffverzeichnis!$AP:$AP,Lager!$B16,Gefahrstoffverzeichnis!$CB:$CB,$BL16,Gefahrstoffverzeichnis!$CB:$CB,"&lt;&gt;"&amp;$BJ16,Gefahrstoffverzeichnis!$CB:$CB,"&lt;&gt;"&amp;$BH16,Gefahrstoffverzeichnis!$CB:$CB,"&lt;&gt;"&amp;$BF16)</f>
        <v>0</v>
      </c>
      <c r="BN16" s="250" t="s">
        <v>2643</v>
      </c>
      <c r="BO16" s="250">
        <f>SUMIFS(Gefahrstoffverzeichnis!$AU:$AU,Gefahrstoffverzeichnis!$BY:$BY,"Liter",Gefahrstoffverzeichnis!$AP:$AP,Lager!$B16,Gefahrstoffverzeichnis!$CB:$CB,$BN16,Gefahrstoffverzeichnis!$CB:$CB,"&lt;&gt;"&amp;$BL16,Gefahrstoffverzeichnis!$CB:$CB,"&lt;&gt;"&amp;$BJ16,Gefahrstoffverzeichnis!$CB:$CB,"&lt;&gt;"&amp;$BH16,Gefahrstoffverzeichnis!$CB:$CB,"&lt;&gt;"&amp;$BF16)</f>
        <v>0</v>
      </c>
      <c r="BP16" s="304" t="str">
        <f t="shared" si="12"/>
        <v/>
      </c>
      <c r="BQ16" s="250" t="s">
        <v>2639</v>
      </c>
      <c r="BR16" s="250">
        <f>SUMIFS(Gefahrstoffverzeichnis!$AU:$AU,Gefahrstoffverzeichnis!$BY:$BY,"kg",Gefahrstoffverzeichnis!$AP:$AP,Lager!$B16,Gefahrstoffverzeichnis!$CB:$CB,$BQ16)</f>
        <v>0</v>
      </c>
      <c r="BS16" s="250" t="s">
        <v>2640</v>
      </c>
      <c r="BT16" s="250">
        <f>SUMIFS(Gefahrstoffverzeichnis!$AU:$AU,Gefahrstoffverzeichnis!$BY:$BY,"kg",Gefahrstoffverzeichnis!$AP:$AP,Lager!$B16,Gefahrstoffverzeichnis!$CB:$CB,$BS16,Gefahrstoffverzeichnis!$CB:$CB,"&lt;&gt;"&amp;$BQ16)</f>
        <v>0</v>
      </c>
      <c r="BU16" s="250" t="s">
        <v>2644</v>
      </c>
      <c r="BV16" s="250">
        <f>SUMIFS(Gefahrstoffverzeichnis!$AU:$AU,Gefahrstoffverzeichnis!$BY:$BY,"kg",Gefahrstoffverzeichnis!$AP:$AP,Lager!$B16,Gefahrstoffverzeichnis!$CB:$CB,$BU16,Gefahrstoffverzeichnis!$CB:$CB,"&lt;&gt;"&amp;$BS16,Gefahrstoffverzeichnis!$CB:$CB,"&lt;&gt;"&amp;$BQ16)</f>
        <v>0</v>
      </c>
      <c r="BW16" s="250" t="s">
        <v>2645</v>
      </c>
      <c r="BX16" s="250">
        <f>SUMIFS(Gefahrstoffverzeichnis!$AU:$AU,Gefahrstoffverzeichnis!$BY:$BY,"kg",Gefahrstoffverzeichnis!$AP:$AP,Lager!$B16,Gefahrstoffverzeichnis!$CB:$CB,$BW16,Gefahrstoffverzeichnis!$CB:$CB,"&lt;&gt;"&amp;$BU16,Gefahrstoffverzeichnis!$CB:$CB,"&lt;&gt;"&amp;$BS16,Gefahrstoffverzeichnis!$CB:$CB,"&lt;&gt;"&amp;$BQ16)</f>
        <v>0</v>
      </c>
      <c r="BY16" s="304" t="str">
        <f t="shared" si="13"/>
        <v/>
      </c>
      <c r="BZ16" s="249" t="s">
        <v>2646</v>
      </c>
      <c r="CA16" s="250">
        <f>SUMIFS(Gefahrstoffverzeichnis!$AU:$AU,Gefahrstoffverzeichnis!$BY:$BY,"kg",Gefahrstoffverzeichnis!$AP:$AP,Lager!$B16,Gefahrstoffverzeichnis!$CB:$CB,$BZ16)</f>
        <v>0</v>
      </c>
      <c r="CB16" s="249" t="s">
        <v>2647</v>
      </c>
      <c r="CC16" s="250">
        <f>SUMIFS(Gefahrstoffverzeichnis!$AU:$AU,Gefahrstoffverzeichnis!$BY:$BY,"kg",Gefahrstoffverzeichnis!$AP:$AP,Lager!$B16,Gefahrstoffverzeichnis!$CB:$CB,$CB16,Gefahrstoffverzeichnis!$CB:$CB,"&lt;&gt;"&amp;$BZ16)</f>
        <v>0</v>
      </c>
    </row>
    <row r="17" spans="2:81" ht="18.75" customHeight="1" x14ac:dyDescent="0.3">
      <c r="B17" s="306" t="str">
        <v>*nicht definiert14*</v>
      </c>
      <c r="D17" s="307">
        <f>SUMIFS(Gefahrstoffverzeichnis!$AU:$AU,Gefahrstoffverzeichnis!$BY:$BY,"kg",Gefahrstoffverzeichnis!$AP:$AP,Lager!$B17)</f>
        <v>0</v>
      </c>
      <c r="F17" s="248" t="str">
        <f t="shared" si="0"/>
        <v/>
      </c>
      <c r="G17" s="249" t="s">
        <v>2619</v>
      </c>
      <c r="H17" s="250">
        <f>SUMIFS(Gefahrstoffverzeichnis!$AU:$AU,Gefahrstoffverzeichnis!$BY:$BY,"kg",Gefahrstoffverzeichnis!$AP:$AP,Lager!$B17,Gefahrstoffverzeichnis!$CC:$CC,$G17)</f>
        <v>0</v>
      </c>
      <c r="I17" s="249" t="s">
        <v>2620</v>
      </c>
      <c r="J17" s="250">
        <f>SUMIFS(Gefahrstoffverzeichnis!$AU:$AU,Gefahrstoffverzeichnis!$BY:$BY,"kg",Gefahrstoffverzeichnis!$AP:$AP,Lager!$B17,Gefahrstoffverzeichnis!$CC:$CC,$I17,Gefahrstoffverzeichnis!$CC:$CC,"&lt;&gt;"&amp;$G17)</f>
        <v>0</v>
      </c>
      <c r="K17" s="249" t="s">
        <v>2621</v>
      </c>
      <c r="L17" s="250">
        <f>SUMIFS(Gefahrstoffverzeichnis!$AU:$AU,Gefahrstoffverzeichnis!$BY:$BY,"kg",Gefahrstoffverzeichnis!$AP:$AP,Lager!$B17,Gefahrstoffverzeichnis!$CC:$CC,$K17,Gefahrstoffverzeichnis!$CC:$CC,"&lt;&gt;"&amp;$I17,Gefahrstoffverzeichnis!$CC:$CC,"&lt;&gt;"&amp;$G17)</f>
        <v>0</v>
      </c>
      <c r="M17" s="249" t="s">
        <v>2622</v>
      </c>
      <c r="N17" s="250">
        <f>SUMIFS(Gefahrstoffverzeichnis!$AU:$AU,Gefahrstoffverzeichnis!$BY:$BY,"kg",Gefahrstoffverzeichnis!$AP:$AP,Lager!$B17,Gefahrstoffverzeichnis!$CC:$CC,$M17,Gefahrstoffverzeichnis!$CC:$CC,"&lt;&gt;"&amp;$K17,Gefahrstoffverzeichnis!$CC:$CC,"&lt;&gt;"&amp;$I17,Gefahrstoffverzeichnis!$CC:$CC,"&lt;&gt;"&amp;$G17)</f>
        <v>0</v>
      </c>
      <c r="O17" s="249" t="s">
        <v>2623</v>
      </c>
      <c r="P17" s="250">
        <f>SUMIFS(Gefahrstoffverzeichnis!$AU:$AU,Gefahrstoffverzeichnis!$BY:$BY,"kg",Gefahrstoffverzeichnis!$AP:$AP,Lager!$B17,Gefahrstoffverzeichnis!$CC:$CC,$O17,Gefahrstoffverzeichnis!$CC:$CC,"&lt;&gt;"&amp;$M17,Gefahrstoffverzeichnis!$CC:$CC,"&lt;&gt;"&amp;$K17,Gefahrstoffverzeichnis!$CC:$CC,"&lt;&gt;"&amp;$I17,Gefahrstoffverzeichnis!$CC:$CC,"&lt;&gt;"&amp;$G17)</f>
        <v>0</v>
      </c>
      <c r="Q17" s="249" t="s">
        <v>2624</v>
      </c>
      <c r="R17" s="250">
        <f>SUMIFS(Gefahrstoffverzeichnis!$AU:$AU,Gefahrstoffverzeichnis!$BY:$BY,"kg",Gefahrstoffverzeichnis!$AP:$AP,Lager!$B17,Gefahrstoffverzeichnis!$CC:$CC,$Q$5,Gefahrstoffverzeichnis!$CC:$CC,"&lt;&gt;"&amp;$O17,Gefahrstoffverzeichnis!$CC:$CC,"&lt;&gt;"&amp;$M17,Gefahrstoffverzeichnis!$CC:$CC,"&lt;&gt;"&amp;$K17,Gefahrstoffverzeichnis!$CC:$CC,"&lt;&gt;"&amp;$I17,Gefahrstoffverzeichnis!$CC:$CC,"&lt;&gt;"&amp;$G17)</f>
        <v>0</v>
      </c>
      <c r="S17" s="248" t="str">
        <f t="shared" si="1"/>
        <v/>
      </c>
      <c r="T17" s="249" t="s">
        <v>2625</v>
      </c>
      <c r="U17" s="250">
        <f>SUMIFS(Gefahrstoffverzeichnis!$AU:$AU,Gefahrstoffverzeichnis!$BY:$BY,"kg",Gefahrstoffverzeichnis!$AP:$AP,Lager!$B17,Gefahrstoffverzeichnis!$CC:$CC,$T17)</f>
        <v>0</v>
      </c>
      <c r="V17" s="249" t="s">
        <v>2626</v>
      </c>
      <c r="W17" s="250">
        <f>SUMIFS(Gefahrstoffverzeichnis!$AU:$AU,Gefahrstoffverzeichnis!$BY:$BY,"kg",Gefahrstoffverzeichnis!$AP:$AP,Lager!$B17,Gefahrstoffverzeichnis!$CC:$CC,$V17,Gefahrstoffverzeichnis!$CC:$CC,"&lt;&gt;"&amp;$T17)</f>
        <v>0</v>
      </c>
      <c r="X17" s="248" t="str">
        <f t="shared" si="2"/>
        <v/>
      </c>
      <c r="Y17" s="249" t="s">
        <v>2627</v>
      </c>
      <c r="Z17" s="250">
        <f>SUMIFS(Gefahrstoffverzeichnis!$AU:$AU,Gefahrstoffverzeichnis!$BY:$BY,"kg",Gefahrstoffverzeichnis!$AP:$AP,Lager!$B17,Gefahrstoffverzeichnis!$CC:$CC,$Y17)</f>
        <v>0</v>
      </c>
      <c r="AA17" s="249" t="s">
        <v>2628</v>
      </c>
      <c r="AB17" s="250">
        <f>SUMIFS(Gefahrstoffverzeichnis!$AU:$AU,Gefahrstoffverzeichnis!$BY:$BY,"kg",Gefahrstoffverzeichnis!$AP:$AP,Lager!$B17,Gefahrstoffverzeichnis!$CC:$CC,$AA17,Gefahrstoffverzeichnis!$CC:$CC,"&lt;&gt;"&amp;$Y17)</f>
        <v>0</v>
      </c>
      <c r="AC17" s="248" t="str">
        <f t="shared" si="3"/>
        <v/>
      </c>
      <c r="AD17" s="249" t="s">
        <v>2629</v>
      </c>
      <c r="AE17" s="250">
        <f>SUMIFS(Gefahrstoffverzeichnis!$AU:$AU,Gefahrstoffverzeichnis!$BY:$BY,"kg",Gefahrstoffverzeichnis!$AP:$AP,Lager!$B17,Gefahrstoffverzeichnis!$CB:$CB,$AD17)</f>
        <v>0</v>
      </c>
      <c r="AF17" s="249" t="s">
        <v>2630</v>
      </c>
      <c r="AG17" s="250">
        <f>SUMIFS(Gefahrstoffverzeichnis!$AU:$AU,Gefahrstoffverzeichnis!$BY:$BY,"kg",Gefahrstoffverzeichnis!$AP:$AP,Lager!$B17,Gefahrstoffverzeichnis!$CB:$CB,$AF17,Gefahrstoffverzeichnis!$CB:$CB,"&lt;&gt;"&amp;$AD17)</f>
        <v>0</v>
      </c>
      <c r="AH17" s="248" t="str">
        <f t="shared" si="4"/>
        <v/>
      </c>
      <c r="AI17" s="249" t="s">
        <v>2631</v>
      </c>
      <c r="AJ17" s="250">
        <f>SUMIFS(Gefahrstoffverzeichnis!$AU:$AU,Gefahrstoffverzeichnis!$BY:$BY,"kg",Gefahrstoffverzeichnis!$AP:$AP,Lager!$B17,Gefahrstoffverzeichnis!$CB:$CB,$AI17)</f>
        <v>0</v>
      </c>
      <c r="AK17" s="248" t="str">
        <f t="shared" si="5"/>
        <v/>
      </c>
      <c r="AL17" s="249" t="s">
        <v>2632</v>
      </c>
      <c r="AM17" s="250">
        <f>SUMIFS(Gefahrstoffverzeichnis!$AU:$AU,Gefahrstoffverzeichnis!$BY:$BY,"kg",Gefahrstoffverzeichnis!$AP:$AP,Lager!$B17,Gefahrstoffverzeichnis!$CB:$CB,$AL17)</f>
        <v>0</v>
      </c>
      <c r="AN17" s="248" t="str">
        <f t="shared" si="6"/>
        <v/>
      </c>
      <c r="AO17" s="249" t="s">
        <v>2633</v>
      </c>
      <c r="AP17" s="250">
        <f>SUMIFS(Gefahrstoffverzeichnis!$AU:$AU,Gefahrstoffverzeichnis!$BY:$BY,"kg",Gefahrstoffverzeichnis!$AP:$AP,Lager!$B17,Gefahrstoffverzeichnis!$CB:$CB,$AO17)</f>
        <v>0</v>
      </c>
      <c r="AQ17" s="248" t="str">
        <f t="shared" si="7"/>
        <v/>
      </c>
      <c r="AR17" s="249" t="s">
        <v>2634</v>
      </c>
      <c r="AS17" s="250">
        <f>SUMIFS(Gefahrstoffverzeichnis!$AU:$AU,Gefahrstoffverzeichnis!$BY:$BY,"kg",Gefahrstoffverzeichnis!$AP:$AP,Lager!$B17,Gefahrstoffverzeichnis!$CB:$CB,$AR17)</f>
        <v>0</v>
      </c>
      <c r="AT17" s="249" t="s">
        <v>2635</v>
      </c>
      <c r="AU17" s="250">
        <f>SUMIFS(Gefahrstoffverzeichnis!$AU:$AU,Gefahrstoffverzeichnis!$BY:$BY,"kg",Gefahrstoffverzeichnis!$AP:$AP,Lager!$B17,Gefahrstoffverzeichnis!$CB:$CB,$AT17,Gefahrstoffverzeichnis!$CB:$CB,"&lt;&gt;"&amp;$AR17)</f>
        <v>0</v>
      </c>
      <c r="AV17" s="248" t="str">
        <f t="shared" si="8"/>
        <v/>
      </c>
      <c r="AW17" s="249" t="s">
        <v>2636</v>
      </c>
      <c r="AX17" s="250">
        <f>SUMIFS(Gefahrstoffverzeichnis!$AU:$AU,Gefahrstoffverzeichnis!$BY:$BY,"kg",Gefahrstoffverzeichnis!$AP:$AP,Lager!$B17,Gefahrstoffverzeichnis!$CB:$CB,$AW17)</f>
        <v>0</v>
      </c>
      <c r="AY17" s="248" t="str">
        <f t="shared" si="9"/>
        <v/>
      </c>
      <c r="AZ17" s="249" t="s">
        <v>2637</v>
      </c>
      <c r="BA17" s="250">
        <f>SUMIFS(Gefahrstoffverzeichnis!$AU:$AU,Gefahrstoffverzeichnis!$BY:$BY,"kg",Gefahrstoffverzeichnis!$AP:$AP,Lager!$B17,Gefahrstoffverzeichnis!$CB:$CB,$AZ17)</f>
        <v>0</v>
      </c>
      <c r="BB17" s="248" t="str">
        <f t="shared" si="10"/>
        <v/>
      </c>
      <c r="BC17" s="249" t="s">
        <v>2638</v>
      </c>
      <c r="BD17" s="250">
        <f>SUMIFS(Gefahrstoffverzeichnis!$AU:$AU,Gefahrstoffverzeichnis!$BY:$BY,"kg",Gefahrstoffverzeichnis!$AP:$AP,Lager!$B17,Gefahrstoffverzeichnis!$CB:$CB,$BC17)</f>
        <v>0</v>
      </c>
      <c r="BE17" s="248" t="str">
        <f t="shared" si="11"/>
        <v/>
      </c>
      <c r="BF17" s="249" t="s">
        <v>2639</v>
      </c>
      <c r="BG17" s="250">
        <f>SUMIFS(Gefahrstoffverzeichnis!$AU:$AU,Gefahrstoffverzeichnis!$BY:$BY,"Liter",Gefahrstoffverzeichnis!$AP:$AP,Lager!$B17,Gefahrstoffverzeichnis!$CB:$CB,$BF17)</f>
        <v>0</v>
      </c>
      <c r="BH17" s="249" t="s">
        <v>2640</v>
      </c>
      <c r="BI17" s="250">
        <f>SUMIFS(Gefahrstoffverzeichnis!$AU:$AU,Gefahrstoffverzeichnis!$BY:$BY,"Liter",Gefahrstoffverzeichnis!$AP:$AP,Lager!$B17,Gefahrstoffverzeichnis!$CB:$CB,$BH17,Gefahrstoffverzeichnis!$CB:$CB,"&lt;&gt;"&amp;$BF17)</f>
        <v>0</v>
      </c>
      <c r="BJ17" s="249" t="s">
        <v>2641</v>
      </c>
      <c r="BK17" s="250">
        <f>SUMIFS(Gefahrstoffverzeichnis!$AU:$AU,Gefahrstoffverzeichnis!$BY:$BY,"Liter",Gefahrstoffverzeichnis!$AP:$AP,Lager!$B17,Gefahrstoffverzeichnis!$CB:$CB,$BJ17,Gefahrstoffverzeichnis!$CB:$CB,"&lt;&gt;"&amp;$BH17,Gefahrstoffverzeichnis!$CB:$CB,"&lt;&gt;"&amp;$BF17)</f>
        <v>0</v>
      </c>
      <c r="BL17" s="249" t="s">
        <v>2642</v>
      </c>
      <c r="BM17" s="250">
        <f>SUMIFS(Gefahrstoffverzeichnis!$AU:$AU,Gefahrstoffverzeichnis!$BY:$BY,"Liter",Gefahrstoffverzeichnis!$AP:$AP,Lager!$B17,Gefahrstoffverzeichnis!$CB:$CB,$BL17,Gefahrstoffverzeichnis!$CB:$CB,"&lt;&gt;"&amp;$BJ17,Gefahrstoffverzeichnis!$CB:$CB,"&lt;&gt;"&amp;$BH17,Gefahrstoffverzeichnis!$CB:$CB,"&lt;&gt;"&amp;$BF17)</f>
        <v>0</v>
      </c>
      <c r="BN17" s="249" t="s">
        <v>2643</v>
      </c>
      <c r="BO17" s="250">
        <f>SUMIFS(Gefahrstoffverzeichnis!$AU:$AU,Gefahrstoffverzeichnis!$BY:$BY,"Liter",Gefahrstoffverzeichnis!$AP:$AP,Lager!$B17,Gefahrstoffverzeichnis!$CB:$CB,$BN17,Gefahrstoffverzeichnis!$CB:$CB,"&lt;&gt;"&amp;$BL17,Gefahrstoffverzeichnis!$CB:$CB,"&lt;&gt;"&amp;$BJ17,Gefahrstoffverzeichnis!$CB:$CB,"&lt;&gt;"&amp;$BH17,Gefahrstoffverzeichnis!$CB:$CB,"&lt;&gt;"&amp;$BF17)</f>
        <v>0</v>
      </c>
      <c r="BP17" s="248" t="str">
        <f t="shared" si="12"/>
        <v/>
      </c>
      <c r="BQ17" s="249" t="s">
        <v>2639</v>
      </c>
      <c r="BR17" s="250">
        <f>SUMIFS(Gefahrstoffverzeichnis!$AU:$AU,Gefahrstoffverzeichnis!$BY:$BY,"kg",Gefahrstoffverzeichnis!$AP:$AP,Lager!$B17,Gefahrstoffverzeichnis!$CB:$CB,$BQ17)</f>
        <v>0</v>
      </c>
      <c r="BS17" s="249" t="s">
        <v>2640</v>
      </c>
      <c r="BT17" s="250">
        <f>SUMIFS(Gefahrstoffverzeichnis!$AU:$AU,Gefahrstoffverzeichnis!$BY:$BY,"kg",Gefahrstoffverzeichnis!$AP:$AP,Lager!$B17,Gefahrstoffverzeichnis!$CB:$CB,$BS17,Gefahrstoffverzeichnis!$CB:$CB,"&lt;&gt;"&amp;$BQ17)</f>
        <v>0</v>
      </c>
      <c r="BU17" s="249" t="s">
        <v>2644</v>
      </c>
      <c r="BV17" s="250">
        <f>SUMIFS(Gefahrstoffverzeichnis!$AU:$AU,Gefahrstoffverzeichnis!$BY:$BY,"kg",Gefahrstoffverzeichnis!$AP:$AP,Lager!$B17,Gefahrstoffverzeichnis!$CB:$CB,$BU17,Gefahrstoffverzeichnis!$CB:$CB,"&lt;&gt;"&amp;$BS17,Gefahrstoffverzeichnis!$CB:$CB,"&lt;&gt;"&amp;$BQ17)</f>
        <v>0</v>
      </c>
      <c r="BW17" s="249" t="s">
        <v>2645</v>
      </c>
      <c r="BX17" s="250">
        <f>SUMIFS(Gefahrstoffverzeichnis!$AU:$AU,Gefahrstoffverzeichnis!$BY:$BY,"kg",Gefahrstoffverzeichnis!$AP:$AP,Lager!$B17,Gefahrstoffverzeichnis!$CB:$CB,$BW17,Gefahrstoffverzeichnis!$CB:$CB,"&lt;&gt;"&amp;$BU17,Gefahrstoffverzeichnis!$CB:$CB,"&lt;&gt;"&amp;$BS17,Gefahrstoffverzeichnis!$CB:$CB,"&lt;&gt;"&amp;$BQ17)</f>
        <v>0</v>
      </c>
      <c r="BY17" s="248" t="str">
        <f t="shared" si="13"/>
        <v/>
      </c>
      <c r="BZ17" s="249" t="s">
        <v>2646</v>
      </c>
      <c r="CA17" s="250">
        <f>SUMIFS(Gefahrstoffverzeichnis!$AU:$AU,Gefahrstoffverzeichnis!$BY:$BY,"kg",Gefahrstoffverzeichnis!$AP:$AP,Lager!$B17,Gefahrstoffverzeichnis!$CB:$CB,$BZ17)</f>
        <v>0</v>
      </c>
      <c r="CB17" s="249" t="s">
        <v>2647</v>
      </c>
      <c r="CC17" s="250">
        <f>SUMIFS(Gefahrstoffverzeichnis!$AU:$AU,Gefahrstoffverzeichnis!$BY:$BY,"kg",Gefahrstoffverzeichnis!$AP:$AP,Lager!$B17,Gefahrstoffverzeichnis!$CB:$CB,$CB17,Gefahrstoffverzeichnis!$CB:$CB,"&lt;&gt;"&amp;$BZ17)</f>
        <v>0</v>
      </c>
    </row>
    <row r="18" spans="2:81" ht="18.75" customHeight="1" x14ac:dyDescent="0.3">
      <c r="B18" s="306" t="str">
        <v>*nicht definiert15*</v>
      </c>
      <c r="C18" s="303"/>
      <c r="D18" s="308">
        <f>SUMIFS(Gefahrstoffverzeichnis!$AU:$AU,Gefahrstoffverzeichnis!$BY:$BY,"kg",Gefahrstoffverzeichnis!$AP:$AP,Lager!$B18)</f>
        <v>0</v>
      </c>
      <c r="E18" s="303"/>
      <c r="F18" s="304" t="str">
        <f t="shared" si="0"/>
        <v/>
      </c>
      <c r="G18" s="250" t="s">
        <v>2619</v>
      </c>
      <c r="H18" s="250">
        <f>SUMIFS(Gefahrstoffverzeichnis!$AU:$AU,Gefahrstoffverzeichnis!$BY:$BY,"kg",Gefahrstoffverzeichnis!$AP:$AP,Lager!$B18,Gefahrstoffverzeichnis!$CC:$CC,$G18)</f>
        <v>0</v>
      </c>
      <c r="I18" s="250" t="s">
        <v>2620</v>
      </c>
      <c r="J18" s="250">
        <f>SUMIFS(Gefahrstoffverzeichnis!$AU:$AU,Gefahrstoffverzeichnis!$BY:$BY,"kg",Gefahrstoffverzeichnis!$AP:$AP,Lager!$B18,Gefahrstoffverzeichnis!$CC:$CC,$I18,Gefahrstoffverzeichnis!$CC:$CC,"&lt;&gt;"&amp;$G18)</f>
        <v>0</v>
      </c>
      <c r="K18" s="250" t="s">
        <v>2621</v>
      </c>
      <c r="L18" s="250">
        <f>SUMIFS(Gefahrstoffverzeichnis!$AU:$AU,Gefahrstoffverzeichnis!$BY:$BY,"kg",Gefahrstoffverzeichnis!$AP:$AP,Lager!$B18,Gefahrstoffverzeichnis!$CC:$CC,$K18,Gefahrstoffverzeichnis!$CC:$CC,"&lt;&gt;"&amp;$I18,Gefahrstoffverzeichnis!$CC:$CC,"&lt;&gt;"&amp;$G18)</f>
        <v>0</v>
      </c>
      <c r="M18" s="250" t="s">
        <v>2622</v>
      </c>
      <c r="N18" s="250">
        <f>SUMIFS(Gefahrstoffverzeichnis!$AU:$AU,Gefahrstoffverzeichnis!$BY:$BY,"kg",Gefahrstoffverzeichnis!$AP:$AP,Lager!$B18,Gefahrstoffverzeichnis!$CC:$CC,$M18,Gefahrstoffverzeichnis!$CC:$CC,"&lt;&gt;"&amp;$K18,Gefahrstoffverzeichnis!$CC:$CC,"&lt;&gt;"&amp;$I18,Gefahrstoffverzeichnis!$CC:$CC,"&lt;&gt;"&amp;$G18)</f>
        <v>0</v>
      </c>
      <c r="O18" s="250" t="s">
        <v>2623</v>
      </c>
      <c r="P18" s="250">
        <f>SUMIFS(Gefahrstoffverzeichnis!$AU:$AU,Gefahrstoffverzeichnis!$BY:$BY,"kg",Gefahrstoffverzeichnis!$AP:$AP,Lager!$B18,Gefahrstoffverzeichnis!$CC:$CC,$O18,Gefahrstoffverzeichnis!$CC:$CC,"&lt;&gt;"&amp;$M18,Gefahrstoffverzeichnis!$CC:$CC,"&lt;&gt;"&amp;$K18,Gefahrstoffverzeichnis!$CC:$CC,"&lt;&gt;"&amp;$I18,Gefahrstoffverzeichnis!$CC:$CC,"&lt;&gt;"&amp;$G18)</f>
        <v>0</v>
      </c>
      <c r="Q18" s="250" t="s">
        <v>2624</v>
      </c>
      <c r="R18" s="250">
        <f>SUMIFS(Gefahrstoffverzeichnis!$AU:$AU,Gefahrstoffverzeichnis!$BY:$BY,"kg",Gefahrstoffverzeichnis!$AP:$AP,Lager!$B18,Gefahrstoffverzeichnis!$CC:$CC,$Q$5,Gefahrstoffverzeichnis!$CC:$CC,"&lt;&gt;"&amp;$O18,Gefahrstoffverzeichnis!$CC:$CC,"&lt;&gt;"&amp;$M18,Gefahrstoffverzeichnis!$CC:$CC,"&lt;&gt;"&amp;$K18,Gefahrstoffverzeichnis!$CC:$CC,"&lt;&gt;"&amp;$I18,Gefahrstoffverzeichnis!$CC:$CC,"&lt;&gt;"&amp;$G18)</f>
        <v>0</v>
      </c>
      <c r="S18" s="304" t="str">
        <f t="shared" si="1"/>
        <v/>
      </c>
      <c r="T18" s="250" t="s">
        <v>2625</v>
      </c>
      <c r="U18" s="250">
        <f>SUMIFS(Gefahrstoffverzeichnis!$AU:$AU,Gefahrstoffverzeichnis!$BY:$BY,"kg",Gefahrstoffverzeichnis!$AP:$AP,Lager!$B18,Gefahrstoffverzeichnis!$CC:$CC,$T18)</f>
        <v>0</v>
      </c>
      <c r="V18" s="250" t="s">
        <v>2626</v>
      </c>
      <c r="W18" s="250">
        <f>SUMIFS(Gefahrstoffverzeichnis!$AU:$AU,Gefahrstoffverzeichnis!$BY:$BY,"kg",Gefahrstoffverzeichnis!$AP:$AP,Lager!$B18,Gefahrstoffverzeichnis!$CC:$CC,$V18,Gefahrstoffverzeichnis!$CC:$CC,"&lt;&gt;"&amp;$T18)</f>
        <v>0</v>
      </c>
      <c r="X18" s="304" t="str">
        <f t="shared" si="2"/>
        <v/>
      </c>
      <c r="Y18" s="250" t="s">
        <v>2627</v>
      </c>
      <c r="Z18" s="250">
        <f>SUMIFS(Gefahrstoffverzeichnis!$AU:$AU,Gefahrstoffverzeichnis!$BY:$BY,"kg",Gefahrstoffverzeichnis!$AP:$AP,Lager!$B18,Gefahrstoffverzeichnis!$CC:$CC,$Y18)</f>
        <v>0</v>
      </c>
      <c r="AA18" s="250" t="s">
        <v>2628</v>
      </c>
      <c r="AB18" s="250">
        <f>SUMIFS(Gefahrstoffverzeichnis!$AU:$AU,Gefahrstoffverzeichnis!$BY:$BY,"kg",Gefahrstoffverzeichnis!$AP:$AP,Lager!$B18,Gefahrstoffverzeichnis!$CC:$CC,$AA18,Gefahrstoffverzeichnis!$CC:$CC,"&lt;&gt;"&amp;$Y18)</f>
        <v>0</v>
      </c>
      <c r="AC18" s="304" t="str">
        <f t="shared" si="3"/>
        <v/>
      </c>
      <c r="AD18" s="250" t="s">
        <v>2629</v>
      </c>
      <c r="AE18" s="250">
        <f>SUMIFS(Gefahrstoffverzeichnis!$AU:$AU,Gefahrstoffverzeichnis!$BY:$BY,"kg",Gefahrstoffverzeichnis!$AP:$AP,Lager!$B18,Gefahrstoffverzeichnis!$CB:$CB,$AD18)</f>
        <v>0</v>
      </c>
      <c r="AF18" s="250" t="s">
        <v>2630</v>
      </c>
      <c r="AG18" s="250">
        <f>SUMIFS(Gefahrstoffverzeichnis!$AU:$AU,Gefahrstoffverzeichnis!$BY:$BY,"kg",Gefahrstoffverzeichnis!$AP:$AP,Lager!$B18,Gefahrstoffverzeichnis!$CB:$CB,$AF18,Gefahrstoffverzeichnis!$CB:$CB,"&lt;&gt;"&amp;$AD18)</f>
        <v>0</v>
      </c>
      <c r="AH18" s="304" t="str">
        <f t="shared" si="4"/>
        <v/>
      </c>
      <c r="AI18" s="250" t="s">
        <v>2631</v>
      </c>
      <c r="AJ18" s="250">
        <f>SUMIFS(Gefahrstoffverzeichnis!$AU:$AU,Gefahrstoffverzeichnis!$BY:$BY,"kg",Gefahrstoffverzeichnis!$AP:$AP,Lager!$B18,Gefahrstoffverzeichnis!$CB:$CB,$AI18)</f>
        <v>0</v>
      </c>
      <c r="AK18" s="304" t="str">
        <f t="shared" si="5"/>
        <v/>
      </c>
      <c r="AL18" s="250" t="s">
        <v>2632</v>
      </c>
      <c r="AM18" s="250">
        <f>SUMIFS(Gefahrstoffverzeichnis!$AU:$AU,Gefahrstoffverzeichnis!$BY:$BY,"kg",Gefahrstoffverzeichnis!$AP:$AP,Lager!$B18,Gefahrstoffverzeichnis!$CB:$CB,$AL18)</f>
        <v>0</v>
      </c>
      <c r="AN18" s="304" t="str">
        <f t="shared" si="6"/>
        <v/>
      </c>
      <c r="AO18" s="250" t="s">
        <v>2633</v>
      </c>
      <c r="AP18" s="250">
        <f>SUMIFS(Gefahrstoffverzeichnis!$AU:$AU,Gefahrstoffverzeichnis!$BY:$BY,"kg",Gefahrstoffverzeichnis!$AP:$AP,Lager!$B18,Gefahrstoffverzeichnis!$CB:$CB,$AO18)</f>
        <v>0</v>
      </c>
      <c r="AQ18" s="304" t="str">
        <f t="shared" si="7"/>
        <v/>
      </c>
      <c r="AR18" s="250" t="s">
        <v>2634</v>
      </c>
      <c r="AS18" s="250">
        <f>SUMIFS(Gefahrstoffverzeichnis!$AU:$AU,Gefahrstoffverzeichnis!$BY:$BY,"kg",Gefahrstoffverzeichnis!$AP:$AP,Lager!$B18,Gefahrstoffverzeichnis!$CB:$CB,$AR18)</f>
        <v>0</v>
      </c>
      <c r="AT18" s="250" t="s">
        <v>2635</v>
      </c>
      <c r="AU18" s="250">
        <f>SUMIFS(Gefahrstoffverzeichnis!$AU:$AU,Gefahrstoffverzeichnis!$BY:$BY,"kg",Gefahrstoffverzeichnis!$AP:$AP,Lager!$B18,Gefahrstoffverzeichnis!$CB:$CB,$AT18,Gefahrstoffverzeichnis!$CB:$CB,"&lt;&gt;"&amp;$AR18)</f>
        <v>0</v>
      </c>
      <c r="AV18" s="304" t="str">
        <f t="shared" si="8"/>
        <v/>
      </c>
      <c r="AW18" s="250" t="s">
        <v>2636</v>
      </c>
      <c r="AX18" s="250">
        <f>SUMIFS(Gefahrstoffverzeichnis!$AU:$AU,Gefahrstoffverzeichnis!$BY:$BY,"kg",Gefahrstoffverzeichnis!$AP:$AP,Lager!$B18,Gefahrstoffverzeichnis!$CB:$CB,$AW18)</f>
        <v>0</v>
      </c>
      <c r="AY18" s="304" t="str">
        <f t="shared" si="9"/>
        <v/>
      </c>
      <c r="AZ18" s="250" t="s">
        <v>2637</v>
      </c>
      <c r="BA18" s="250">
        <f>SUMIFS(Gefahrstoffverzeichnis!$AU:$AU,Gefahrstoffverzeichnis!$BY:$BY,"kg",Gefahrstoffverzeichnis!$AP:$AP,Lager!$B18,Gefahrstoffverzeichnis!$CB:$CB,$AZ18)</f>
        <v>0</v>
      </c>
      <c r="BB18" s="304" t="str">
        <f t="shared" si="10"/>
        <v/>
      </c>
      <c r="BC18" s="250" t="s">
        <v>2638</v>
      </c>
      <c r="BD18" s="250">
        <f>SUMIFS(Gefahrstoffverzeichnis!$AU:$AU,Gefahrstoffverzeichnis!$BY:$BY,"kg",Gefahrstoffverzeichnis!$AP:$AP,Lager!$B18,Gefahrstoffverzeichnis!$CB:$CB,$BC18)</f>
        <v>0</v>
      </c>
      <c r="BE18" s="304" t="str">
        <f t="shared" si="11"/>
        <v/>
      </c>
      <c r="BF18" s="250" t="s">
        <v>2639</v>
      </c>
      <c r="BG18" s="250">
        <f>SUMIFS(Gefahrstoffverzeichnis!$AU:$AU,Gefahrstoffverzeichnis!$BY:$BY,"Liter",Gefahrstoffverzeichnis!$AP:$AP,Lager!$B18,Gefahrstoffverzeichnis!$CB:$CB,$BF18)</f>
        <v>0</v>
      </c>
      <c r="BH18" s="250" t="s">
        <v>2640</v>
      </c>
      <c r="BI18" s="250">
        <f>SUMIFS(Gefahrstoffverzeichnis!$AU:$AU,Gefahrstoffverzeichnis!$BY:$BY,"Liter",Gefahrstoffverzeichnis!$AP:$AP,Lager!$B18,Gefahrstoffverzeichnis!$CB:$CB,$BH18,Gefahrstoffverzeichnis!$CB:$CB,"&lt;&gt;"&amp;$BF18)</f>
        <v>0</v>
      </c>
      <c r="BJ18" s="250" t="s">
        <v>2641</v>
      </c>
      <c r="BK18" s="250">
        <f>SUMIFS(Gefahrstoffverzeichnis!$AU:$AU,Gefahrstoffverzeichnis!$BY:$BY,"Liter",Gefahrstoffverzeichnis!$AP:$AP,Lager!$B18,Gefahrstoffverzeichnis!$CB:$CB,$BJ18,Gefahrstoffverzeichnis!$CB:$CB,"&lt;&gt;"&amp;$BH18,Gefahrstoffverzeichnis!$CB:$CB,"&lt;&gt;"&amp;$BF18)</f>
        <v>0</v>
      </c>
      <c r="BL18" s="250" t="s">
        <v>2642</v>
      </c>
      <c r="BM18" s="250">
        <f>SUMIFS(Gefahrstoffverzeichnis!$AU:$AU,Gefahrstoffverzeichnis!$BY:$BY,"Liter",Gefahrstoffverzeichnis!$AP:$AP,Lager!$B18,Gefahrstoffverzeichnis!$CB:$CB,$BL18,Gefahrstoffverzeichnis!$CB:$CB,"&lt;&gt;"&amp;$BJ18,Gefahrstoffverzeichnis!$CB:$CB,"&lt;&gt;"&amp;$BH18,Gefahrstoffverzeichnis!$CB:$CB,"&lt;&gt;"&amp;$BF18)</f>
        <v>0</v>
      </c>
      <c r="BN18" s="250" t="s">
        <v>2643</v>
      </c>
      <c r="BO18" s="250">
        <f>SUMIFS(Gefahrstoffverzeichnis!$AU:$AU,Gefahrstoffverzeichnis!$BY:$BY,"Liter",Gefahrstoffverzeichnis!$AP:$AP,Lager!$B18,Gefahrstoffverzeichnis!$CB:$CB,$BN18,Gefahrstoffverzeichnis!$CB:$CB,"&lt;&gt;"&amp;$BL18,Gefahrstoffverzeichnis!$CB:$CB,"&lt;&gt;"&amp;$BJ18,Gefahrstoffverzeichnis!$CB:$CB,"&lt;&gt;"&amp;$BH18,Gefahrstoffverzeichnis!$CB:$CB,"&lt;&gt;"&amp;$BF18)</f>
        <v>0</v>
      </c>
      <c r="BP18" s="304" t="str">
        <f t="shared" si="12"/>
        <v/>
      </c>
      <c r="BQ18" s="250" t="s">
        <v>2639</v>
      </c>
      <c r="BR18" s="250">
        <f>SUMIFS(Gefahrstoffverzeichnis!$AU:$AU,Gefahrstoffverzeichnis!$BY:$BY,"kg",Gefahrstoffverzeichnis!$AP:$AP,Lager!$B18,Gefahrstoffverzeichnis!$CB:$CB,$BQ18)</f>
        <v>0</v>
      </c>
      <c r="BS18" s="250" t="s">
        <v>2640</v>
      </c>
      <c r="BT18" s="250">
        <f>SUMIFS(Gefahrstoffverzeichnis!$AU:$AU,Gefahrstoffverzeichnis!$BY:$BY,"kg",Gefahrstoffverzeichnis!$AP:$AP,Lager!$B18,Gefahrstoffverzeichnis!$CB:$CB,$BS18,Gefahrstoffverzeichnis!$CB:$CB,"&lt;&gt;"&amp;$BQ18)</f>
        <v>0</v>
      </c>
      <c r="BU18" s="250" t="s">
        <v>2644</v>
      </c>
      <c r="BV18" s="250">
        <f>SUMIFS(Gefahrstoffverzeichnis!$AU:$AU,Gefahrstoffverzeichnis!$BY:$BY,"kg",Gefahrstoffverzeichnis!$AP:$AP,Lager!$B18,Gefahrstoffverzeichnis!$CB:$CB,$BU18,Gefahrstoffverzeichnis!$CB:$CB,"&lt;&gt;"&amp;$BS18,Gefahrstoffverzeichnis!$CB:$CB,"&lt;&gt;"&amp;$BQ18)</f>
        <v>0</v>
      </c>
      <c r="BW18" s="250" t="s">
        <v>2645</v>
      </c>
      <c r="BX18" s="250">
        <f>SUMIFS(Gefahrstoffverzeichnis!$AU:$AU,Gefahrstoffverzeichnis!$BY:$BY,"kg",Gefahrstoffverzeichnis!$AP:$AP,Lager!$B18,Gefahrstoffverzeichnis!$CB:$CB,$BW18,Gefahrstoffverzeichnis!$CB:$CB,"&lt;&gt;"&amp;$BU18,Gefahrstoffverzeichnis!$CB:$CB,"&lt;&gt;"&amp;$BS18,Gefahrstoffverzeichnis!$CB:$CB,"&lt;&gt;"&amp;$BQ18)</f>
        <v>0</v>
      </c>
      <c r="BY18" s="304" t="str">
        <f t="shared" si="13"/>
        <v/>
      </c>
      <c r="BZ18" s="249" t="s">
        <v>2646</v>
      </c>
      <c r="CA18" s="250">
        <f>SUMIFS(Gefahrstoffverzeichnis!$AU:$AU,Gefahrstoffverzeichnis!$BY:$BY,"kg",Gefahrstoffverzeichnis!$AP:$AP,Lager!$B18,Gefahrstoffverzeichnis!$CB:$CB,$BZ18)</f>
        <v>0</v>
      </c>
      <c r="CB18" s="249" t="s">
        <v>2647</v>
      </c>
      <c r="CC18" s="250">
        <f>SUMIFS(Gefahrstoffverzeichnis!$AU:$AU,Gefahrstoffverzeichnis!$BY:$BY,"kg",Gefahrstoffverzeichnis!$AP:$AP,Lager!$B18,Gefahrstoffverzeichnis!$CB:$CB,$CB18,Gefahrstoffverzeichnis!$CB:$CB,"&lt;&gt;"&amp;$BZ18)</f>
        <v>0</v>
      </c>
    </row>
    <row r="19" spans="2:81" ht="18.75" customHeight="1" x14ac:dyDescent="0.3">
      <c r="B19" s="306" t="str">
        <v>*nicht definiert16*</v>
      </c>
      <c r="D19" s="307">
        <f>SUMIFS(Gefahrstoffverzeichnis!$AU:$AU,Gefahrstoffverzeichnis!$BY:$BY,"kg",Gefahrstoffverzeichnis!$AP:$AP,Lager!$B19)</f>
        <v>0</v>
      </c>
      <c r="F19" s="248" t="str">
        <f t="shared" si="0"/>
        <v/>
      </c>
      <c r="G19" s="249" t="s">
        <v>2619</v>
      </c>
      <c r="H19" s="250">
        <f>SUMIFS(Gefahrstoffverzeichnis!$AU:$AU,Gefahrstoffverzeichnis!$BY:$BY,"kg",Gefahrstoffverzeichnis!$AP:$AP,Lager!$B19,Gefahrstoffverzeichnis!$CC:$CC,$G19)</f>
        <v>0</v>
      </c>
      <c r="I19" s="249" t="s">
        <v>2620</v>
      </c>
      <c r="J19" s="250">
        <f>SUMIFS(Gefahrstoffverzeichnis!$AU:$AU,Gefahrstoffverzeichnis!$BY:$BY,"kg",Gefahrstoffverzeichnis!$AP:$AP,Lager!$B19,Gefahrstoffverzeichnis!$CC:$CC,$I19,Gefahrstoffverzeichnis!$CC:$CC,"&lt;&gt;"&amp;$G19)</f>
        <v>0</v>
      </c>
      <c r="K19" s="249" t="s">
        <v>2621</v>
      </c>
      <c r="L19" s="250">
        <f>SUMIFS(Gefahrstoffverzeichnis!$AU:$AU,Gefahrstoffverzeichnis!$BY:$BY,"kg",Gefahrstoffverzeichnis!$AP:$AP,Lager!$B19,Gefahrstoffverzeichnis!$CC:$CC,$K19,Gefahrstoffverzeichnis!$CC:$CC,"&lt;&gt;"&amp;$I19,Gefahrstoffverzeichnis!$CC:$CC,"&lt;&gt;"&amp;$G19)</f>
        <v>0</v>
      </c>
      <c r="M19" s="249" t="s">
        <v>2622</v>
      </c>
      <c r="N19" s="250">
        <f>SUMIFS(Gefahrstoffverzeichnis!$AU:$AU,Gefahrstoffverzeichnis!$BY:$BY,"kg",Gefahrstoffverzeichnis!$AP:$AP,Lager!$B19,Gefahrstoffverzeichnis!$CC:$CC,$M19,Gefahrstoffverzeichnis!$CC:$CC,"&lt;&gt;"&amp;$K19,Gefahrstoffverzeichnis!$CC:$CC,"&lt;&gt;"&amp;$I19,Gefahrstoffverzeichnis!$CC:$CC,"&lt;&gt;"&amp;$G19)</f>
        <v>0</v>
      </c>
      <c r="O19" s="249" t="s">
        <v>2623</v>
      </c>
      <c r="P19" s="250">
        <f>SUMIFS(Gefahrstoffverzeichnis!$AU:$AU,Gefahrstoffverzeichnis!$BY:$BY,"kg",Gefahrstoffverzeichnis!$AP:$AP,Lager!$B19,Gefahrstoffverzeichnis!$CC:$CC,$O19,Gefahrstoffverzeichnis!$CC:$CC,"&lt;&gt;"&amp;$M19,Gefahrstoffverzeichnis!$CC:$CC,"&lt;&gt;"&amp;$K19,Gefahrstoffverzeichnis!$CC:$CC,"&lt;&gt;"&amp;$I19,Gefahrstoffverzeichnis!$CC:$CC,"&lt;&gt;"&amp;$G19)</f>
        <v>0</v>
      </c>
      <c r="Q19" s="249" t="s">
        <v>2624</v>
      </c>
      <c r="R19" s="250">
        <f>SUMIFS(Gefahrstoffverzeichnis!$AU:$AU,Gefahrstoffverzeichnis!$BY:$BY,"kg",Gefahrstoffverzeichnis!$AP:$AP,Lager!$B19,Gefahrstoffverzeichnis!$CC:$CC,$Q$5,Gefahrstoffverzeichnis!$CC:$CC,"&lt;&gt;"&amp;$O19,Gefahrstoffverzeichnis!$CC:$CC,"&lt;&gt;"&amp;$M19,Gefahrstoffverzeichnis!$CC:$CC,"&lt;&gt;"&amp;$K19,Gefahrstoffverzeichnis!$CC:$CC,"&lt;&gt;"&amp;$I19,Gefahrstoffverzeichnis!$CC:$CC,"&lt;&gt;"&amp;$G19)</f>
        <v>0</v>
      </c>
      <c r="S19" s="248" t="str">
        <f t="shared" si="1"/>
        <v/>
      </c>
      <c r="T19" s="249" t="s">
        <v>2625</v>
      </c>
      <c r="U19" s="250">
        <f>SUMIFS(Gefahrstoffverzeichnis!$AU:$AU,Gefahrstoffverzeichnis!$BY:$BY,"kg",Gefahrstoffverzeichnis!$AP:$AP,Lager!$B19,Gefahrstoffverzeichnis!$CC:$CC,$T19)</f>
        <v>0</v>
      </c>
      <c r="V19" s="249" t="s">
        <v>2626</v>
      </c>
      <c r="W19" s="250">
        <f>SUMIFS(Gefahrstoffverzeichnis!$AU:$AU,Gefahrstoffverzeichnis!$BY:$BY,"kg",Gefahrstoffverzeichnis!$AP:$AP,Lager!$B19,Gefahrstoffverzeichnis!$CC:$CC,$V19,Gefahrstoffverzeichnis!$CC:$CC,"&lt;&gt;"&amp;$T19)</f>
        <v>0</v>
      </c>
      <c r="X19" s="248" t="str">
        <f t="shared" si="2"/>
        <v/>
      </c>
      <c r="Y19" s="249" t="s">
        <v>2627</v>
      </c>
      <c r="Z19" s="250">
        <f>SUMIFS(Gefahrstoffverzeichnis!$AU:$AU,Gefahrstoffverzeichnis!$BY:$BY,"kg",Gefahrstoffverzeichnis!$AP:$AP,Lager!$B19,Gefahrstoffverzeichnis!$CC:$CC,$Y19)</f>
        <v>0</v>
      </c>
      <c r="AA19" s="249" t="s">
        <v>2628</v>
      </c>
      <c r="AB19" s="250">
        <f>SUMIFS(Gefahrstoffverzeichnis!$AU:$AU,Gefahrstoffverzeichnis!$BY:$BY,"kg",Gefahrstoffverzeichnis!$AP:$AP,Lager!$B19,Gefahrstoffverzeichnis!$CC:$CC,$AA19,Gefahrstoffverzeichnis!$CC:$CC,"&lt;&gt;"&amp;$Y19)</f>
        <v>0</v>
      </c>
      <c r="AC19" s="248" t="str">
        <f t="shared" si="3"/>
        <v/>
      </c>
      <c r="AD19" s="249" t="s">
        <v>2629</v>
      </c>
      <c r="AE19" s="250">
        <f>SUMIFS(Gefahrstoffverzeichnis!$AU:$AU,Gefahrstoffverzeichnis!$BY:$BY,"kg",Gefahrstoffverzeichnis!$AP:$AP,Lager!$B19,Gefahrstoffverzeichnis!$CB:$CB,$AD19)</f>
        <v>0</v>
      </c>
      <c r="AF19" s="249" t="s">
        <v>2630</v>
      </c>
      <c r="AG19" s="250">
        <f>SUMIFS(Gefahrstoffverzeichnis!$AU:$AU,Gefahrstoffverzeichnis!$BY:$BY,"kg",Gefahrstoffverzeichnis!$AP:$AP,Lager!$B19,Gefahrstoffverzeichnis!$CB:$CB,$AF19,Gefahrstoffverzeichnis!$CB:$CB,"&lt;&gt;"&amp;$AD19)</f>
        <v>0</v>
      </c>
      <c r="AH19" s="248" t="str">
        <f t="shared" si="4"/>
        <v/>
      </c>
      <c r="AI19" s="249" t="s">
        <v>2631</v>
      </c>
      <c r="AJ19" s="250">
        <f>SUMIFS(Gefahrstoffverzeichnis!$AU:$AU,Gefahrstoffverzeichnis!$BY:$BY,"kg",Gefahrstoffverzeichnis!$AP:$AP,Lager!$B19,Gefahrstoffverzeichnis!$CB:$CB,$AI19)</f>
        <v>0</v>
      </c>
      <c r="AK19" s="248" t="str">
        <f t="shared" si="5"/>
        <v/>
      </c>
      <c r="AL19" s="249" t="s">
        <v>2632</v>
      </c>
      <c r="AM19" s="250">
        <f>SUMIFS(Gefahrstoffverzeichnis!$AU:$AU,Gefahrstoffverzeichnis!$BY:$BY,"kg",Gefahrstoffverzeichnis!$AP:$AP,Lager!$B19,Gefahrstoffverzeichnis!$CB:$CB,$AL19)</f>
        <v>0</v>
      </c>
      <c r="AN19" s="248" t="str">
        <f t="shared" si="6"/>
        <v/>
      </c>
      <c r="AO19" s="249" t="s">
        <v>2633</v>
      </c>
      <c r="AP19" s="250">
        <f>SUMIFS(Gefahrstoffverzeichnis!$AU:$AU,Gefahrstoffverzeichnis!$BY:$BY,"kg",Gefahrstoffverzeichnis!$AP:$AP,Lager!$B19,Gefahrstoffverzeichnis!$CB:$CB,$AO19)</f>
        <v>0</v>
      </c>
      <c r="AQ19" s="248" t="str">
        <f t="shared" si="7"/>
        <v/>
      </c>
      <c r="AR19" s="249" t="s">
        <v>2634</v>
      </c>
      <c r="AS19" s="250">
        <f>SUMIFS(Gefahrstoffverzeichnis!$AU:$AU,Gefahrstoffverzeichnis!$BY:$BY,"kg",Gefahrstoffverzeichnis!$AP:$AP,Lager!$B19,Gefahrstoffverzeichnis!$CB:$CB,$AR19)</f>
        <v>0</v>
      </c>
      <c r="AT19" s="249" t="s">
        <v>2635</v>
      </c>
      <c r="AU19" s="250">
        <f>SUMIFS(Gefahrstoffverzeichnis!$AU:$AU,Gefahrstoffverzeichnis!$BY:$BY,"kg",Gefahrstoffverzeichnis!$AP:$AP,Lager!$B19,Gefahrstoffverzeichnis!$CB:$CB,$AT19,Gefahrstoffverzeichnis!$CB:$CB,"&lt;&gt;"&amp;$AR19)</f>
        <v>0</v>
      </c>
      <c r="AV19" s="248" t="str">
        <f t="shared" si="8"/>
        <v/>
      </c>
      <c r="AW19" s="249" t="s">
        <v>2636</v>
      </c>
      <c r="AX19" s="250">
        <f>SUMIFS(Gefahrstoffverzeichnis!$AU:$AU,Gefahrstoffverzeichnis!$BY:$BY,"kg",Gefahrstoffverzeichnis!$AP:$AP,Lager!$B19,Gefahrstoffverzeichnis!$CB:$CB,$AW19)</f>
        <v>0</v>
      </c>
      <c r="AY19" s="248" t="str">
        <f t="shared" si="9"/>
        <v/>
      </c>
      <c r="AZ19" s="249" t="s">
        <v>2637</v>
      </c>
      <c r="BA19" s="250">
        <f>SUMIFS(Gefahrstoffverzeichnis!$AU:$AU,Gefahrstoffverzeichnis!$BY:$BY,"kg",Gefahrstoffverzeichnis!$AP:$AP,Lager!$B19,Gefahrstoffverzeichnis!$CB:$CB,$AZ19)</f>
        <v>0</v>
      </c>
      <c r="BB19" s="248" t="str">
        <f t="shared" si="10"/>
        <v/>
      </c>
      <c r="BC19" s="249" t="s">
        <v>2638</v>
      </c>
      <c r="BD19" s="250">
        <f>SUMIFS(Gefahrstoffverzeichnis!$AU:$AU,Gefahrstoffverzeichnis!$BY:$BY,"kg",Gefahrstoffverzeichnis!$AP:$AP,Lager!$B19,Gefahrstoffverzeichnis!$CB:$CB,$BC19)</f>
        <v>0</v>
      </c>
      <c r="BE19" s="248" t="str">
        <f t="shared" si="11"/>
        <v/>
      </c>
      <c r="BF19" s="249" t="s">
        <v>2639</v>
      </c>
      <c r="BG19" s="250">
        <f>SUMIFS(Gefahrstoffverzeichnis!$AU:$AU,Gefahrstoffverzeichnis!$BY:$BY,"Liter",Gefahrstoffverzeichnis!$AP:$AP,Lager!$B19,Gefahrstoffverzeichnis!$CB:$CB,$BF19)</f>
        <v>0</v>
      </c>
      <c r="BH19" s="249" t="s">
        <v>2640</v>
      </c>
      <c r="BI19" s="250">
        <f>SUMIFS(Gefahrstoffverzeichnis!$AU:$AU,Gefahrstoffverzeichnis!$BY:$BY,"Liter",Gefahrstoffverzeichnis!$AP:$AP,Lager!$B19,Gefahrstoffverzeichnis!$CB:$CB,$BH19,Gefahrstoffverzeichnis!$CB:$CB,"&lt;&gt;"&amp;$BF19)</f>
        <v>0</v>
      </c>
      <c r="BJ19" s="249" t="s">
        <v>2641</v>
      </c>
      <c r="BK19" s="250">
        <f>SUMIFS(Gefahrstoffverzeichnis!$AU:$AU,Gefahrstoffverzeichnis!$BY:$BY,"Liter",Gefahrstoffverzeichnis!$AP:$AP,Lager!$B19,Gefahrstoffverzeichnis!$CB:$CB,$BJ19,Gefahrstoffverzeichnis!$CB:$CB,"&lt;&gt;"&amp;$BH19,Gefahrstoffverzeichnis!$CB:$CB,"&lt;&gt;"&amp;$BF19)</f>
        <v>0</v>
      </c>
      <c r="BL19" s="249" t="s">
        <v>2642</v>
      </c>
      <c r="BM19" s="250">
        <f>SUMIFS(Gefahrstoffverzeichnis!$AU:$AU,Gefahrstoffverzeichnis!$BY:$BY,"Liter",Gefahrstoffverzeichnis!$AP:$AP,Lager!$B19,Gefahrstoffverzeichnis!$CB:$CB,$BL19,Gefahrstoffverzeichnis!$CB:$CB,"&lt;&gt;"&amp;$BJ19,Gefahrstoffverzeichnis!$CB:$CB,"&lt;&gt;"&amp;$BH19,Gefahrstoffverzeichnis!$CB:$CB,"&lt;&gt;"&amp;$BF19)</f>
        <v>0</v>
      </c>
      <c r="BN19" s="249" t="s">
        <v>2643</v>
      </c>
      <c r="BO19" s="250">
        <f>SUMIFS(Gefahrstoffverzeichnis!$AU:$AU,Gefahrstoffverzeichnis!$BY:$BY,"Liter",Gefahrstoffverzeichnis!$AP:$AP,Lager!$B19,Gefahrstoffverzeichnis!$CB:$CB,$BN19,Gefahrstoffverzeichnis!$CB:$CB,"&lt;&gt;"&amp;$BL19,Gefahrstoffverzeichnis!$CB:$CB,"&lt;&gt;"&amp;$BJ19,Gefahrstoffverzeichnis!$CB:$CB,"&lt;&gt;"&amp;$BH19,Gefahrstoffverzeichnis!$CB:$CB,"&lt;&gt;"&amp;$BF19)</f>
        <v>0</v>
      </c>
      <c r="BP19" s="248" t="str">
        <f t="shared" si="12"/>
        <v/>
      </c>
      <c r="BQ19" s="249" t="s">
        <v>2639</v>
      </c>
      <c r="BR19" s="250">
        <f>SUMIFS(Gefahrstoffverzeichnis!$AU:$AU,Gefahrstoffverzeichnis!$BY:$BY,"kg",Gefahrstoffverzeichnis!$AP:$AP,Lager!$B19,Gefahrstoffverzeichnis!$CB:$CB,$BQ19)</f>
        <v>0</v>
      </c>
      <c r="BS19" s="249" t="s">
        <v>2640</v>
      </c>
      <c r="BT19" s="250">
        <f>SUMIFS(Gefahrstoffverzeichnis!$AU:$AU,Gefahrstoffverzeichnis!$BY:$BY,"kg",Gefahrstoffverzeichnis!$AP:$AP,Lager!$B19,Gefahrstoffverzeichnis!$CB:$CB,$BS19,Gefahrstoffverzeichnis!$CB:$CB,"&lt;&gt;"&amp;$BQ19)</f>
        <v>0</v>
      </c>
      <c r="BU19" s="249" t="s">
        <v>2644</v>
      </c>
      <c r="BV19" s="250">
        <f>SUMIFS(Gefahrstoffverzeichnis!$AU:$AU,Gefahrstoffverzeichnis!$BY:$BY,"kg",Gefahrstoffverzeichnis!$AP:$AP,Lager!$B19,Gefahrstoffverzeichnis!$CB:$CB,$BU19,Gefahrstoffverzeichnis!$CB:$CB,"&lt;&gt;"&amp;$BS19,Gefahrstoffverzeichnis!$CB:$CB,"&lt;&gt;"&amp;$BQ19)</f>
        <v>0</v>
      </c>
      <c r="BW19" s="249" t="s">
        <v>2645</v>
      </c>
      <c r="BX19" s="250">
        <f>SUMIFS(Gefahrstoffverzeichnis!$AU:$AU,Gefahrstoffverzeichnis!$BY:$BY,"kg",Gefahrstoffverzeichnis!$AP:$AP,Lager!$B19,Gefahrstoffverzeichnis!$CB:$CB,$BW19,Gefahrstoffverzeichnis!$CB:$CB,"&lt;&gt;"&amp;$BU19,Gefahrstoffverzeichnis!$CB:$CB,"&lt;&gt;"&amp;$BS19,Gefahrstoffverzeichnis!$CB:$CB,"&lt;&gt;"&amp;$BQ19)</f>
        <v>0</v>
      </c>
      <c r="BY19" s="248" t="str">
        <f t="shared" si="13"/>
        <v/>
      </c>
      <c r="BZ19" s="249" t="s">
        <v>2646</v>
      </c>
      <c r="CA19" s="250">
        <f>SUMIFS(Gefahrstoffverzeichnis!$AU:$AU,Gefahrstoffverzeichnis!$BY:$BY,"kg",Gefahrstoffverzeichnis!$AP:$AP,Lager!$B19,Gefahrstoffverzeichnis!$CB:$CB,$BZ19)</f>
        <v>0</v>
      </c>
      <c r="CB19" s="249" t="s">
        <v>2647</v>
      </c>
      <c r="CC19" s="250">
        <f>SUMIFS(Gefahrstoffverzeichnis!$AU:$AU,Gefahrstoffverzeichnis!$BY:$BY,"kg",Gefahrstoffverzeichnis!$AP:$AP,Lager!$B19,Gefahrstoffverzeichnis!$CB:$CB,$CB19,Gefahrstoffverzeichnis!$CB:$CB,"&lt;&gt;"&amp;$BZ19)</f>
        <v>0</v>
      </c>
    </row>
    <row r="20" spans="2:81" ht="18.75" customHeight="1" x14ac:dyDescent="0.3">
      <c r="B20" s="306" t="str">
        <v>*nicht definiert17*</v>
      </c>
      <c r="C20" s="303"/>
      <c r="D20" s="308">
        <f>SUMIFS(Gefahrstoffverzeichnis!$AU:$AU,Gefahrstoffverzeichnis!$BY:$BY,"kg",Gefahrstoffverzeichnis!$AP:$AP,Lager!$B20)</f>
        <v>0</v>
      </c>
      <c r="E20" s="303"/>
      <c r="F20" s="304" t="str">
        <f t="shared" si="0"/>
        <v/>
      </c>
      <c r="G20" s="250" t="s">
        <v>2619</v>
      </c>
      <c r="H20" s="250">
        <f>SUMIFS(Gefahrstoffverzeichnis!$AU:$AU,Gefahrstoffverzeichnis!$BY:$BY,"kg",Gefahrstoffverzeichnis!$AP:$AP,Lager!$B20,Gefahrstoffverzeichnis!$CC:$CC,$G20)</f>
        <v>0</v>
      </c>
      <c r="I20" s="250" t="s">
        <v>2620</v>
      </c>
      <c r="J20" s="250">
        <f>SUMIFS(Gefahrstoffverzeichnis!$AU:$AU,Gefahrstoffverzeichnis!$BY:$BY,"kg",Gefahrstoffverzeichnis!$AP:$AP,Lager!$B20,Gefahrstoffverzeichnis!$CC:$CC,$I20,Gefahrstoffverzeichnis!$CC:$CC,"&lt;&gt;"&amp;$G20)</f>
        <v>0</v>
      </c>
      <c r="K20" s="250" t="s">
        <v>2621</v>
      </c>
      <c r="L20" s="250">
        <f>SUMIFS(Gefahrstoffverzeichnis!$AU:$AU,Gefahrstoffverzeichnis!$BY:$BY,"kg",Gefahrstoffverzeichnis!$AP:$AP,Lager!$B20,Gefahrstoffverzeichnis!$CC:$CC,$K20,Gefahrstoffverzeichnis!$CC:$CC,"&lt;&gt;"&amp;$I20,Gefahrstoffverzeichnis!$CC:$CC,"&lt;&gt;"&amp;$G20)</f>
        <v>0</v>
      </c>
      <c r="M20" s="250" t="s">
        <v>2622</v>
      </c>
      <c r="N20" s="250">
        <f>SUMIFS(Gefahrstoffverzeichnis!$AU:$AU,Gefahrstoffverzeichnis!$BY:$BY,"kg",Gefahrstoffverzeichnis!$AP:$AP,Lager!$B20,Gefahrstoffverzeichnis!$CC:$CC,$M20,Gefahrstoffverzeichnis!$CC:$CC,"&lt;&gt;"&amp;$K20,Gefahrstoffverzeichnis!$CC:$CC,"&lt;&gt;"&amp;$I20,Gefahrstoffverzeichnis!$CC:$CC,"&lt;&gt;"&amp;$G20)</f>
        <v>0</v>
      </c>
      <c r="O20" s="250" t="s">
        <v>2623</v>
      </c>
      <c r="P20" s="250">
        <f>SUMIFS(Gefahrstoffverzeichnis!$AU:$AU,Gefahrstoffverzeichnis!$BY:$BY,"kg",Gefahrstoffverzeichnis!$AP:$AP,Lager!$B20,Gefahrstoffverzeichnis!$CC:$CC,$O20,Gefahrstoffverzeichnis!$CC:$CC,"&lt;&gt;"&amp;$M20,Gefahrstoffverzeichnis!$CC:$CC,"&lt;&gt;"&amp;$K20,Gefahrstoffverzeichnis!$CC:$CC,"&lt;&gt;"&amp;$I20,Gefahrstoffverzeichnis!$CC:$CC,"&lt;&gt;"&amp;$G20)</f>
        <v>0</v>
      </c>
      <c r="Q20" s="250" t="s">
        <v>2624</v>
      </c>
      <c r="R20" s="250">
        <f>SUMIFS(Gefahrstoffverzeichnis!$AU:$AU,Gefahrstoffverzeichnis!$BY:$BY,"kg",Gefahrstoffverzeichnis!$AP:$AP,Lager!$B20,Gefahrstoffverzeichnis!$CC:$CC,$Q$5,Gefahrstoffverzeichnis!$CC:$CC,"&lt;&gt;"&amp;$O20,Gefahrstoffverzeichnis!$CC:$CC,"&lt;&gt;"&amp;$M20,Gefahrstoffverzeichnis!$CC:$CC,"&lt;&gt;"&amp;$K20,Gefahrstoffverzeichnis!$CC:$CC,"&lt;&gt;"&amp;$I20,Gefahrstoffverzeichnis!$CC:$CC,"&lt;&gt;"&amp;$G20)</f>
        <v>0</v>
      </c>
      <c r="S20" s="304" t="str">
        <f t="shared" si="1"/>
        <v/>
      </c>
      <c r="T20" s="250" t="s">
        <v>2625</v>
      </c>
      <c r="U20" s="250">
        <f>SUMIFS(Gefahrstoffverzeichnis!$AU:$AU,Gefahrstoffverzeichnis!$BY:$BY,"kg",Gefahrstoffverzeichnis!$AP:$AP,Lager!$B20,Gefahrstoffverzeichnis!$CC:$CC,$T20)</f>
        <v>0</v>
      </c>
      <c r="V20" s="250" t="s">
        <v>2626</v>
      </c>
      <c r="W20" s="250">
        <f>SUMIFS(Gefahrstoffverzeichnis!$AU:$AU,Gefahrstoffverzeichnis!$BY:$BY,"kg",Gefahrstoffverzeichnis!$AP:$AP,Lager!$B20,Gefahrstoffverzeichnis!$CC:$CC,$V20,Gefahrstoffverzeichnis!$CC:$CC,"&lt;&gt;"&amp;$T20)</f>
        <v>0</v>
      </c>
      <c r="X20" s="304" t="str">
        <f t="shared" si="2"/>
        <v/>
      </c>
      <c r="Y20" s="250" t="s">
        <v>2627</v>
      </c>
      <c r="Z20" s="250">
        <f>SUMIFS(Gefahrstoffverzeichnis!$AU:$AU,Gefahrstoffverzeichnis!$BY:$BY,"kg",Gefahrstoffverzeichnis!$AP:$AP,Lager!$B20,Gefahrstoffverzeichnis!$CC:$CC,$Y20)</f>
        <v>0</v>
      </c>
      <c r="AA20" s="250" t="s">
        <v>2628</v>
      </c>
      <c r="AB20" s="250">
        <f>SUMIFS(Gefahrstoffverzeichnis!$AU:$AU,Gefahrstoffverzeichnis!$BY:$BY,"kg",Gefahrstoffverzeichnis!$AP:$AP,Lager!$B20,Gefahrstoffverzeichnis!$CC:$CC,$AA20,Gefahrstoffverzeichnis!$CC:$CC,"&lt;&gt;"&amp;$Y20)</f>
        <v>0</v>
      </c>
      <c r="AC20" s="304" t="str">
        <f t="shared" si="3"/>
        <v/>
      </c>
      <c r="AD20" s="250" t="s">
        <v>2629</v>
      </c>
      <c r="AE20" s="250">
        <f>SUMIFS(Gefahrstoffverzeichnis!$AU:$AU,Gefahrstoffverzeichnis!$BY:$BY,"kg",Gefahrstoffverzeichnis!$AP:$AP,Lager!$B20,Gefahrstoffverzeichnis!$CB:$CB,$AD20)</f>
        <v>0</v>
      </c>
      <c r="AF20" s="250" t="s">
        <v>2630</v>
      </c>
      <c r="AG20" s="250">
        <f>SUMIFS(Gefahrstoffverzeichnis!$AU:$AU,Gefahrstoffverzeichnis!$BY:$BY,"kg",Gefahrstoffverzeichnis!$AP:$AP,Lager!$B20,Gefahrstoffverzeichnis!$CB:$CB,$AF20,Gefahrstoffverzeichnis!$CB:$CB,"&lt;&gt;"&amp;$AD20)</f>
        <v>0</v>
      </c>
      <c r="AH20" s="304" t="str">
        <f t="shared" si="4"/>
        <v/>
      </c>
      <c r="AI20" s="250" t="s">
        <v>2631</v>
      </c>
      <c r="AJ20" s="250">
        <f>SUMIFS(Gefahrstoffverzeichnis!$AU:$AU,Gefahrstoffverzeichnis!$BY:$BY,"kg",Gefahrstoffverzeichnis!$AP:$AP,Lager!$B20,Gefahrstoffverzeichnis!$CB:$CB,$AI20)</f>
        <v>0</v>
      </c>
      <c r="AK20" s="304" t="str">
        <f t="shared" si="5"/>
        <v/>
      </c>
      <c r="AL20" s="250" t="s">
        <v>2632</v>
      </c>
      <c r="AM20" s="250">
        <f>SUMIFS(Gefahrstoffverzeichnis!$AU:$AU,Gefahrstoffverzeichnis!$BY:$BY,"kg",Gefahrstoffverzeichnis!$AP:$AP,Lager!$B20,Gefahrstoffverzeichnis!$CB:$CB,$AL20)</f>
        <v>0</v>
      </c>
      <c r="AN20" s="304" t="str">
        <f t="shared" si="6"/>
        <v/>
      </c>
      <c r="AO20" s="250" t="s">
        <v>2633</v>
      </c>
      <c r="AP20" s="250">
        <f>SUMIFS(Gefahrstoffverzeichnis!$AU:$AU,Gefahrstoffverzeichnis!$BY:$BY,"kg",Gefahrstoffverzeichnis!$AP:$AP,Lager!$B20,Gefahrstoffverzeichnis!$CB:$CB,$AO20)</f>
        <v>0</v>
      </c>
      <c r="AQ20" s="304" t="str">
        <f t="shared" si="7"/>
        <v/>
      </c>
      <c r="AR20" s="250" t="s">
        <v>2634</v>
      </c>
      <c r="AS20" s="250">
        <f>SUMIFS(Gefahrstoffverzeichnis!$AU:$AU,Gefahrstoffverzeichnis!$BY:$BY,"kg",Gefahrstoffverzeichnis!$AP:$AP,Lager!$B20,Gefahrstoffverzeichnis!$CB:$CB,$AR20)</f>
        <v>0</v>
      </c>
      <c r="AT20" s="250" t="s">
        <v>2635</v>
      </c>
      <c r="AU20" s="250">
        <f>SUMIFS(Gefahrstoffverzeichnis!$AU:$AU,Gefahrstoffverzeichnis!$BY:$BY,"kg",Gefahrstoffverzeichnis!$AP:$AP,Lager!$B20,Gefahrstoffverzeichnis!$CB:$CB,$AT20,Gefahrstoffverzeichnis!$CB:$CB,"&lt;&gt;"&amp;$AR20)</f>
        <v>0</v>
      </c>
      <c r="AV20" s="304" t="str">
        <f t="shared" si="8"/>
        <v/>
      </c>
      <c r="AW20" s="250" t="s">
        <v>2636</v>
      </c>
      <c r="AX20" s="250">
        <f>SUMIFS(Gefahrstoffverzeichnis!$AU:$AU,Gefahrstoffverzeichnis!$BY:$BY,"kg",Gefahrstoffverzeichnis!$AP:$AP,Lager!$B20,Gefahrstoffverzeichnis!$CB:$CB,$AW20)</f>
        <v>0</v>
      </c>
      <c r="AY20" s="304" t="str">
        <f t="shared" si="9"/>
        <v/>
      </c>
      <c r="AZ20" s="250" t="s">
        <v>2637</v>
      </c>
      <c r="BA20" s="250">
        <f>SUMIFS(Gefahrstoffverzeichnis!$AU:$AU,Gefahrstoffverzeichnis!$BY:$BY,"kg",Gefahrstoffverzeichnis!$AP:$AP,Lager!$B20,Gefahrstoffverzeichnis!$CB:$CB,$AZ20)</f>
        <v>0</v>
      </c>
      <c r="BB20" s="304" t="str">
        <f t="shared" si="10"/>
        <v/>
      </c>
      <c r="BC20" s="250" t="s">
        <v>2638</v>
      </c>
      <c r="BD20" s="250">
        <f>SUMIFS(Gefahrstoffverzeichnis!$AU:$AU,Gefahrstoffverzeichnis!$BY:$BY,"kg",Gefahrstoffverzeichnis!$AP:$AP,Lager!$B20,Gefahrstoffverzeichnis!$CB:$CB,$BC20)</f>
        <v>0</v>
      </c>
      <c r="BE20" s="304" t="str">
        <f t="shared" si="11"/>
        <v/>
      </c>
      <c r="BF20" s="250" t="s">
        <v>2639</v>
      </c>
      <c r="BG20" s="250">
        <f>SUMIFS(Gefahrstoffverzeichnis!$AU:$AU,Gefahrstoffverzeichnis!$BY:$BY,"Liter",Gefahrstoffverzeichnis!$AP:$AP,Lager!$B20,Gefahrstoffverzeichnis!$CB:$CB,$BF20)</f>
        <v>0</v>
      </c>
      <c r="BH20" s="250" t="s">
        <v>2640</v>
      </c>
      <c r="BI20" s="250">
        <f>SUMIFS(Gefahrstoffverzeichnis!$AU:$AU,Gefahrstoffverzeichnis!$BY:$BY,"Liter",Gefahrstoffverzeichnis!$AP:$AP,Lager!$B20,Gefahrstoffverzeichnis!$CB:$CB,$BH20,Gefahrstoffverzeichnis!$CB:$CB,"&lt;&gt;"&amp;$BF20)</f>
        <v>0</v>
      </c>
      <c r="BJ20" s="250" t="s">
        <v>2641</v>
      </c>
      <c r="BK20" s="250">
        <f>SUMIFS(Gefahrstoffverzeichnis!$AU:$AU,Gefahrstoffverzeichnis!$BY:$BY,"Liter",Gefahrstoffverzeichnis!$AP:$AP,Lager!$B20,Gefahrstoffverzeichnis!$CB:$CB,$BJ20,Gefahrstoffverzeichnis!$CB:$CB,"&lt;&gt;"&amp;$BH20,Gefahrstoffverzeichnis!$CB:$CB,"&lt;&gt;"&amp;$BF20)</f>
        <v>0</v>
      </c>
      <c r="BL20" s="250" t="s">
        <v>2642</v>
      </c>
      <c r="BM20" s="250">
        <f>SUMIFS(Gefahrstoffverzeichnis!$AU:$AU,Gefahrstoffverzeichnis!$BY:$BY,"Liter",Gefahrstoffverzeichnis!$AP:$AP,Lager!$B20,Gefahrstoffverzeichnis!$CB:$CB,$BL20,Gefahrstoffverzeichnis!$CB:$CB,"&lt;&gt;"&amp;$BJ20,Gefahrstoffverzeichnis!$CB:$CB,"&lt;&gt;"&amp;$BH20,Gefahrstoffverzeichnis!$CB:$CB,"&lt;&gt;"&amp;$BF20)</f>
        <v>0</v>
      </c>
      <c r="BN20" s="250" t="s">
        <v>2643</v>
      </c>
      <c r="BO20" s="250">
        <f>SUMIFS(Gefahrstoffverzeichnis!$AU:$AU,Gefahrstoffverzeichnis!$BY:$BY,"Liter",Gefahrstoffverzeichnis!$AP:$AP,Lager!$B20,Gefahrstoffverzeichnis!$CB:$CB,$BN20,Gefahrstoffverzeichnis!$CB:$CB,"&lt;&gt;"&amp;$BL20,Gefahrstoffverzeichnis!$CB:$CB,"&lt;&gt;"&amp;$BJ20,Gefahrstoffverzeichnis!$CB:$CB,"&lt;&gt;"&amp;$BH20,Gefahrstoffverzeichnis!$CB:$CB,"&lt;&gt;"&amp;$BF20)</f>
        <v>0</v>
      </c>
      <c r="BP20" s="304" t="str">
        <f t="shared" si="12"/>
        <v/>
      </c>
      <c r="BQ20" s="250" t="s">
        <v>2639</v>
      </c>
      <c r="BR20" s="250">
        <f>SUMIFS(Gefahrstoffverzeichnis!$AU:$AU,Gefahrstoffverzeichnis!$BY:$BY,"kg",Gefahrstoffverzeichnis!$AP:$AP,Lager!$B20,Gefahrstoffverzeichnis!$CB:$CB,$BQ20)</f>
        <v>0</v>
      </c>
      <c r="BS20" s="250" t="s">
        <v>2640</v>
      </c>
      <c r="BT20" s="250">
        <f>SUMIFS(Gefahrstoffverzeichnis!$AU:$AU,Gefahrstoffverzeichnis!$BY:$BY,"kg",Gefahrstoffverzeichnis!$AP:$AP,Lager!$B20,Gefahrstoffverzeichnis!$CB:$CB,$BS20,Gefahrstoffverzeichnis!$CB:$CB,"&lt;&gt;"&amp;$BQ20)</f>
        <v>0</v>
      </c>
      <c r="BU20" s="250" t="s">
        <v>2644</v>
      </c>
      <c r="BV20" s="250">
        <f>SUMIFS(Gefahrstoffverzeichnis!$AU:$AU,Gefahrstoffverzeichnis!$BY:$BY,"kg",Gefahrstoffverzeichnis!$AP:$AP,Lager!$B20,Gefahrstoffverzeichnis!$CB:$CB,$BU20,Gefahrstoffverzeichnis!$CB:$CB,"&lt;&gt;"&amp;$BS20,Gefahrstoffverzeichnis!$CB:$CB,"&lt;&gt;"&amp;$BQ20)</f>
        <v>0</v>
      </c>
      <c r="BW20" s="250" t="s">
        <v>2645</v>
      </c>
      <c r="BX20" s="250">
        <f>SUMIFS(Gefahrstoffverzeichnis!$AU:$AU,Gefahrstoffverzeichnis!$BY:$BY,"kg",Gefahrstoffverzeichnis!$AP:$AP,Lager!$B20,Gefahrstoffverzeichnis!$CB:$CB,$BW20,Gefahrstoffverzeichnis!$CB:$CB,"&lt;&gt;"&amp;$BU20,Gefahrstoffverzeichnis!$CB:$CB,"&lt;&gt;"&amp;$BS20,Gefahrstoffverzeichnis!$CB:$CB,"&lt;&gt;"&amp;$BQ20)</f>
        <v>0</v>
      </c>
      <c r="BY20" s="304" t="str">
        <f t="shared" si="13"/>
        <v/>
      </c>
      <c r="BZ20" s="249" t="s">
        <v>2646</v>
      </c>
      <c r="CA20" s="250">
        <f>SUMIFS(Gefahrstoffverzeichnis!$AU:$AU,Gefahrstoffverzeichnis!$BY:$BY,"kg",Gefahrstoffverzeichnis!$AP:$AP,Lager!$B20,Gefahrstoffverzeichnis!$CB:$CB,$BZ20)</f>
        <v>0</v>
      </c>
      <c r="CB20" s="249" t="s">
        <v>2647</v>
      </c>
      <c r="CC20" s="250">
        <f>SUMIFS(Gefahrstoffverzeichnis!$AU:$AU,Gefahrstoffverzeichnis!$BY:$BY,"kg",Gefahrstoffverzeichnis!$AP:$AP,Lager!$B20,Gefahrstoffverzeichnis!$CB:$CB,$CB20,Gefahrstoffverzeichnis!$CB:$CB,"&lt;&gt;"&amp;$BZ20)</f>
        <v>0</v>
      </c>
    </row>
    <row r="21" spans="2:81" ht="18.75" customHeight="1" x14ac:dyDescent="0.3">
      <c r="B21" s="306" t="str">
        <v>*nicht definiert18*</v>
      </c>
      <c r="D21" s="307">
        <f>SUMIFS(Gefahrstoffverzeichnis!$AU:$AU,Gefahrstoffverzeichnis!$BY:$BY,"kg",Gefahrstoffverzeichnis!$AP:$AP,Lager!$B21)</f>
        <v>0</v>
      </c>
      <c r="F21" s="248" t="str">
        <f t="shared" si="0"/>
        <v/>
      </c>
      <c r="G21" s="249" t="s">
        <v>2619</v>
      </c>
      <c r="H21" s="250">
        <f>SUMIFS(Gefahrstoffverzeichnis!$AU:$AU,Gefahrstoffverzeichnis!$BY:$BY,"kg",Gefahrstoffverzeichnis!$AP:$AP,Lager!$B21,Gefahrstoffverzeichnis!$CC:$CC,$G21)</f>
        <v>0</v>
      </c>
      <c r="I21" s="249" t="s">
        <v>2620</v>
      </c>
      <c r="J21" s="250">
        <f>SUMIFS(Gefahrstoffverzeichnis!$AU:$AU,Gefahrstoffverzeichnis!$BY:$BY,"kg",Gefahrstoffverzeichnis!$AP:$AP,Lager!$B21,Gefahrstoffverzeichnis!$CC:$CC,$I21,Gefahrstoffverzeichnis!$CC:$CC,"&lt;&gt;"&amp;$G21)</f>
        <v>0</v>
      </c>
      <c r="K21" s="249" t="s">
        <v>2621</v>
      </c>
      <c r="L21" s="250">
        <f>SUMIFS(Gefahrstoffverzeichnis!$AU:$AU,Gefahrstoffverzeichnis!$BY:$BY,"kg",Gefahrstoffverzeichnis!$AP:$AP,Lager!$B21,Gefahrstoffverzeichnis!$CC:$CC,$K21,Gefahrstoffverzeichnis!$CC:$CC,"&lt;&gt;"&amp;$I21,Gefahrstoffverzeichnis!$CC:$CC,"&lt;&gt;"&amp;$G21)</f>
        <v>0</v>
      </c>
      <c r="M21" s="249" t="s">
        <v>2622</v>
      </c>
      <c r="N21" s="250">
        <f>SUMIFS(Gefahrstoffverzeichnis!$AU:$AU,Gefahrstoffverzeichnis!$BY:$BY,"kg",Gefahrstoffverzeichnis!$AP:$AP,Lager!$B21,Gefahrstoffverzeichnis!$CC:$CC,$M21,Gefahrstoffverzeichnis!$CC:$CC,"&lt;&gt;"&amp;$K21,Gefahrstoffverzeichnis!$CC:$CC,"&lt;&gt;"&amp;$I21,Gefahrstoffverzeichnis!$CC:$CC,"&lt;&gt;"&amp;$G21)</f>
        <v>0</v>
      </c>
      <c r="O21" s="249" t="s">
        <v>2623</v>
      </c>
      <c r="P21" s="250">
        <f>SUMIFS(Gefahrstoffverzeichnis!$AU:$AU,Gefahrstoffverzeichnis!$BY:$BY,"kg",Gefahrstoffverzeichnis!$AP:$AP,Lager!$B21,Gefahrstoffverzeichnis!$CC:$CC,$O21,Gefahrstoffverzeichnis!$CC:$CC,"&lt;&gt;"&amp;$M21,Gefahrstoffverzeichnis!$CC:$CC,"&lt;&gt;"&amp;$K21,Gefahrstoffverzeichnis!$CC:$CC,"&lt;&gt;"&amp;$I21,Gefahrstoffverzeichnis!$CC:$CC,"&lt;&gt;"&amp;$G21)</f>
        <v>0</v>
      </c>
      <c r="Q21" s="249" t="s">
        <v>2624</v>
      </c>
      <c r="R21" s="250">
        <f>SUMIFS(Gefahrstoffverzeichnis!$AU:$AU,Gefahrstoffverzeichnis!$BY:$BY,"kg",Gefahrstoffverzeichnis!$AP:$AP,Lager!$B21,Gefahrstoffverzeichnis!$CC:$CC,$Q$5,Gefahrstoffverzeichnis!$CC:$CC,"&lt;&gt;"&amp;$O21,Gefahrstoffverzeichnis!$CC:$CC,"&lt;&gt;"&amp;$M21,Gefahrstoffverzeichnis!$CC:$CC,"&lt;&gt;"&amp;$K21,Gefahrstoffverzeichnis!$CC:$CC,"&lt;&gt;"&amp;$I21,Gefahrstoffverzeichnis!$CC:$CC,"&lt;&gt;"&amp;$G21)</f>
        <v>0</v>
      </c>
      <c r="S21" s="248" t="str">
        <f t="shared" si="1"/>
        <v/>
      </c>
      <c r="T21" s="249" t="s">
        <v>2625</v>
      </c>
      <c r="U21" s="250">
        <f>SUMIFS(Gefahrstoffverzeichnis!$AU:$AU,Gefahrstoffverzeichnis!$BY:$BY,"kg",Gefahrstoffverzeichnis!$AP:$AP,Lager!$B21,Gefahrstoffverzeichnis!$CC:$CC,$T21)</f>
        <v>0</v>
      </c>
      <c r="V21" s="249" t="s">
        <v>2626</v>
      </c>
      <c r="W21" s="250">
        <f>SUMIFS(Gefahrstoffverzeichnis!$AU:$AU,Gefahrstoffverzeichnis!$BY:$BY,"kg",Gefahrstoffverzeichnis!$AP:$AP,Lager!$B21,Gefahrstoffverzeichnis!$CC:$CC,$V21,Gefahrstoffverzeichnis!$CC:$CC,"&lt;&gt;"&amp;$T21)</f>
        <v>0</v>
      </c>
      <c r="X21" s="248" t="str">
        <f t="shared" si="2"/>
        <v/>
      </c>
      <c r="Y21" s="249" t="s">
        <v>2627</v>
      </c>
      <c r="Z21" s="250">
        <f>SUMIFS(Gefahrstoffverzeichnis!$AU:$AU,Gefahrstoffverzeichnis!$BY:$BY,"kg",Gefahrstoffverzeichnis!$AP:$AP,Lager!$B21,Gefahrstoffverzeichnis!$CC:$CC,$Y21)</f>
        <v>0</v>
      </c>
      <c r="AA21" s="249" t="s">
        <v>2628</v>
      </c>
      <c r="AB21" s="250">
        <f>SUMIFS(Gefahrstoffverzeichnis!$AU:$AU,Gefahrstoffverzeichnis!$BY:$BY,"kg",Gefahrstoffverzeichnis!$AP:$AP,Lager!$B21,Gefahrstoffverzeichnis!$CC:$CC,$AA21,Gefahrstoffverzeichnis!$CC:$CC,"&lt;&gt;"&amp;$Y21)</f>
        <v>0</v>
      </c>
      <c r="AC21" s="248" t="str">
        <f t="shared" si="3"/>
        <v/>
      </c>
      <c r="AD21" s="249" t="s">
        <v>2629</v>
      </c>
      <c r="AE21" s="250">
        <f>SUMIFS(Gefahrstoffverzeichnis!$AU:$AU,Gefahrstoffverzeichnis!$BY:$BY,"kg",Gefahrstoffverzeichnis!$AP:$AP,Lager!$B21,Gefahrstoffverzeichnis!$CB:$CB,$AD21)</f>
        <v>0</v>
      </c>
      <c r="AF21" s="249" t="s">
        <v>2630</v>
      </c>
      <c r="AG21" s="250">
        <f>SUMIFS(Gefahrstoffverzeichnis!$AU:$AU,Gefahrstoffverzeichnis!$BY:$BY,"kg",Gefahrstoffverzeichnis!$AP:$AP,Lager!$B21,Gefahrstoffverzeichnis!$CB:$CB,$AF21,Gefahrstoffverzeichnis!$CB:$CB,"&lt;&gt;"&amp;$AD21)</f>
        <v>0</v>
      </c>
      <c r="AH21" s="248" t="str">
        <f t="shared" si="4"/>
        <v/>
      </c>
      <c r="AI21" s="249" t="s">
        <v>2631</v>
      </c>
      <c r="AJ21" s="250">
        <f>SUMIFS(Gefahrstoffverzeichnis!$AU:$AU,Gefahrstoffverzeichnis!$BY:$BY,"kg",Gefahrstoffverzeichnis!$AP:$AP,Lager!$B21,Gefahrstoffverzeichnis!$CB:$CB,$AI21)</f>
        <v>0</v>
      </c>
      <c r="AK21" s="248" t="str">
        <f t="shared" si="5"/>
        <v/>
      </c>
      <c r="AL21" s="249" t="s">
        <v>2632</v>
      </c>
      <c r="AM21" s="250">
        <f>SUMIFS(Gefahrstoffverzeichnis!$AU:$AU,Gefahrstoffverzeichnis!$BY:$BY,"kg",Gefahrstoffverzeichnis!$AP:$AP,Lager!$B21,Gefahrstoffverzeichnis!$CB:$CB,$AL21)</f>
        <v>0</v>
      </c>
      <c r="AN21" s="248" t="str">
        <f t="shared" si="6"/>
        <v/>
      </c>
      <c r="AO21" s="249" t="s">
        <v>2633</v>
      </c>
      <c r="AP21" s="250">
        <f>SUMIFS(Gefahrstoffverzeichnis!$AU:$AU,Gefahrstoffverzeichnis!$BY:$BY,"kg",Gefahrstoffverzeichnis!$AP:$AP,Lager!$B21,Gefahrstoffverzeichnis!$CB:$CB,$AO21)</f>
        <v>0</v>
      </c>
      <c r="AQ21" s="248" t="str">
        <f t="shared" si="7"/>
        <v/>
      </c>
      <c r="AR21" s="249" t="s">
        <v>2634</v>
      </c>
      <c r="AS21" s="250">
        <f>SUMIFS(Gefahrstoffverzeichnis!$AU:$AU,Gefahrstoffverzeichnis!$BY:$BY,"kg",Gefahrstoffverzeichnis!$AP:$AP,Lager!$B21,Gefahrstoffverzeichnis!$CB:$CB,$AR21)</f>
        <v>0</v>
      </c>
      <c r="AT21" s="249" t="s">
        <v>2635</v>
      </c>
      <c r="AU21" s="250">
        <f>SUMIFS(Gefahrstoffverzeichnis!$AU:$AU,Gefahrstoffverzeichnis!$BY:$BY,"kg",Gefahrstoffverzeichnis!$AP:$AP,Lager!$B21,Gefahrstoffverzeichnis!$CB:$CB,$AT21,Gefahrstoffverzeichnis!$CB:$CB,"&lt;&gt;"&amp;$AR21)</f>
        <v>0</v>
      </c>
      <c r="AV21" s="248" t="str">
        <f t="shared" si="8"/>
        <v/>
      </c>
      <c r="AW21" s="249" t="s">
        <v>2636</v>
      </c>
      <c r="AX21" s="250">
        <f>SUMIFS(Gefahrstoffverzeichnis!$AU:$AU,Gefahrstoffverzeichnis!$BY:$BY,"kg",Gefahrstoffverzeichnis!$AP:$AP,Lager!$B21,Gefahrstoffverzeichnis!$CB:$CB,$AW21)</f>
        <v>0</v>
      </c>
      <c r="AY21" s="248" t="str">
        <f t="shared" si="9"/>
        <v/>
      </c>
      <c r="AZ21" s="249" t="s">
        <v>2637</v>
      </c>
      <c r="BA21" s="250">
        <f>SUMIFS(Gefahrstoffverzeichnis!$AU:$AU,Gefahrstoffverzeichnis!$BY:$BY,"kg",Gefahrstoffverzeichnis!$AP:$AP,Lager!$B21,Gefahrstoffverzeichnis!$CB:$CB,$AZ21)</f>
        <v>0</v>
      </c>
      <c r="BB21" s="248" t="str">
        <f t="shared" si="10"/>
        <v/>
      </c>
      <c r="BC21" s="249" t="s">
        <v>2638</v>
      </c>
      <c r="BD21" s="250">
        <f>SUMIFS(Gefahrstoffverzeichnis!$AU:$AU,Gefahrstoffverzeichnis!$BY:$BY,"kg",Gefahrstoffverzeichnis!$AP:$AP,Lager!$B21,Gefahrstoffverzeichnis!$CB:$CB,$BC21)</f>
        <v>0</v>
      </c>
      <c r="BE21" s="248" t="str">
        <f t="shared" si="11"/>
        <v/>
      </c>
      <c r="BF21" s="249" t="s">
        <v>2639</v>
      </c>
      <c r="BG21" s="250">
        <f>SUMIFS(Gefahrstoffverzeichnis!$AU:$AU,Gefahrstoffverzeichnis!$BY:$BY,"Liter",Gefahrstoffverzeichnis!$AP:$AP,Lager!$B21,Gefahrstoffverzeichnis!$CB:$CB,$BF21)</f>
        <v>0</v>
      </c>
      <c r="BH21" s="249" t="s">
        <v>2640</v>
      </c>
      <c r="BI21" s="250">
        <f>SUMIFS(Gefahrstoffverzeichnis!$AU:$AU,Gefahrstoffverzeichnis!$BY:$BY,"Liter",Gefahrstoffverzeichnis!$AP:$AP,Lager!$B21,Gefahrstoffverzeichnis!$CB:$CB,$BH21,Gefahrstoffverzeichnis!$CB:$CB,"&lt;&gt;"&amp;$BF21)</f>
        <v>0</v>
      </c>
      <c r="BJ21" s="249" t="s">
        <v>2641</v>
      </c>
      <c r="BK21" s="250">
        <f>SUMIFS(Gefahrstoffverzeichnis!$AU:$AU,Gefahrstoffverzeichnis!$BY:$BY,"Liter",Gefahrstoffverzeichnis!$AP:$AP,Lager!$B21,Gefahrstoffverzeichnis!$CB:$CB,$BJ21,Gefahrstoffverzeichnis!$CB:$CB,"&lt;&gt;"&amp;$BH21,Gefahrstoffverzeichnis!$CB:$CB,"&lt;&gt;"&amp;$BF21)</f>
        <v>0</v>
      </c>
      <c r="BL21" s="249" t="s">
        <v>2642</v>
      </c>
      <c r="BM21" s="250">
        <f>SUMIFS(Gefahrstoffverzeichnis!$AU:$AU,Gefahrstoffverzeichnis!$BY:$BY,"Liter",Gefahrstoffverzeichnis!$AP:$AP,Lager!$B21,Gefahrstoffverzeichnis!$CB:$CB,$BL21,Gefahrstoffverzeichnis!$CB:$CB,"&lt;&gt;"&amp;$BJ21,Gefahrstoffverzeichnis!$CB:$CB,"&lt;&gt;"&amp;$BH21,Gefahrstoffverzeichnis!$CB:$CB,"&lt;&gt;"&amp;$BF21)</f>
        <v>0</v>
      </c>
      <c r="BN21" s="249" t="s">
        <v>2643</v>
      </c>
      <c r="BO21" s="250">
        <f>SUMIFS(Gefahrstoffverzeichnis!$AU:$AU,Gefahrstoffverzeichnis!$BY:$BY,"Liter",Gefahrstoffverzeichnis!$AP:$AP,Lager!$B21,Gefahrstoffverzeichnis!$CB:$CB,$BN21,Gefahrstoffverzeichnis!$CB:$CB,"&lt;&gt;"&amp;$BL21,Gefahrstoffverzeichnis!$CB:$CB,"&lt;&gt;"&amp;$BJ21,Gefahrstoffverzeichnis!$CB:$CB,"&lt;&gt;"&amp;$BH21,Gefahrstoffverzeichnis!$CB:$CB,"&lt;&gt;"&amp;$BF21)</f>
        <v>0</v>
      </c>
      <c r="BP21" s="248" t="str">
        <f t="shared" si="12"/>
        <v/>
      </c>
      <c r="BQ21" s="249" t="s">
        <v>2639</v>
      </c>
      <c r="BR21" s="250">
        <f>SUMIFS(Gefahrstoffverzeichnis!$AU:$AU,Gefahrstoffverzeichnis!$BY:$BY,"kg",Gefahrstoffverzeichnis!$AP:$AP,Lager!$B21,Gefahrstoffverzeichnis!$CB:$CB,$BQ21)</f>
        <v>0</v>
      </c>
      <c r="BS21" s="249" t="s">
        <v>2640</v>
      </c>
      <c r="BT21" s="250">
        <f>SUMIFS(Gefahrstoffverzeichnis!$AU:$AU,Gefahrstoffverzeichnis!$BY:$BY,"kg",Gefahrstoffverzeichnis!$AP:$AP,Lager!$B21,Gefahrstoffverzeichnis!$CB:$CB,$BS21,Gefahrstoffverzeichnis!$CB:$CB,"&lt;&gt;"&amp;$BQ21)</f>
        <v>0</v>
      </c>
      <c r="BU21" s="249" t="s">
        <v>2644</v>
      </c>
      <c r="BV21" s="250">
        <f>SUMIFS(Gefahrstoffverzeichnis!$AU:$AU,Gefahrstoffverzeichnis!$BY:$BY,"kg",Gefahrstoffverzeichnis!$AP:$AP,Lager!$B21,Gefahrstoffverzeichnis!$CB:$CB,$BU21,Gefahrstoffverzeichnis!$CB:$CB,"&lt;&gt;"&amp;$BS21,Gefahrstoffverzeichnis!$CB:$CB,"&lt;&gt;"&amp;$BQ21)</f>
        <v>0</v>
      </c>
      <c r="BW21" s="249" t="s">
        <v>2645</v>
      </c>
      <c r="BX21" s="250">
        <f>SUMIFS(Gefahrstoffverzeichnis!$AU:$AU,Gefahrstoffverzeichnis!$BY:$BY,"kg",Gefahrstoffverzeichnis!$AP:$AP,Lager!$B21,Gefahrstoffverzeichnis!$CB:$CB,$BW21,Gefahrstoffverzeichnis!$CB:$CB,"&lt;&gt;"&amp;$BU21,Gefahrstoffverzeichnis!$CB:$CB,"&lt;&gt;"&amp;$BS21,Gefahrstoffverzeichnis!$CB:$CB,"&lt;&gt;"&amp;$BQ21)</f>
        <v>0</v>
      </c>
      <c r="BY21" s="248" t="str">
        <f t="shared" si="13"/>
        <v/>
      </c>
      <c r="BZ21" s="249" t="s">
        <v>2646</v>
      </c>
      <c r="CA21" s="250">
        <f>SUMIFS(Gefahrstoffverzeichnis!$AU:$AU,Gefahrstoffverzeichnis!$BY:$BY,"kg",Gefahrstoffverzeichnis!$AP:$AP,Lager!$B21,Gefahrstoffverzeichnis!$CB:$CB,$BZ21)</f>
        <v>0</v>
      </c>
      <c r="CB21" s="249" t="s">
        <v>2647</v>
      </c>
      <c r="CC21" s="250">
        <f>SUMIFS(Gefahrstoffverzeichnis!$AU:$AU,Gefahrstoffverzeichnis!$BY:$BY,"kg",Gefahrstoffverzeichnis!$AP:$AP,Lager!$B21,Gefahrstoffverzeichnis!$CB:$CB,$CB21,Gefahrstoffverzeichnis!$CB:$CB,"&lt;&gt;"&amp;$BZ21)</f>
        <v>0</v>
      </c>
    </row>
    <row r="22" spans="2:81" ht="18.75" customHeight="1" x14ac:dyDescent="0.3">
      <c r="B22" s="306" t="str">
        <v>*nicht definiert19*</v>
      </c>
      <c r="C22" s="303"/>
      <c r="D22" s="308">
        <f>SUMIFS(Gefahrstoffverzeichnis!$AU:$AU,Gefahrstoffverzeichnis!$BY:$BY,"kg",Gefahrstoffverzeichnis!$AP:$AP,Lager!$B22)</f>
        <v>0</v>
      </c>
      <c r="E22" s="303"/>
      <c r="F22" s="304" t="str">
        <f t="shared" si="0"/>
        <v/>
      </c>
      <c r="G22" s="250" t="s">
        <v>2619</v>
      </c>
      <c r="H22" s="250">
        <f>SUMIFS(Gefahrstoffverzeichnis!$AU:$AU,Gefahrstoffverzeichnis!$BY:$BY,"kg",Gefahrstoffverzeichnis!$AP:$AP,Lager!$B22,Gefahrstoffverzeichnis!$CC:$CC,$G22)</f>
        <v>0</v>
      </c>
      <c r="I22" s="250" t="s">
        <v>2620</v>
      </c>
      <c r="J22" s="250">
        <f>SUMIFS(Gefahrstoffverzeichnis!$AU:$AU,Gefahrstoffverzeichnis!$BY:$BY,"kg",Gefahrstoffverzeichnis!$AP:$AP,Lager!$B22,Gefahrstoffverzeichnis!$CC:$CC,$I22,Gefahrstoffverzeichnis!$CC:$CC,"&lt;&gt;"&amp;$G22)</f>
        <v>0</v>
      </c>
      <c r="K22" s="250" t="s">
        <v>2621</v>
      </c>
      <c r="L22" s="250">
        <f>SUMIFS(Gefahrstoffverzeichnis!$AU:$AU,Gefahrstoffverzeichnis!$BY:$BY,"kg",Gefahrstoffverzeichnis!$AP:$AP,Lager!$B22,Gefahrstoffverzeichnis!$CC:$CC,$K22,Gefahrstoffverzeichnis!$CC:$CC,"&lt;&gt;"&amp;$I22,Gefahrstoffverzeichnis!$CC:$CC,"&lt;&gt;"&amp;$G22)</f>
        <v>0</v>
      </c>
      <c r="M22" s="250" t="s">
        <v>2622</v>
      </c>
      <c r="N22" s="250">
        <f>SUMIFS(Gefahrstoffverzeichnis!$AU:$AU,Gefahrstoffverzeichnis!$BY:$BY,"kg",Gefahrstoffverzeichnis!$AP:$AP,Lager!$B22,Gefahrstoffverzeichnis!$CC:$CC,$M22,Gefahrstoffverzeichnis!$CC:$CC,"&lt;&gt;"&amp;$K22,Gefahrstoffverzeichnis!$CC:$CC,"&lt;&gt;"&amp;$I22,Gefahrstoffverzeichnis!$CC:$CC,"&lt;&gt;"&amp;$G22)</f>
        <v>0</v>
      </c>
      <c r="O22" s="250" t="s">
        <v>2623</v>
      </c>
      <c r="P22" s="250">
        <f>SUMIFS(Gefahrstoffverzeichnis!$AU:$AU,Gefahrstoffverzeichnis!$BY:$BY,"kg",Gefahrstoffverzeichnis!$AP:$AP,Lager!$B22,Gefahrstoffverzeichnis!$CC:$CC,$O22,Gefahrstoffverzeichnis!$CC:$CC,"&lt;&gt;"&amp;$M22,Gefahrstoffverzeichnis!$CC:$CC,"&lt;&gt;"&amp;$K22,Gefahrstoffverzeichnis!$CC:$CC,"&lt;&gt;"&amp;$I22,Gefahrstoffverzeichnis!$CC:$CC,"&lt;&gt;"&amp;$G22)</f>
        <v>0</v>
      </c>
      <c r="Q22" s="250" t="s">
        <v>2624</v>
      </c>
      <c r="R22" s="250">
        <f>SUMIFS(Gefahrstoffverzeichnis!$AU:$AU,Gefahrstoffverzeichnis!$BY:$BY,"kg",Gefahrstoffverzeichnis!$AP:$AP,Lager!$B22,Gefahrstoffverzeichnis!$CC:$CC,$Q$5,Gefahrstoffverzeichnis!$CC:$CC,"&lt;&gt;"&amp;$O22,Gefahrstoffverzeichnis!$CC:$CC,"&lt;&gt;"&amp;$M22,Gefahrstoffverzeichnis!$CC:$CC,"&lt;&gt;"&amp;$K22,Gefahrstoffverzeichnis!$CC:$CC,"&lt;&gt;"&amp;$I22,Gefahrstoffverzeichnis!$CC:$CC,"&lt;&gt;"&amp;$G22)</f>
        <v>0</v>
      </c>
      <c r="S22" s="304" t="str">
        <f t="shared" si="1"/>
        <v/>
      </c>
      <c r="T22" s="250" t="s">
        <v>2625</v>
      </c>
      <c r="U22" s="250">
        <f>SUMIFS(Gefahrstoffverzeichnis!$AU:$AU,Gefahrstoffverzeichnis!$BY:$BY,"kg",Gefahrstoffverzeichnis!$AP:$AP,Lager!$B22,Gefahrstoffverzeichnis!$CC:$CC,$T22)</f>
        <v>0</v>
      </c>
      <c r="V22" s="250" t="s">
        <v>2626</v>
      </c>
      <c r="W22" s="250">
        <f>SUMIFS(Gefahrstoffverzeichnis!$AU:$AU,Gefahrstoffverzeichnis!$BY:$BY,"kg",Gefahrstoffverzeichnis!$AP:$AP,Lager!$B22,Gefahrstoffverzeichnis!$CC:$CC,$V22,Gefahrstoffverzeichnis!$CC:$CC,"&lt;&gt;"&amp;$T22)</f>
        <v>0</v>
      </c>
      <c r="X22" s="304" t="str">
        <f t="shared" si="2"/>
        <v/>
      </c>
      <c r="Y22" s="250" t="s">
        <v>2627</v>
      </c>
      <c r="Z22" s="250">
        <f>SUMIFS(Gefahrstoffverzeichnis!$AU:$AU,Gefahrstoffverzeichnis!$BY:$BY,"kg",Gefahrstoffverzeichnis!$AP:$AP,Lager!$B22,Gefahrstoffverzeichnis!$CC:$CC,$Y22)</f>
        <v>0</v>
      </c>
      <c r="AA22" s="250" t="s">
        <v>2628</v>
      </c>
      <c r="AB22" s="250">
        <f>SUMIFS(Gefahrstoffverzeichnis!$AU:$AU,Gefahrstoffverzeichnis!$BY:$BY,"kg",Gefahrstoffverzeichnis!$AP:$AP,Lager!$B22,Gefahrstoffverzeichnis!$CC:$CC,$AA22,Gefahrstoffverzeichnis!$CC:$CC,"&lt;&gt;"&amp;$Y22)</f>
        <v>0</v>
      </c>
      <c r="AC22" s="304" t="str">
        <f t="shared" si="3"/>
        <v/>
      </c>
      <c r="AD22" s="250" t="s">
        <v>2629</v>
      </c>
      <c r="AE22" s="250">
        <f>SUMIFS(Gefahrstoffverzeichnis!$AU:$AU,Gefahrstoffverzeichnis!$BY:$BY,"kg",Gefahrstoffverzeichnis!$AP:$AP,Lager!$B22,Gefahrstoffverzeichnis!$CB:$CB,$AD22)</f>
        <v>0</v>
      </c>
      <c r="AF22" s="250" t="s">
        <v>2630</v>
      </c>
      <c r="AG22" s="250">
        <f>SUMIFS(Gefahrstoffverzeichnis!$AU:$AU,Gefahrstoffverzeichnis!$BY:$BY,"kg",Gefahrstoffverzeichnis!$AP:$AP,Lager!$B22,Gefahrstoffverzeichnis!$CB:$CB,$AF22,Gefahrstoffverzeichnis!$CB:$CB,"&lt;&gt;"&amp;$AD22)</f>
        <v>0</v>
      </c>
      <c r="AH22" s="304" t="str">
        <f t="shared" si="4"/>
        <v/>
      </c>
      <c r="AI22" s="250" t="s">
        <v>2631</v>
      </c>
      <c r="AJ22" s="250">
        <f>SUMIFS(Gefahrstoffverzeichnis!$AU:$AU,Gefahrstoffverzeichnis!$BY:$BY,"kg",Gefahrstoffverzeichnis!$AP:$AP,Lager!$B22,Gefahrstoffverzeichnis!$CB:$CB,$AI22)</f>
        <v>0</v>
      </c>
      <c r="AK22" s="304" t="str">
        <f t="shared" si="5"/>
        <v/>
      </c>
      <c r="AL22" s="250" t="s">
        <v>2632</v>
      </c>
      <c r="AM22" s="250">
        <f>SUMIFS(Gefahrstoffverzeichnis!$AU:$AU,Gefahrstoffverzeichnis!$BY:$BY,"kg",Gefahrstoffverzeichnis!$AP:$AP,Lager!$B22,Gefahrstoffverzeichnis!$CB:$CB,$AL22)</f>
        <v>0</v>
      </c>
      <c r="AN22" s="304" t="str">
        <f t="shared" si="6"/>
        <v/>
      </c>
      <c r="AO22" s="250" t="s">
        <v>2633</v>
      </c>
      <c r="AP22" s="250">
        <f>SUMIFS(Gefahrstoffverzeichnis!$AU:$AU,Gefahrstoffverzeichnis!$BY:$BY,"kg",Gefahrstoffverzeichnis!$AP:$AP,Lager!$B22,Gefahrstoffverzeichnis!$CB:$CB,$AO22)</f>
        <v>0</v>
      </c>
      <c r="AQ22" s="304" t="str">
        <f t="shared" si="7"/>
        <v/>
      </c>
      <c r="AR22" s="250" t="s">
        <v>2634</v>
      </c>
      <c r="AS22" s="250">
        <f>SUMIFS(Gefahrstoffverzeichnis!$AU:$AU,Gefahrstoffverzeichnis!$BY:$BY,"kg",Gefahrstoffverzeichnis!$AP:$AP,Lager!$B22,Gefahrstoffverzeichnis!$CB:$CB,$AR22)</f>
        <v>0</v>
      </c>
      <c r="AT22" s="250" t="s">
        <v>2635</v>
      </c>
      <c r="AU22" s="250">
        <f>SUMIFS(Gefahrstoffverzeichnis!$AU:$AU,Gefahrstoffverzeichnis!$BY:$BY,"kg",Gefahrstoffverzeichnis!$AP:$AP,Lager!$B22,Gefahrstoffverzeichnis!$CB:$CB,$AT22,Gefahrstoffverzeichnis!$CB:$CB,"&lt;&gt;"&amp;$AR22)</f>
        <v>0</v>
      </c>
      <c r="AV22" s="304" t="str">
        <f t="shared" si="8"/>
        <v/>
      </c>
      <c r="AW22" s="250" t="s">
        <v>2636</v>
      </c>
      <c r="AX22" s="250">
        <f>SUMIFS(Gefahrstoffverzeichnis!$AU:$AU,Gefahrstoffverzeichnis!$BY:$BY,"kg",Gefahrstoffverzeichnis!$AP:$AP,Lager!$B22,Gefahrstoffverzeichnis!$CB:$CB,$AW22)</f>
        <v>0</v>
      </c>
      <c r="AY22" s="304" t="str">
        <f t="shared" si="9"/>
        <v/>
      </c>
      <c r="AZ22" s="250" t="s">
        <v>2637</v>
      </c>
      <c r="BA22" s="250">
        <f>SUMIFS(Gefahrstoffverzeichnis!$AU:$AU,Gefahrstoffverzeichnis!$BY:$BY,"kg",Gefahrstoffverzeichnis!$AP:$AP,Lager!$B22,Gefahrstoffverzeichnis!$CB:$CB,$AZ22)</f>
        <v>0</v>
      </c>
      <c r="BB22" s="304" t="str">
        <f t="shared" si="10"/>
        <v/>
      </c>
      <c r="BC22" s="250" t="s">
        <v>2638</v>
      </c>
      <c r="BD22" s="250">
        <f>SUMIFS(Gefahrstoffverzeichnis!$AU:$AU,Gefahrstoffverzeichnis!$BY:$BY,"kg",Gefahrstoffverzeichnis!$AP:$AP,Lager!$B22,Gefahrstoffverzeichnis!$CB:$CB,$BC22)</f>
        <v>0</v>
      </c>
      <c r="BE22" s="304" t="str">
        <f t="shared" si="11"/>
        <v/>
      </c>
      <c r="BF22" s="250" t="s">
        <v>2639</v>
      </c>
      <c r="BG22" s="250">
        <f>SUMIFS(Gefahrstoffverzeichnis!$AU:$AU,Gefahrstoffverzeichnis!$BY:$BY,"Liter",Gefahrstoffverzeichnis!$AP:$AP,Lager!$B22,Gefahrstoffverzeichnis!$CB:$CB,$BF22)</f>
        <v>0</v>
      </c>
      <c r="BH22" s="250" t="s">
        <v>2640</v>
      </c>
      <c r="BI22" s="250">
        <f>SUMIFS(Gefahrstoffverzeichnis!$AU:$AU,Gefahrstoffverzeichnis!$BY:$BY,"Liter",Gefahrstoffverzeichnis!$AP:$AP,Lager!$B22,Gefahrstoffverzeichnis!$CB:$CB,$BH22,Gefahrstoffverzeichnis!$CB:$CB,"&lt;&gt;"&amp;$BF22)</f>
        <v>0</v>
      </c>
      <c r="BJ22" s="250" t="s">
        <v>2641</v>
      </c>
      <c r="BK22" s="250">
        <f>SUMIFS(Gefahrstoffverzeichnis!$AU:$AU,Gefahrstoffverzeichnis!$BY:$BY,"Liter",Gefahrstoffverzeichnis!$AP:$AP,Lager!$B22,Gefahrstoffverzeichnis!$CB:$CB,$BJ22,Gefahrstoffverzeichnis!$CB:$CB,"&lt;&gt;"&amp;$BH22,Gefahrstoffverzeichnis!$CB:$CB,"&lt;&gt;"&amp;$BF22)</f>
        <v>0</v>
      </c>
      <c r="BL22" s="250" t="s">
        <v>2642</v>
      </c>
      <c r="BM22" s="250">
        <f>SUMIFS(Gefahrstoffverzeichnis!$AU:$AU,Gefahrstoffverzeichnis!$BY:$BY,"Liter",Gefahrstoffverzeichnis!$AP:$AP,Lager!$B22,Gefahrstoffverzeichnis!$CB:$CB,$BL22,Gefahrstoffverzeichnis!$CB:$CB,"&lt;&gt;"&amp;$BJ22,Gefahrstoffverzeichnis!$CB:$CB,"&lt;&gt;"&amp;$BH22,Gefahrstoffverzeichnis!$CB:$CB,"&lt;&gt;"&amp;$BF22)</f>
        <v>0</v>
      </c>
      <c r="BN22" s="250" t="s">
        <v>2643</v>
      </c>
      <c r="BO22" s="250">
        <f>SUMIFS(Gefahrstoffverzeichnis!$AU:$AU,Gefahrstoffverzeichnis!$BY:$BY,"Liter",Gefahrstoffverzeichnis!$AP:$AP,Lager!$B22,Gefahrstoffverzeichnis!$CB:$CB,$BN22,Gefahrstoffverzeichnis!$CB:$CB,"&lt;&gt;"&amp;$BL22,Gefahrstoffverzeichnis!$CB:$CB,"&lt;&gt;"&amp;$BJ22,Gefahrstoffverzeichnis!$CB:$CB,"&lt;&gt;"&amp;$BH22,Gefahrstoffverzeichnis!$CB:$CB,"&lt;&gt;"&amp;$BF22)</f>
        <v>0</v>
      </c>
      <c r="BP22" s="304" t="str">
        <f t="shared" si="12"/>
        <v/>
      </c>
      <c r="BQ22" s="250" t="s">
        <v>2639</v>
      </c>
      <c r="BR22" s="250">
        <f>SUMIFS(Gefahrstoffverzeichnis!$AU:$AU,Gefahrstoffverzeichnis!$BY:$BY,"kg",Gefahrstoffverzeichnis!$AP:$AP,Lager!$B22,Gefahrstoffverzeichnis!$CB:$CB,$BQ22)</f>
        <v>0</v>
      </c>
      <c r="BS22" s="250" t="s">
        <v>2640</v>
      </c>
      <c r="BT22" s="250">
        <f>SUMIFS(Gefahrstoffverzeichnis!$AU:$AU,Gefahrstoffverzeichnis!$BY:$BY,"kg",Gefahrstoffverzeichnis!$AP:$AP,Lager!$B22,Gefahrstoffverzeichnis!$CB:$CB,$BS22,Gefahrstoffverzeichnis!$CB:$CB,"&lt;&gt;"&amp;$BQ22)</f>
        <v>0</v>
      </c>
      <c r="BU22" s="250" t="s">
        <v>2644</v>
      </c>
      <c r="BV22" s="250">
        <f>SUMIFS(Gefahrstoffverzeichnis!$AU:$AU,Gefahrstoffverzeichnis!$BY:$BY,"kg",Gefahrstoffverzeichnis!$AP:$AP,Lager!$B22,Gefahrstoffverzeichnis!$CB:$CB,$BU22,Gefahrstoffverzeichnis!$CB:$CB,"&lt;&gt;"&amp;$BS22,Gefahrstoffverzeichnis!$CB:$CB,"&lt;&gt;"&amp;$BQ22)</f>
        <v>0</v>
      </c>
      <c r="BW22" s="250" t="s">
        <v>2645</v>
      </c>
      <c r="BX22" s="250">
        <f>SUMIFS(Gefahrstoffverzeichnis!$AU:$AU,Gefahrstoffverzeichnis!$BY:$BY,"kg",Gefahrstoffverzeichnis!$AP:$AP,Lager!$B22,Gefahrstoffverzeichnis!$CB:$CB,$BW22,Gefahrstoffverzeichnis!$CB:$CB,"&lt;&gt;"&amp;$BU22,Gefahrstoffverzeichnis!$CB:$CB,"&lt;&gt;"&amp;$BS22,Gefahrstoffverzeichnis!$CB:$CB,"&lt;&gt;"&amp;$BQ22)</f>
        <v>0</v>
      </c>
      <c r="BY22" s="304" t="str">
        <f t="shared" si="13"/>
        <v/>
      </c>
      <c r="BZ22" s="249" t="s">
        <v>2646</v>
      </c>
      <c r="CA22" s="250">
        <f>SUMIFS(Gefahrstoffverzeichnis!$AU:$AU,Gefahrstoffverzeichnis!$BY:$BY,"kg",Gefahrstoffverzeichnis!$AP:$AP,Lager!$B22,Gefahrstoffverzeichnis!$CB:$CB,$BZ22)</f>
        <v>0</v>
      </c>
      <c r="CB22" s="249" t="s">
        <v>2647</v>
      </c>
      <c r="CC22" s="250">
        <f>SUMIFS(Gefahrstoffverzeichnis!$AU:$AU,Gefahrstoffverzeichnis!$BY:$BY,"kg",Gefahrstoffverzeichnis!$AP:$AP,Lager!$B22,Gefahrstoffverzeichnis!$CB:$CB,$CB22,Gefahrstoffverzeichnis!$CB:$CB,"&lt;&gt;"&amp;$BZ22)</f>
        <v>0</v>
      </c>
    </row>
    <row r="23" spans="2:81" ht="18.75" customHeight="1" x14ac:dyDescent="0.3">
      <c r="B23" s="306" t="str">
        <v>*nicht definiert20*</v>
      </c>
      <c r="D23" s="307">
        <f>SUMIFS(Gefahrstoffverzeichnis!$AU:$AU,Gefahrstoffverzeichnis!$BY:$BY,"kg",Gefahrstoffverzeichnis!$AP:$AP,Lager!$B23)</f>
        <v>0</v>
      </c>
      <c r="F23" s="248" t="str">
        <f t="shared" si="0"/>
        <v/>
      </c>
      <c r="G23" s="249" t="s">
        <v>2619</v>
      </c>
      <c r="H23" s="250">
        <f>SUMIFS(Gefahrstoffverzeichnis!$AU:$AU,Gefahrstoffverzeichnis!$BY:$BY,"kg",Gefahrstoffverzeichnis!$AP:$AP,Lager!$B23,Gefahrstoffverzeichnis!$CC:$CC,$G23)</f>
        <v>0</v>
      </c>
      <c r="I23" s="249" t="s">
        <v>2620</v>
      </c>
      <c r="J23" s="250">
        <f>SUMIFS(Gefahrstoffverzeichnis!$AU:$AU,Gefahrstoffverzeichnis!$BY:$BY,"kg",Gefahrstoffverzeichnis!$AP:$AP,Lager!$B23,Gefahrstoffverzeichnis!$CC:$CC,$I23,Gefahrstoffverzeichnis!$CC:$CC,"&lt;&gt;"&amp;$G23)</f>
        <v>0</v>
      </c>
      <c r="K23" s="249" t="s">
        <v>2621</v>
      </c>
      <c r="L23" s="250">
        <f>SUMIFS(Gefahrstoffverzeichnis!$AU:$AU,Gefahrstoffverzeichnis!$BY:$BY,"kg",Gefahrstoffverzeichnis!$AP:$AP,Lager!$B23,Gefahrstoffverzeichnis!$CC:$CC,$K23,Gefahrstoffverzeichnis!$CC:$CC,"&lt;&gt;"&amp;$I23,Gefahrstoffverzeichnis!$CC:$CC,"&lt;&gt;"&amp;$G23)</f>
        <v>0</v>
      </c>
      <c r="M23" s="249" t="s">
        <v>2622</v>
      </c>
      <c r="N23" s="250">
        <f>SUMIFS(Gefahrstoffverzeichnis!$AU:$AU,Gefahrstoffverzeichnis!$BY:$BY,"kg",Gefahrstoffverzeichnis!$AP:$AP,Lager!$B23,Gefahrstoffverzeichnis!$CC:$CC,$M23,Gefahrstoffverzeichnis!$CC:$CC,"&lt;&gt;"&amp;$K23,Gefahrstoffverzeichnis!$CC:$CC,"&lt;&gt;"&amp;$I23,Gefahrstoffverzeichnis!$CC:$CC,"&lt;&gt;"&amp;$G23)</f>
        <v>0</v>
      </c>
      <c r="O23" s="249" t="s">
        <v>2623</v>
      </c>
      <c r="P23" s="250">
        <f>SUMIFS(Gefahrstoffverzeichnis!$AU:$AU,Gefahrstoffverzeichnis!$BY:$BY,"kg",Gefahrstoffverzeichnis!$AP:$AP,Lager!$B23,Gefahrstoffverzeichnis!$CC:$CC,$O23,Gefahrstoffverzeichnis!$CC:$CC,"&lt;&gt;"&amp;$M23,Gefahrstoffverzeichnis!$CC:$CC,"&lt;&gt;"&amp;$K23,Gefahrstoffverzeichnis!$CC:$CC,"&lt;&gt;"&amp;$I23,Gefahrstoffverzeichnis!$CC:$CC,"&lt;&gt;"&amp;$G23)</f>
        <v>0</v>
      </c>
      <c r="Q23" s="249" t="s">
        <v>2624</v>
      </c>
      <c r="R23" s="250">
        <f>SUMIFS(Gefahrstoffverzeichnis!$AU:$AU,Gefahrstoffverzeichnis!$BY:$BY,"kg",Gefahrstoffverzeichnis!$AP:$AP,Lager!$B23,Gefahrstoffverzeichnis!$CC:$CC,$Q$5,Gefahrstoffverzeichnis!$CC:$CC,"&lt;&gt;"&amp;$O23,Gefahrstoffverzeichnis!$CC:$CC,"&lt;&gt;"&amp;$M23,Gefahrstoffverzeichnis!$CC:$CC,"&lt;&gt;"&amp;$K23,Gefahrstoffverzeichnis!$CC:$CC,"&lt;&gt;"&amp;$I23,Gefahrstoffverzeichnis!$CC:$CC,"&lt;&gt;"&amp;$G23)</f>
        <v>0</v>
      </c>
      <c r="S23" s="248" t="str">
        <f t="shared" si="1"/>
        <v/>
      </c>
      <c r="T23" s="249" t="s">
        <v>2625</v>
      </c>
      <c r="U23" s="250">
        <f>SUMIFS(Gefahrstoffverzeichnis!$AU:$AU,Gefahrstoffverzeichnis!$BY:$BY,"kg",Gefahrstoffverzeichnis!$AP:$AP,Lager!$B23,Gefahrstoffverzeichnis!$CC:$CC,$T23)</f>
        <v>0</v>
      </c>
      <c r="V23" s="249" t="s">
        <v>2626</v>
      </c>
      <c r="W23" s="250">
        <f>SUMIFS(Gefahrstoffverzeichnis!$AU:$AU,Gefahrstoffverzeichnis!$BY:$BY,"kg",Gefahrstoffverzeichnis!$AP:$AP,Lager!$B23,Gefahrstoffverzeichnis!$CC:$CC,$V23,Gefahrstoffverzeichnis!$CC:$CC,"&lt;&gt;"&amp;$T23)</f>
        <v>0</v>
      </c>
      <c r="X23" s="248" t="str">
        <f t="shared" si="2"/>
        <v/>
      </c>
      <c r="Y23" s="249" t="s">
        <v>2627</v>
      </c>
      <c r="Z23" s="250">
        <f>SUMIFS(Gefahrstoffverzeichnis!$AU:$AU,Gefahrstoffverzeichnis!$BY:$BY,"kg",Gefahrstoffverzeichnis!$AP:$AP,Lager!$B23,Gefahrstoffverzeichnis!$CC:$CC,$Y23)</f>
        <v>0</v>
      </c>
      <c r="AA23" s="249" t="s">
        <v>2628</v>
      </c>
      <c r="AB23" s="250">
        <f>SUMIFS(Gefahrstoffverzeichnis!$AU:$AU,Gefahrstoffverzeichnis!$BY:$BY,"kg",Gefahrstoffverzeichnis!$AP:$AP,Lager!$B23,Gefahrstoffverzeichnis!$CC:$CC,$AA23,Gefahrstoffverzeichnis!$CC:$CC,"&lt;&gt;"&amp;$Y23)</f>
        <v>0</v>
      </c>
      <c r="AC23" s="248" t="str">
        <f t="shared" si="3"/>
        <v/>
      </c>
      <c r="AD23" s="249" t="s">
        <v>2629</v>
      </c>
      <c r="AE23" s="250">
        <f>SUMIFS(Gefahrstoffverzeichnis!$AU:$AU,Gefahrstoffverzeichnis!$BY:$BY,"kg",Gefahrstoffverzeichnis!$AP:$AP,Lager!$B23,Gefahrstoffverzeichnis!$CB:$CB,$AD23)</f>
        <v>0</v>
      </c>
      <c r="AF23" s="249" t="s">
        <v>2630</v>
      </c>
      <c r="AG23" s="250">
        <f>SUMIFS(Gefahrstoffverzeichnis!$AU:$AU,Gefahrstoffverzeichnis!$BY:$BY,"kg",Gefahrstoffverzeichnis!$AP:$AP,Lager!$B23,Gefahrstoffverzeichnis!$CB:$CB,$AF23,Gefahrstoffverzeichnis!$CB:$CB,"&lt;&gt;"&amp;$AD23)</f>
        <v>0</v>
      </c>
      <c r="AH23" s="248" t="str">
        <f t="shared" si="4"/>
        <v/>
      </c>
      <c r="AI23" s="249" t="s">
        <v>2631</v>
      </c>
      <c r="AJ23" s="250">
        <f>SUMIFS(Gefahrstoffverzeichnis!$AU:$AU,Gefahrstoffverzeichnis!$BY:$BY,"kg",Gefahrstoffverzeichnis!$AP:$AP,Lager!$B23,Gefahrstoffverzeichnis!$CB:$CB,$AI23)</f>
        <v>0</v>
      </c>
      <c r="AK23" s="248" t="str">
        <f t="shared" si="5"/>
        <v/>
      </c>
      <c r="AL23" s="249" t="s">
        <v>2632</v>
      </c>
      <c r="AM23" s="250">
        <f>SUMIFS(Gefahrstoffverzeichnis!$AU:$AU,Gefahrstoffverzeichnis!$BY:$BY,"kg",Gefahrstoffverzeichnis!$AP:$AP,Lager!$B23,Gefahrstoffverzeichnis!$CB:$CB,$AL23)</f>
        <v>0</v>
      </c>
      <c r="AN23" s="248" t="str">
        <f t="shared" si="6"/>
        <v/>
      </c>
      <c r="AO23" s="249" t="s">
        <v>2633</v>
      </c>
      <c r="AP23" s="250">
        <f>SUMIFS(Gefahrstoffverzeichnis!$AU:$AU,Gefahrstoffverzeichnis!$BY:$BY,"kg",Gefahrstoffverzeichnis!$AP:$AP,Lager!$B23,Gefahrstoffverzeichnis!$CB:$CB,$AO23)</f>
        <v>0</v>
      </c>
      <c r="AQ23" s="248" t="str">
        <f t="shared" si="7"/>
        <v/>
      </c>
      <c r="AR23" s="249" t="s">
        <v>2634</v>
      </c>
      <c r="AS23" s="250">
        <f>SUMIFS(Gefahrstoffverzeichnis!$AU:$AU,Gefahrstoffverzeichnis!$BY:$BY,"kg",Gefahrstoffverzeichnis!$AP:$AP,Lager!$B23,Gefahrstoffverzeichnis!$CB:$CB,$AR23)</f>
        <v>0</v>
      </c>
      <c r="AT23" s="249" t="s">
        <v>2635</v>
      </c>
      <c r="AU23" s="250">
        <f>SUMIFS(Gefahrstoffverzeichnis!$AU:$AU,Gefahrstoffverzeichnis!$BY:$BY,"kg",Gefahrstoffverzeichnis!$AP:$AP,Lager!$B23,Gefahrstoffverzeichnis!$CB:$CB,$AT23,Gefahrstoffverzeichnis!$CB:$CB,"&lt;&gt;"&amp;$AR23)</f>
        <v>0</v>
      </c>
      <c r="AV23" s="248" t="str">
        <f t="shared" si="8"/>
        <v/>
      </c>
      <c r="AW23" s="249" t="s">
        <v>2636</v>
      </c>
      <c r="AX23" s="250">
        <f>SUMIFS(Gefahrstoffverzeichnis!$AU:$AU,Gefahrstoffverzeichnis!$BY:$BY,"kg",Gefahrstoffverzeichnis!$AP:$AP,Lager!$B23,Gefahrstoffverzeichnis!$CB:$CB,$AW23)</f>
        <v>0</v>
      </c>
      <c r="AY23" s="248" t="str">
        <f t="shared" si="9"/>
        <v/>
      </c>
      <c r="AZ23" s="249" t="s">
        <v>2637</v>
      </c>
      <c r="BA23" s="250">
        <f>SUMIFS(Gefahrstoffverzeichnis!$AU:$AU,Gefahrstoffverzeichnis!$BY:$BY,"kg",Gefahrstoffverzeichnis!$AP:$AP,Lager!$B23,Gefahrstoffverzeichnis!$CB:$CB,$AZ23)</f>
        <v>0</v>
      </c>
      <c r="BB23" s="248" t="str">
        <f t="shared" si="10"/>
        <v/>
      </c>
      <c r="BC23" s="249" t="s">
        <v>2638</v>
      </c>
      <c r="BD23" s="250">
        <f>SUMIFS(Gefahrstoffverzeichnis!$AU:$AU,Gefahrstoffverzeichnis!$BY:$BY,"kg",Gefahrstoffverzeichnis!$AP:$AP,Lager!$B23,Gefahrstoffverzeichnis!$CB:$CB,$BC23)</f>
        <v>0</v>
      </c>
      <c r="BE23" s="248" t="str">
        <f t="shared" si="11"/>
        <v/>
      </c>
      <c r="BF23" s="249" t="s">
        <v>2639</v>
      </c>
      <c r="BG23" s="250">
        <f>SUMIFS(Gefahrstoffverzeichnis!$AU:$AU,Gefahrstoffverzeichnis!$BY:$BY,"Liter",Gefahrstoffverzeichnis!$AP:$AP,Lager!$B23,Gefahrstoffverzeichnis!$CB:$CB,$BF23)</f>
        <v>0</v>
      </c>
      <c r="BH23" s="249" t="s">
        <v>2640</v>
      </c>
      <c r="BI23" s="250">
        <f>SUMIFS(Gefahrstoffverzeichnis!$AU:$AU,Gefahrstoffverzeichnis!$BY:$BY,"Liter",Gefahrstoffverzeichnis!$AP:$AP,Lager!$B23,Gefahrstoffverzeichnis!$CB:$CB,$BH23,Gefahrstoffverzeichnis!$CB:$CB,"&lt;&gt;"&amp;$BF23)</f>
        <v>0</v>
      </c>
      <c r="BJ23" s="249" t="s">
        <v>2641</v>
      </c>
      <c r="BK23" s="250">
        <f>SUMIFS(Gefahrstoffverzeichnis!$AU:$AU,Gefahrstoffverzeichnis!$BY:$BY,"Liter",Gefahrstoffverzeichnis!$AP:$AP,Lager!$B23,Gefahrstoffverzeichnis!$CB:$CB,$BJ23,Gefahrstoffverzeichnis!$CB:$CB,"&lt;&gt;"&amp;$BH23,Gefahrstoffverzeichnis!$CB:$CB,"&lt;&gt;"&amp;$BF23)</f>
        <v>0</v>
      </c>
      <c r="BL23" s="249" t="s">
        <v>2642</v>
      </c>
      <c r="BM23" s="250">
        <f>SUMIFS(Gefahrstoffverzeichnis!$AU:$AU,Gefahrstoffverzeichnis!$BY:$BY,"Liter",Gefahrstoffverzeichnis!$AP:$AP,Lager!$B23,Gefahrstoffverzeichnis!$CB:$CB,$BL23,Gefahrstoffverzeichnis!$CB:$CB,"&lt;&gt;"&amp;$BJ23,Gefahrstoffverzeichnis!$CB:$CB,"&lt;&gt;"&amp;$BH23,Gefahrstoffverzeichnis!$CB:$CB,"&lt;&gt;"&amp;$BF23)</f>
        <v>0</v>
      </c>
      <c r="BN23" s="249" t="s">
        <v>2643</v>
      </c>
      <c r="BO23" s="250">
        <f>SUMIFS(Gefahrstoffverzeichnis!$AU:$AU,Gefahrstoffverzeichnis!$BY:$BY,"Liter",Gefahrstoffverzeichnis!$AP:$AP,Lager!$B23,Gefahrstoffverzeichnis!$CB:$CB,$BN23,Gefahrstoffverzeichnis!$CB:$CB,"&lt;&gt;"&amp;$BL23,Gefahrstoffverzeichnis!$CB:$CB,"&lt;&gt;"&amp;$BJ23,Gefahrstoffverzeichnis!$CB:$CB,"&lt;&gt;"&amp;$BH23,Gefahrstoffverzeichnis!$CB:$CB,"&lt;&gt;"&amp;$BF23)</f>
        <v>0</v>
      </c>
      <c r="BP23" s="248" t="str">
        <f t="shared" si="12"/>
        <v/>
      </c>
      <c r="BQ23" s="249" t="s">
        <v>2639</v>
      </c>
      <c r="BR23" s="250">
        <f>SUMIFS(Gefahrstoffverzeichnis!$AU:$AU,Gefahrstoffverzeichnis!$BY:$BY,"kg",Gefahrstoffverzeichnis!$AP:$AP,Lager!$B23,Gefahrstoffverzeichnis!$CB:$CB,$BQ23)</f>
        <v>0</v>
      </c>
      <c r="BS23" s="249" t="s">
        <v>2640</v>
      </c>
      <c r="BT23" s="250">
        <f>SUMIFS(Gefahrstoffverzeichnis!$AU:$AU,Gefahrstoffverzeichnis!$BY:$BY,"kg",Gefahrstoffverzeichnis!$AP:$AP,Lager!$B23,Gefahrstoffverzeichnis!$CB:$CB,$BS23,Gefahrstoffverzeichnis!$CB:$CB,"&lt;&gt;"&amp;$BQ23)</f>
        <v>0</v>
      </c>
      <c r="BU23" s="249" t="s">
        <v>2644</v>
      </c>
      <c r="BV23" s="250">
        <f>SUMIFS(Gefahrstoffverzeichnis!$AU:$AU,Gefahrstoffverzeichnis!$BY:$BY,"kg",Gefahrstoffverzeichnis!$AP:$AP,Lager!$B23,Gefahrstoffverzeichnis!$CB:$CB,$BU23,Gefahrstoffverzeichnis!$CB:$CB,"&lt;&gt;"&amp;$BS23,Gefahrstoffverzeichnis!$CB:$CB,"&lt;&gt;"&amp;$BQ23)</f>
        <v>0</v>
      </c>
      <c r="BW23" s="249" t="s">
        <v>2645</v>
      </c>
      <c r="BX23" s="250">
        <f>SUMIFS(Gefahrstoffverzeichnis!$AU:$AU,Gefahrstoffverzeichnis!$BY:$BY,"kg",Gefahrstoffverzeichnis!$AP:$AP,Lager!$B23,Gefahrstoffverzeichnis!$CB:$CB,$BW23,Gefahrstoffverzeichnis!$CB:$CB,"&lt;&gt;"&amp;$BU23,Gefahrstoffverzeichnis!$CB:$CB,"&lt;&gt;"&amp;$BS23,Gefahrstoffverzeichnis!$CB:$CB,"&lt;&gt;"&amp;$BQ23)</f>
        <v>0</v>
      </c>
      <c r="BY23" s="248" t="str">
        <f t="shared" si="13"/>
        <v/>
      </c>
      <c r="BZ23" s="249" t="s">
        <v>2646</v>
      </c>
      <c r="CA23" s="250">
        <f>SUMIFS(Gefahrstoffverzeichnis!$AU:$AU,Gefahrstoffverzeichnis!$BY:$BY,"kg",Gefahrstoffverzeichnis!$AP:$AP,Lager!$B23,Gefahrstoffverzeichnis!$CB:$CB,$BZ23)</f>
        <v>0</v>
      </c>
      <c r="CB23" s="249" t="s">
        <v>2647</v>
      </c>
      <c r="CC23" s="250">
        <f>SUMIFS(Gefahrstoffverzeichnis!$AU:$AU,Gefahrstoffverzeichnis!$BY:$BY,"kg",Gefahrstoffverzeichnis!$AP:$AP,Lager!$B23,Gefahrstoffverzeichnis!$CB:$CB,$CB23,Gefahrstoffverzeichnis!$CB:$CB,"&lt;&gt;"&amp;$BZ23)</f>
        <v>0</v>
      </c>
    </row>
    <row r="24" spans="2:81" ht="18.75" customHeight="1" x14ac:dyDescent="0.3">
      <c r="B24" s="306" t="str">
        <v>*nicht definiert21*</v>
      </c>
      <c r="C24" s="303"/>
      <c r="D24" s="308">
        <f>SUMIFS(Gefahrstoffverzeichnis!$AU:$AU,Gefahrstoffverzeichnis!$BY:$BY,"kg",Gefahrstoffverzeichnis!$AP:$AP,Lager!$B24)</f>
        <v>0</v>
      </c>
      <c r="E24" s="303"/>
      <c r="F24" s="304" t="str">
        <f t="shared" si="0"/>
        <v/>
      </c>
      <c r="G24" s="250" t="s">
        <v>2619</v>
      </c>
      <c r="H24" s="250">
        <f>SUMIFS(Gefahrstoffverzeichnis!$AU:$AU,Gefahrstoffverzeichnis!$BY:$BY,"kg",Gefahrstoffverzeichnis!$AP:$AP,Lager!$B24,Gefahrstoffverzeichnis!$CC:$CC,$G24)</f>
        <v>0</v>
      </c>
      <c r="I24" s="250" t="s">
        <v>2620</v>
      </c>
      <c r="J24" s="250">
        <f>SUMIFS(Gefahrstoffverzeichnis!$AU:$AU,Gefahrstoffverzeichnis!$BY:$BY,"kg",Gefahrstoffverzeichnis!$AP:$AP,Lager!$B24,Gefahrstoffverzeichnis!$CC:$CC,$I24,Gefahrstoffverzeichnis!$CC:$CC,"&lt;&gt;"&amp;$G24)</f>
        <v>0</v>
      </c>
      <c r="K24" s="250" t="s">
        <v>2621</v>
      </c>
      <c r="L24" s="250">
        <f>SUMIFS(Gefahrstoffverzeichnis!$AU:$AU,Gefahrstoffverzeichnis!$BY:$BY,"kg",Gefahrstoffverzeichnis!$AP:$AP,Lager!$B24,Gefahrstoffverzeichnis!$CC:$CC,$K24,Gefahrstoffverzeichnis!$CC:$CC,"&lt;&gt;"&amp;$I24,Gefahrstoffverzeichnis!$CC:$CC,"&lt;&gt;"&amp;$G24)</f>
        <v>0</v>
      </c>
      <c r="M24" s="250" t="s">
        <v>2622</v>
      </c>
      <c r="N24" s="250">
        <f>SUMIFS(Gefahrstoffverzeichnis!$AU:$AU,Gefahrstoffverzeichnis!$BY:$BY,"kg",Gefahrstoffverzeichnis!$AP:$AP,Lager!$B24,Gefahrstoffverzeichnis!$CC:$CC,$M24,Gefahrstoffverzeichnis!$CC:$CC,"&lt;&gt;"&amp;$K24,Gefahrstoffverzeichnis!$CC:$CC,"&lt;&gt;"&amp;$I24,Gefahrstoffverzeichnis!$CC:$CC,"&lt;&gt;"&amp;$G24)</f>
        <v>0</v>
      </c>
      <c r="O24" s="250" t="s">
        <v>2623</v>
      </c>
      <c r="P24" s="250">
        <f>SUMIFS(Gefahrstoffverzeichnis!$AU:$AU,Gefahrstoffverzeichnis!$BY:$BY,"kg",Gefahrstoffverzeichnis!$AP:$AP,Lager!$B24,Gefahrstoffverzeichnis!$CC:$CC,$O24,Gefahrstoffverzeichnis!$CC:$CC,"&lt;&gt;"&amp;$M24,Gefahrstoffverzeichnis!$CC:$CC,"&lt;&gt;"&amp;$K24,Gefahrstoffverzeichnis!$CC:$CC,"&lt;&gt;"&amp;$I24,Gefahrstoffverzeichnis!$CC:$CC,"&lt;&gt;"&amp;$G24)</f>
        <v>0</v>
      </c>
      <c r="Q24" s="250" t="s">
        <v>2624</v>
      </c>
      <c r="R24" s="250">
        <f>SUMIFS(Gefahrstoffverzeichnis!$AU:$AU,Gefahrstoffverzeichnis!$BY:$BY,"kg",Gefahrstoffverzeichnis!$AP:$AP,Lager!$B24,Gefahrstoffverzeichnis!$CC:$CC,$Q$5,Gefahrstoffverzeichnis!$CC:$CC,"&lt;&gt;"&amp;$O24,Gefahrstoffverzeichnis!$CC:$CC,"&lt;&gt;"&amp;$M24,Gefahrstoffverzeichnis!$CC:$CC,"&lt;&gt;"&amp;$K24,Gefahrstoffverzeichnis!$CC:$CC,"&lt;&gt;"&amp;$I24,Gefahrstoffverzeichnis!$CC:$CC,"&lt;&gt;"&amp;$G24)</f>
        <v>0</v>
      </c>
      <c r="S24" s="304" t="str">
        <f t="shared" si="1"/>
        <v/>
      </c>
      <c r="T24" s="250" t="s">
        <v>2625</v>
      </c>
      <c r="U24" s="250">
        <f>SUMIFS(Gefahrstoffverzeichnis!$AU:$AU,Gefahrstoffverzeichnis!$BY:$BY,"kg",Gefahrstoffverzeichnis!$AP:$AP,Lager!$B24,Gefahrstoffverzeichnis!$CC:$CC,$T24)</f>
        <v>0</v>
      </c>
      <c r="V24" s="250" t="s">
        <v>2626</v>
      </c>
      <c r="W24" s="250">
        <f>SUMIFS(Gefahrstoffverzeichnis!$AU:$AU,Gefahrstoffverzeichnis!$BY:$BY,"kg",Gefahrstoffverzeichnis!$AP:$AP,Lager!$B24,Gefahrstoffverzeichnis!$CC:$CC,$V24,Gefahrstoffverzeichnis!$CC:$CC,"&lt;&gt;"&amp;$T24)</f>
        <v>0</v>
      </c>
      <c r="X24" s="304" t="str">
        <f t="shared" si="2"/>
        <v/>
      </c>
      <c r="Y24" s="250" t="s">
        <v>2627</v>
      </c>
      <c r="Z24" s="250">
        <f>SUMIFS(Gefahrstoffverzeichnis!$AU:$AU,Gefahrstoffverzeichnis!$BY:$BY,"kg",Gefahrstoffverzeichnis!$AP:$AP,Lager!$B24,Gefahrstoffverzeichnis!$CC:$CC,$Y24)</f>
        <v>0</v>
      </c>
      <c r="AA24" s="250" t="s">
        <v>2628</v>
      </c>
      <c r="AB24" s="250">
        <f>SUMIFS(Gefahrstoffverzeichnis!$AU:$AU,Gefahrstoffverzeichnis!$BY:$BY,"kg",Gefahrstoffverzeichnis!$AP:$AP,Lager!$B24,Gefahrstoffverzeichnis!$CC:$CC,$AA24,Gefahrstoffverzeichnis!$CC:$CC,"&lt;&gt;"&amp;$Y24)</f>
        <v>0</v>
      </c>
      <c r="AC24" s="304" t="str">
        <f t="shared" si="3"/>
        <v/>
      </c>
      <c r="AD24" s="250" t="s">
        <v>2629</v>
      </c>
      <c r="AE24" s="250">
        <f>SUMIFS(Gefahrstoffverzeichnis!$AU:$AU,Gefahrstoffverzeichnis!$BY:$BY,"kg",Gefahrstoffverzeichnis!$AP:$AP,Lager!$B24,Gefahrstoffverzeichnis!$CB:$CB,$AD24)</f>
        <v>0</v>
      </c>
      <c r="AF24" s="250" t="s">
        <v>2630</v>
      </c>
      <c r="AG24" s="250">
        <f>SUMIFS(Gefahrstoffverzeichnis!$AU:$AU,Gefahrstoffverzeichnis!$BY:$BY,"kg",Gefahrstoffverzeichnis!$AP:$AP,Lager!$B24,Gefahrstoffverzeichnis!$CB:$CB,$AF24,Gefahrstoffverzeichnis!$CB:$CB,"&lt;&gt;"&amp;$AD24)</f>
        <v>0</v>
      </c>
      <c r="AH24" s="304" t="str">
        <f t="shared" si="4"/>
        <v/>
      </c>
      <c r="AI24" s="250" t="s">
        <v>2631</v>
      </c>
      <c r="AJ24" s="250">
        <f>SUMIFS(Gefahrstoffverzeichnis!$AU:$AU,Gefahrstoffverzeichnis!$BY:$BY,"kg",Gefahrstoffverzeichnis!$AP:$AP,Lager!$B24,Gefahrstoffverzeichnis!$CB:$CB,$AI24)</f>
        <v>0</v>
      </c>
      <c r="AK24" s="304" t="str">
        <f t="shared" si="5"/>
        <v/>
      </c>
      <c r="AL24" s="250" t="s">
        <v>2632</v>
      </c>
      <c r="AM24" s="250">
        <f>SUMIFS(Gefahrstoffverzeichnis!$AU:$AU,Gefahrstoffverzeichnis!$BY:$BY,"kg",Gefahrstoffverzeichnis!$AP:$AP,Lager!$B24,Gefahrstoffverzeichnis!$CB:$CB,$AL24)</f>
        <v>0</v>
      </c>
      <c r="AN24" s="304" t="str">
        <f t="shared" si="6"/>
        <v/>
      </c>
      <c r="AO24" s="250" t="s">
        <v>2633</v>
      </c>
      <c r="AP24" s="250">
        <f>SUMIFS(Gefahrstoffverzeichnis!$AU:$AU,Gefahrstoffverzeichnis!$BY:$BY,"kg",Gefahrstoffverzeichnis!$AP:$AP,Lager!$B24,Gefahrstoffverzeichnis!$CB:$CB,$AO24)</f>
        <v>0</v>
      </c>
      <c r="AQ24" s="304" t="str">
        <f t="shared" si="7"/>
        <v/>
      </c>
      <c r="AR24" s="250" t="s">
        <v>2634</v>
      </c>
      <c r="AS24" s="250">
        <f>SUMIFS(Gefahrstoffverzeichnis!$AU:$AU,Gefahrstoffverzeichnis!$BY:$BY,"kg",Gefahrstoffverzeichnis!$AP:$AP,Lager!$B24,Gefahrstoffverzeichnis!$CB:$CB,$AR24)</f>
        <v>0</v>
      </c>
      <c r="AT24" s="250" t="s">
        <v>2635</v>
      </c>
      <c r="AU24" s="250">
        <f>SUMIFS(Gefahrstoffverzeichnis!$AU:$AU,Gefahrstoffverzeichnis!$BY:$BY,"kg",Gefahrstoffverzeichnis!$AP:$AP,Lager!$B24,Gefahrstoffverzeichnis!$CB:$CB,$AT24,Gefahrstoffverzeichnis!$CB:$CB,"&lt;&gt;"&amp;$AR24)</f>
        <v>0</v>
      </c>
      <c r="AV24" s="304" t="str">
        <f t="shared" si="8"/>
        <v/>
      </c>
      <c r="AW24" s="250" t="s">
        <v>2636</v>
      </c>
      <c r="AX24" s="250">
        <f>SUMIFS(Gefahrstoffverzeichnis!$AU:$AU,Gefahrstoffverzeichnis!$BY:$BY,"kg",Gefahrstoffverzeichnis!$AP:$AP,Lager!$B24,Gefahrstoffverzeichnis!$CB:$CB,$AW24)</f>
        <v>0</v>
      </c>
      <c r="AY24" s="304" t="str">
        <f t="shared" si="9"/>
        <v/>
      </c>
      <c r="AZ24" s="250" t="s">
        <v>2637</v>
      </c>
      <c r="BA24" s="250">
        <f>SUMIFS(Gefahrstoffverzeichnis!$AU:$AU,Gefahrstoffverzeichnis!$BY:$BY,"kg",Gefahrstoffverzeichnis!$AP:$AP,Lager!$B24,Gefahrstoffverzeichnis!$CB:$CB,$AZ24)</f>
        <v>0</v>
      </c>
      <c r="BB24" s="304" t="str">
        <f t="shared" si="10"/>
        <v/>
      </c>
      <c r="BC24" s="250" t="s">
        <v>2638</v>
      </c>
      <c r="BD24" s="250">
        <f>SUMIFS(Gefahrstoffverzeichnis!$AU:$AU,Gefahrstoffverzeichnis!$BY:$BY,"kg",Gefahrstoffverzeichnis!$AP:$AP,Lager!$B24,Gefahrstoffverzeichnis!$CB:$CB,$BC24)</f>
        <v>0</v>
      </c>
      <c r="BE24" s="304" t="str">
        <f t="shared" si="11"/>
        <v/>
      </c>
      <c r="BF24" s="250" t="s">
        <v>2639</v>
      </c>
      <c r="BG24" s="250">
        <f>SUMIFS(Gefahrstoffverzeichnis!$AU:$AU,Gefahrstoffverzeichnis!$BY:$BY,"Liter",Gefahrstoffverzeichnis!$AP:$AP,Lager!$B24,Gefahrstoffverzeichnis!$CB:$CB,$BF24)</f>
        <v>0</v>
      </c>
      <c r="BH24" s="250" t="s">
        <v>2640</v>
      </c>
      <c r="BI24" s="250">
        <f>SUMIFS(Gefahrstoffverzeichnis!$AU:$AU,Gefahrstoffverzeichnis!$BY:$BY,"Liter",Gefahrstoffverzeichnis!$AP:$AP,Lager!$B24,Gefahrstoffverzeichnis!$CB:$CB,$BH24,Gefahrstoffverzeichnis!$CB:$CB,"&lt;&gt;"&amp;$BF24)</f>
        <v>0</v>
      </c>
      <c r="BJ24" s="250" t="s">
        <v>2641</v>
      </c>
      <c r="BK24" s="250">
        <f>SUMIFS(Gefahrstoffverzeichnis!$AU:$AU,Gefahrstoffverzeichnis!$BY:$BY,"Liter",Gefahrstoffverzeichnis!$AP:$AP,Lager!$B24,Gefahrstoffverzeichnis!$CB:$CB,$BJ24,Gefahrstoffverzeichnis!$CB:$CB,"&lt;&gt;"&amp;$BH24,Gefahrstoffverzeichnis!$CB:$CB,"&lt;&gt;"&amp;$BF24)</f>
        <v>0</v>
      </c>
      <c r="BL24" s="250" t="s">
        <v>2642</v>
      </c>
      <c r="BM24" s="250">
        <f>SUMIFS(Gefahrstoffverzeichnis!$AU:$AU,Gefahrstoffverzeichnis!$BY:$BY,"Liter",Gefahrstoffverzeichnis!$AP:$AP,Lager!$B24,Gefahrstoffverzeichnis!$CB:$CB,$BL24,Gefahrstoffverzeichnis!$CB:$CB,"&lt;&gt;"&amp;$BJ24,Gefahrstoffverzeichnis!$CB:$CB,"&lt;&gt;"&amp;$BH24,Gefahrstoffverzeichnis!$CB:$CB,"&lt;&gt;"&amp;$BF24)</f>
        <v>0</v>
      </c>
      <c r="BN24" s="250" t="s">
        <v>2643</v>
      </c>
      <c r="BO24" s="250">
        <f>SUMIFS(Gefahrstoffverzeichnis!$AU:$AU,Gefahrstoffverzeichnis!$BY:$BY,"Liter",Gefahrstoffverzeichnis!$AP:$AP,Lager!$B24,Gefahrstoffverzeichnis!$CB:$CB,$BN24,Gefahrstoffverzeichnis!$CB:$CB,"&lt;&gt;"&amp;$BL24,Gefahrstoffverzeichnis!$CB:$CB,"&lt;&gt;"&amp;$BJ24,Gefahrstoffverzeichnis!$CB:$CB,"&lt;&gt;"&amp;$BH24,Gefahrstoffverzeichnis!$CB:$CB,"&lt;&gt;"&amp;$BF24)</f>
        <v>0</v>
      </c>
      <c r="BP24" s="304" t="str">
        <f t="shared" si="12"/>
        <v/>
      </c>
      <c r="BQ24" s="250" t="s">
        <v>2639</v>
      </c>
      <c r="BR24" s="250">
        <f>SUMIFS(Gefahrstoffverzeichnis!$AU:$AU,Gefahrstoffverzeichnis!$BY:$BY,"kg",Gefahrstoffverzeichnis!$AP:$AP,Lager!$B24,Gefahrstoffverzeichnis!$CB:$CB,$BQ24)</f>
        <v>0</v>
      </c>
      <c r="BS24" s="250" t="s">
        <v>2640</v>
      </c>
      <c r="BT24" s="250">
        <f>SUMIFS(Gefahrstoffverzeichnis!$AU:$AU,Gefahrstoffverzeichnis!$BY:$BY,"kg",Gefahrstoffverzeichnis!$AP:$AP,Lager!$B24,Gefahrstoffverzeichnis!$CB:$CB,$BS24,Gefahrstoffverzeichnis!$CB:$CB,"&lt;&gt;"&amp;$BQ24)</f>
        <v>0</v>
      </c>
      <c r="BU24" s="250" t="s">
        <v>2644</v>
      </c>
      <c r="BV24" s="250">
        <f>SUMIFS(Gefahrstoffverzeichnis!$AU:$AU,Gefahrstoffverzeichnis!$BY:$BY,"kg",Gefahrstoffverzeichnis!$AP:$AP,Lager!$B24,Gefahrstoffverzeichnis!$CB:$CB,$BU24,Gefahrstoffverzeichnis!$CB:$CB,"&lt;&gt;"&amp;$BS24,Gefahrstoffverzeichnis!$CB:$CB,"&lt;&gt;"&amp;$BQ24)</f>
        <v>0</v>
      </c>
      <c r="BW24" s="250" t="s">
        <v>2645</v>
      </c>
      <c r="BX24" s="250">
        <f>SUMIFS(Gefahrstoffverzeichnis!$AU:$AU,Gefahrstoffverzeichnis!$BY:$BY,"kg",Gefahrstoffverzeichnis!$AP:$AP,Lager!$B24,Gefahrstoffverzeichnis!$CB:$CB,$BW24,Gefahrstoffverzeichnis!$CB:$CB,"&lt;&gt;"&amp;$BU24,Gefahrstoffverzeichnis!$CB:$CB,"&lt;&gt;"&amp;$BS24,Gefahrstoffverzeichnis!$CB:$CB,"&lt;&gt;"&amp;$BQ24)</f>
        <v>0</v>
      </c>
      <c r="BY24" s="304" t="str">
        <f t="shared" si="13"/>
        <v/>
      </c>
      <c r="BZ24" s="249" t="s">
        <v>2646</v>
      </c>
      <c r="CA24" s="250">
        <f>SUMIFS(Gefahrstoffverzeichnis!$AU:$AU,Gefahrstoffverzeichnis!$BY:$BY,"kg",Gefahrstoffverzeichnis!$AP:$AP,Lager!$B24,Gefahrstoffverzeichnis!$CB:$CB,$BZ24)</f>
        <v>0</v>
      </c>
      <c r="CB24" s="249" t="s">
        <v>2647</v>
      </c>
      <c r="CC24" s="250">
        <f>SUMIFS(Gefahrstoffverzeichnis!$AU:$AU,Gefahrstoffverzeichnis!$BY:$BY,"kg",Gefahrstoffverzeichnis!$AP:$AP,Lager!$B24,Gefahrstoffverzeichnis!$CB:$CB,$CB24,Gefahrstoffverzeichnis!$CB:$CB,"&lt;&gt;"&amp;$BZ24)</f>
        <v>0</v>
      </c>
    </row>
    <row r="25" spans="2:81" ht="18.75" customHeight="1" x14ac:dyDescent="0.3">
      <c r="B25" s="306" t="str">
        <v>*nicht definiert22*</v>
      </c>
      <c r="D25" s="307">
        <f>SUMIFS(Gefahrstoffverzeichnis!$AU:$AU,Gefahrstoffverzeichnis!$BY:$BY,"kg",Gefahrstoffverzeichnis!$AP:$AP,Lager!$B25)</f>
        <v>0</v>
      </c>
      <c r="F25" s="248" t="str">
        <f t="shared" si="0"/>
        <v/>
      </c>
      <c r="G25" s="249" t="s">
        <v>2619</v>
      </c>
      <c r="H25" s="250">
        <f>SUMIFS(Gefahrstoffverzeichnis!$AU:$AU,Gefahrstoffverzeichnis!$BY:$BY,"kg",Gefahrstoffverzeichnis!$AP:$AP,Lager!$B25,Gefahrstoffverzeichnis!$CC:$CC,$G25)</f>
        <v>0</v>
      </c>
      <c r="I25" s="249" t="s">
        <v>2620</v>
      </c>
      <c r="J25" s="250">
        <f>SUMIFS(Gefahrstoffverzeichnis!$AU:$AU,Gefahrstoffverzeichnis!$BY:$BY,"kg",Gefahrstoffverzeichnis!$AP:$AP,Lager!$B25,Gefahrstoffverzeichnis!$CC:$CC,$I25,Gefahrstoffverzeichnis!$CC:$CC,"&lt;&gt;"&amp;$G25)</f>
        <v>0</v>
      </c>
      <c r="K25" s="249" t="s">
        <v>2621</v>
      </c>
      <c r="L25" s="250">
        <f>SUMIFS(Gefahrstoffverzeichnis!$AU:$AU,Gefahrstoffverzeichnis!$BY:$BY,"kg",Gefahrstoffverzeichnis!$AP:$AP,Lager!$B25,Gefahrstoffverzeichnis!$CC:$CC,$K25,Gefahrstoffverzeichnis!$CC:$CC,"&lt;&gt;"&amp;$I25,Gefahrstoffverzeichnis!$CC:$CC,"&lt;&gt;"&amp;$G25)</f>
        <v>0</v>
      </c>
      <c r="M25" s="249" t="s">
        <v>2622</v>
      </c>
      <c r="N25" s="250">
        <f>SUMIFS(Gefahrstoffverzeichnis!$AU:$AU,Gefahrstoffverzeichnis!$BY:$BY,"kg",Gefahrstoffverzeichnis!$AP:$AP,Lager!$B25,Gefahrstoffverzeichnis!$CC:$CC,$M25,Gefahrstoffverzeichnis!$CC:$CC,"&lt;&gt;"&amp;$K25,Gefahrstoffverzeichnis!$CC:$CC,"&lt;&gt;"&amp;$I25,Gefahrstoffverzeichnis!$CC:$CC,"&lt;&gt;"&amp;$G25)</f>
        <v>0</v>
      </c>
      <c r="O25" s="249" t="s">
        <v>2623</v>
      </c>
      <c r="P25" s="250">
        <f>SUMIFS(Gefahrstoffverzeichnis!$AU:$AU,Gefahrstoffverzeichnis!$BY:$BY,"kg",Gefahrstoffverzeichnis!$AP:$AP,Lager!$B25,Gefahrstoffverzeichnis!$CC:$CC,$O25,Gefahrstoffverzeichnis!$CC:$CC,"&lt;&gt;"&amp;$M25,Gefahrstoffverzeichnis!$CC:$CC,"&lt;&gt;"&amp;$K25,Gefahrstoffverzeichnis!$CC:$CC,"&lt;&gt;"&amp;$I25,Gefahrstoffverzeichnis!$CC:$CC,"&lt;&gt;"&amp;$G25)</f>
        <v>0</v>
      </c>
      <c r="Q25" s="249" t="s">
        <v>2624</v>
      </c>
      <c r="R25" s="250">
        <f>SUMIFS(Gefahrstoffverzeichnis!$AU:$AU,Gefahrstoffverzeichnis!$BY:$BY,"kg",Gefahrstoffverzeichnis!$AP:$AP,Lager!$B25,Gefahrstoffverzeichnis!$CC:$CC,$Q$5,Gefahrstoffverzeichnis!$CC:$CC,"&lt;&gt;"&amp;$O25,Gefahrstoffverzeichnis!$CC:$CC,"&lt;&gt;"&amp;$M25,Gefahrstoffverzeichnis!$CC:$CC,"&lt;&gt;"&amp;$K25,Gefahrstoffverzeichnis!$CC:$CC,"&lt;&gt;"&amp;$I25,Gefahrstoffverzeichnis!$CC:$CC,"&lt;&gt;"&amp;$G25)</f>
        <v>0</v>
      </c>
      <c r="S25" s="248" t="str">
        <f t="shared" si="1"/>
        <v/>
      </c>
      <c r="T25" s="249" t="s">
        <v>2625</v>
      </c>
      <c r="U25" s="250">
        <f>SUMIFS(Gefahrstoffverzeichnis!$AU:$AU,Gefahrstoffverzeichnis!$BY:$BY,"kg",Gefahrstoffverzeichnis!$AP:$AP,Lager!$B25,Gefahrstoffverzeichnis!$CC:$CC,$T25)</f>
        <v>0</v>
      </c>
      <c r="V25" s="249" t="s">
        <v>2626</v>
      </c>
      <c r="W25" s="250">
        <f>SUMIFS(Gefahrstoffverzeichnis!$AU:$AU,Gefahrstoffverzeichnis!$BY:$BY,"kg",Gefahrstoffverzeichnis!$AP:$AP,Lager!$B25,Gefahrstoffverzeichnis!$CC:$CC,$V25,Gefahrstoffverzeichnis!$CC:$CC,"&lt;&gt;"&amp;$T25)</f>
        <v>0</v>
      </c>
      <c r="X25" s="248" t="str">
        <f t="shared" si="2"/>
        <v/>
      </c>
      <c r="Y25" s="249" t="s">
        <v>2627</v>
      </c>
      <c r="Z25" s="250">
        <f>SUMIFS(Gefahrstoffverzeichnis!$AU:$AU,Gefahrstoffverzeichnis!$BY:$BY,"kg",Gefahrstoffverzeichnis!$AP:$AP,Lager!$B25,Gefahrstoffverzeichnis!$CC:$CC,$Y25)</f>
        <v>0</v>
      </c>
      <c r="AA25" s="249" t="s">
        <v>2628</v>
      </c>
      <c r="AB25" s="250">
        <f>SUMIFS(Gefahrstoffverzeichnis!$AU:$AU,Gefahrstoffverzeichnis!$BY:$BY,"kg",Gefahrstoffverzeichnis!$AP:$AP,Lager!$B25,Gefahrstoffverzeichnis!$CC:$CC,$AA25,Gefahrstoffverzeichnis!$CC:$CC,"&lt;&gt;"&amp;$Y25)</f>
        <v>0</v>
      </c>
      <c r="AC25" s="248" t="str">
        <f t="shared" si="3"/>
        <v/>
      </c>
      <c r="AD25" s="249" t="s">
        <v>2629</v>
      </c>
      <c r="AE25" s="250">
        <f>SUMIFS(Gefahrstoffverzeichnis!$AU:$AU,Gefahrstoffverzeichnis!$BY:$BY,"kg",Gefahrstoffverzeichnis!$AP:$AP,Lager!$B25,Gefahrstoffverzeichnis!$CB:$CB,$AD25)</f>
        <v>0</v>
      </c>
      <c r="AF25" s="249" t="s">
        <v>2630</v>
      </c>
      <c r="AG25" s="250">
        <f>SUMIFS(Gefahrstoffverzeichnis!$AU:$AU,Gefahrstoffverzeichnis!$BY:$BY,"kg",Gefahrstoffverzeichnis!$AP:$AP,Lager!$B25,Gefahrstoffverzeichnis!$CB:$CB,$AF25,Gefahrstoffverzeichnis!$CB:$CB,"&lt;&gt;"&amp;$AD25)</f>
        <v>0</v>
      </c>
      <c r="AH25" s="248" t="str">
        <f t="shared" si="4"/>
        <v/>
      </c>
      <c r="AI25" s="249" t="s">
        <v>2631</v>
      </c>
      <c r="AJ25" s="250">
        <f>SUMIFS(Gefahrstoffverzeichnis!$AU:$AU,Gefahrstoffverzeichnis!$BY:$BY,"kg",Gefahrstoffverzeichnis!$AP:$AP,Lager!$B25,Gefahrstoffverzeichnis!$CB:$CB,$AI25)</f>
        <v>0</v>
      </c>
      <c r="AK25" s="248" t="str">
        <f t="shared" si="5"/>
        <v/>
      </c>
      <c r="AL25" s="249" t="s">
        <v>2632</v>
      </c>
      <c r="AM25" s="250">
        <f>SUMIFS(Gefahrstoffverzeichnis!$AU:$AU,Gefahrstoffverzeichnis!$BY:$BY,"kg",Gefahrstoffverzeichnis!$AP:$AP,Lager!$B25,Gefahrstoffverzeichnis!$CB:$CB,$AL25)</f>
        <v>0</v>
      </c>
      <c r="AN25" s="248" t="str">
        <f t="shared" si="6"/>
        <v/>
      </c>
      <c r="AO25" s="249" t="s">
        <v>2633</v>
      </c>
      <c r="AP25" s="250">
        <f>SUMIFS(Gefahrstoffverzeichnis!$AU:$AU,Gefahrstoffverzeichnis!$BY:$BY,"kg",Gefahrstoffverzeichnis!$AP:$AP,Lager!$B25,Gefahrstoffverzeichnis!$CB:$CB,$AO25)</f>
        <v>0</v>
      </c>
      <c r="AQ25" s="248" t="str">
        <f t="shared" si="7"/>
        <v/>
      </c>
      <c r="AR25" s="249" t="s">
        <v>2634</v>
      </c>
      <c r="AS25" s="250">
        <f>SUMIFS(Gefahrstoffverzeichnis!$AU:$AU,Gefahrstoffverzeichnis!$BY:$BY,"kg",Gefahrstoffverzeichnis!$AP:$AP,Lager!$B25,Gefahrstoffverzeichnis!$CB:$CB,$AR25)</f>
        <v>0</v>
      </c>
      <c r="AT25" s="249" t="s">
        <v>2635</v>
      </c>
      <c r="AU25" s="250">
        <f>SUMIFS(Gefahrstoffverzeichnis!$AU:$AU,Gefahrstoffverzeichnis!$BY:$BY,"kg",Gefahrstoffverzeichnis!$AP:$AP,Lager!$B25,Gefahrstoffverzeichnis!$CB:$CB,$AT25,Gefahrstoffverzeichnis!$CB:$CB,"&lt;&gt;"&amp;$AR25)</f>
        <v>0</v>
      </c>
      <c r="AV25" s="248" t="str">
        <f t="shared" si="8"/>
        <v/>
      </c>
      <c r="AW25" s="249" t="s">
        <v>2636</v>
      </c>
      <c r="AX25" s="250">
        <f>SUMIFS(Gefahrstoffverzeichnis!$AU:$AU,Gefahrstoffverzeichnis!$BY:$BY,"kg",Gefahrstoffverzeichnis!$AP:$AP,Lager!$B25,Gefahrstoffverzeichnis!$CB:$CB,$AW25)</f>
        <v>0</v>
      </c>
      <c r="AY25" s="248" t="str">
        <f t="shared" si="9"/>
        <v/>
      </c>
      <c r="AZ25" s="249" t="s">
        <v>2637</v>
      </c>
      <c r="BA25" s="250">
        <f>SUMIFS(Gefahrstoffverzeichnis!$AU:$AU,Gefahrstoffverzeichnis!$BY:$BY,"kg",Gefahrstoffverzeichnis!$AP:$AP,Lager!$B25,Gefahrstoffverzeichnis!$CB:$CB,$AZ25)</f>
        <v>0</v>
      </c>
      <c r="BB25" s="248" t="str">
        <f t="shared" si="10"/>
        <v/>
      </c>
      <c r="BC25" s="249" t="s">
        <v>2638</v>
      </c>
      <c r="BD25" s="250">
        <f>SUMIFS(Gefahrstoffverzeichnis!$AU:$AU,Gefahrstoffverzeichnis!$BY:$BY,"kg",Gefahrstoffverzeichnis!$AP:$AP,Lager!$B25,Gefahrstoffverzeichnis!$CB:$CB,$BC25)</f>
        <v>0</v>
      </c>
      <c r="BE25" s="248" t="str">
        <f t="shared" si="11"/>
        <v/>
      </c>
      <c r="BF25" s="249" t="s">
        <v>2639</v>
      </c>
      <c r="BG25" s="250">
        <f>SUMIFS(Gefahrstoffverzeichnis!$AU:$AU,Gefahrstoffverzeichnis!$BY:$BY,"Liter",Gefahrstoffverzeichnis!$AP:$AP,Lager!$B25,Gefahrstoffverzeichnis!$CB:$CB,$BF25)</f>
        <v>0</v>
      </c>
      <c r="BH25" s="249" t="s">
        <v>2640</v>
      </c>
      <c r="BI25" s="250">
        <f>SUMIFS(Gefahrstoffverzeichnis!$AU:$AU,Gefahrstoffverzeichnis!$BY:$BY,"Liter",Gefahrstoffverzeichnis!$AP:$AP,Lager!$B25,Gefahrstoffverzeichnis!$CB:$CB,$BH25,Gefahrstoffverzeichnis!$CB:$CB,"&lt;&gt;"&amp;$BF25)</f>
        <v>0</v>
      </c>
      <c r="BJ25" s="249" t="s">
        <v>2641</v>
      </c>
      <c r="BK25" s="250">
        <f>SUMIFS(Gefahrstoffverzeichnis!$AU:$AU,Gefahrstoffverzeichnis!$BY:$BY,"Liter",Gefahrstoffverzeichnis!$AP:$AP,Lager!$B25,Gefahrstoffverzeichnis!$CB:$CB,$BJ25,Gefahrstoffverzeichnis!$CB:$CB,"&lt;&gt;"&amp;$BH25,Gefahrstoffverzeichnis!$CB:$CB,"&lt;&gt;"&amp;$BF25)</f>
        <v>0</v>
      </c>
      <c r="BL25" s="249" t="s">
        <v>2642</v>
      </c>
      <c r="BM25" s="250">
        <f>SUMIFS(Gefahrstoffverzeichnis!$AU:$AU,Gefahrstoffverzeichnis!$BY:$BY,"Liter",Gefahrstoffverzeichnis!$AP:$AP,Lager!$B25,Gefahrstoffverzeichnis!$CB:$CB,$BL25,Gefahrstoffverzeichnis!$CB:$CB,"&lt;&gt;"&amp;$BJ25,Gefahrstoffverzeichnis!$CB:$CB,"&lt;&gt;"&amp;$BH25,Gefahrstoffverzeichnis!$CB:$CB,"&lt;&gt;"&amp;$BF25)</f>
        <v>0</v>
      </c>
      <c r="BN25" s="249" t="s">
        <v>2643</v>
      </c>
      <c r="BO25" s="250">
        <f>SUMIFS(Gefahrstoffverzeichnis!$AU:$AU,Gefahrstoffverzeichnis!$BY:$BY,"Liter",Gefahrstoffverzeichnis!$AP:$AP,Lager!$B25,Gefahrstoffverzeichnis!$CB:$CB,$BN25,Gefahrstoffverzeichnis!$CB:$CB,"&lt;&gt;"&amp;$BL25,Gefahrstoffverzeichnis!$CB:$CB,"&lt;&gt;"&amp;$BJ25,Gefahrstoffverzeichnis!$CB:$CB,"&lt;&gt;"&amp;$BH25,Gefahrstoffverzeichnis!$CB:$CB,"&lt;&gt;"&amp;$BF25)</f>
        <v>0</v>
      </c>
      <c r="BP25" s="248" t="str">
        <f t="shared" si="12"/>
        <v/>
      </c>
      <c r="BQ25" s="249" t="s">
        <v>2639</v>
      </c>
      <c r="BR25" s="250">
        <f>SUMIFS(Gefahrstoffverzeichnis!$AU:$AU,Gefahrstoffverzeichnis!$BY:$BY,"kg",Gefahrstoffverzeichnis!$AP:$AP,Lager!$B25,Gefahrstoffverzeichnis!$CB:$CB,$BQ25)</f>
        <v>0</v>
      </c>
      <c r="BS25" s="249" t="s">
        <v>2640</v>
      </c>
      <c r="BT25" s="250">
        <f>SUMIFS(Gefahrstoffverzeichnis!$AU:$AU,Gefahrstoffverzeichnis!$BY:$BY,"kg",Gefahrstoffverzeichnis!$AP:$AP,Lager!$B25,Gefahrstoffverzeichnis!$CB:$CB,$BS25,Gefahrstoffverzeichnis!$CB:$CB,"&lt;&gt;"&amp;$BQ25)</f>
        <v>0</v>
      </c>
      <c r="BU25" s="249" t="s">
        <v>2644</v>
      </c>
      <c r="BV25" s="250">
        <f>SUMIFS(Gefahrstoffverzeichnis!$AU:$AU,Gefahrstoffverzeichnis!$BY:$BY,"kg",Gefahrstoffverzeichnis!$AP:$AP,Lager!$B25,Gefahrstoffverzeichnis!$CB:$CB,$BU25,Gefahrstoffverzeichnis!$CB:$CB,"&lt;&gt;"&amp;$BS25,Gefahrstoffverzeichnis!$CB:$CB,"&lt;&gt;"&amp;$BQ25)</f>
        <v>0</v>
      </c>
      <c r="BW25" s="249" t="s">
        <v>2645</v>
      </c>
      <c r="BX25" s="250">
        <f>SUMIFS(Gefahrstoffverzeichnis!$AU:$AU,Gefahrstoffverzeichnis!$BY:$BY,"kg",Gefahrstoffverzeichnis!$AP:$AP,Lager!$B25,Gefahrstoffverzeichnis!$CB:$CB,$BW25,Gefahrstoffverzeichnis!$CB:$CB,"&lt;&gt;"&amp;$BU25,Gefahrstoffverzeichnis!$CB:$CB,"&lt;&gt;"&amp;$BS25,Gefahrstoffverzeichnis!$CB:$CB,"&lt;&gt;"&amp;$BQ25)</f>
        <v>0</v>
      </c>
      <c r="BY25" s="248" t="str">
        <f t="shared" si="13"/>
        <v/>
      </c>
      <c r="BZ25" s="249" t="s">
        <v>2646</v>
      </c>
      <c r="CA25" s="250">
        <f>SUMIFS(Gefahrstoffverzeichnis!$AU:$AU,Gefahrstoffverzeichnis!$BY:$BY,"kg",Gefahrstoffverzeichnis!$AP:$AP,Lager!$B25,Gefahrstoffverzeichnis!$CB:$CB,$BZ25)</f>
        <v>0</v>
      </c>
      <c r="CB25" s="249" t="s">
        <v>2647</v>
      </c>
      <c r="CC25" s="250">
        <f>SUMIFS(Gefahrstoffverzeichnis!$AU:$AU,Gefahrstoffverzeichnis!$BY:$BY,"kg",Gefahrstoffverzeichnis!$AP:$AP,Lager!$B25,Gefahrstoffverzeichnis!$CB:$CB,$CB25,Gefahrstoffverzeichnis!$CB:$CB,"&lt;&gt;"&amp;$BZ25)</f>
        <v>0</v>
      </c>
    </row>
    <row r="26" spans="2:81" ht="18.75" customHeight="1" x14ac:dyDescent="0.3">
      <c r="B26" s="306" t="str">
        <v>*nicht definiert23*</v>
      </c>
      <c r="C26" s="303"/>
      <c r="D26" s="308">
        <f>SUMIFS(Gefahrstoffverzeichnis!$AU:$AU,Gefahrstoffverzeichnis!$BY:$BY,"kg",Gefahrstoffverzeichnis!$AP:$AP,Lager!$B26)</f>
        <v>0</v>
      </c>
      <c r="E26" s="303"/>
      <c r="F26" s="304" t="str">
        <f t="shared" si="0"/>
        <v/>
      </c>
      <c r="G26" s="250" t="s">
        <v>2619</v>
      </c>
      <c r="H26" s="250">
        <f>SUMIFS(Gefahrstoffverzeichnis!$AU:$AU,Gefahrstoffverzeichnis!$BY:$BY,"kg",Gefahrstoffverzeichnis!$AP:$AP,Lager!$B26,Gefahrstoffverzeichnis!$CC:$CC,$G26)</f>
        <v>0</v>
      </c>
      <c r="I26" s="250" t="s">
        <v>2620</v>
      </c>
      <c r="J26" s="250">
        <f>SUMIFS(Gefahrstoffverzeichnis!$AU:$AU,Gefahrstoffverzeichnis!$BY:$BY,"kg",Gefahrstoffverzeichnis!$AP:$AP,Lager!$B26,Gefahrstoffverzeichnis!$CC:$CC,$I26,Gefahrstoffverzeichnis!$CC:$CC,"&lt;&gt;"&amp;$G26)</f>
        <v>0</v>
      </c>
      <c r="K26" s="250" t="s">
        <v>2621</v>
      </c>
      <c r="L26" s="250">
        <f>SUMIFS(Gefahrstoffverzeichnis!$AU:$AU,Gefahrstoffverzeichnis!$BY:$BY,"kg",Gefahrstoffverzeichnis!$AP:$AP,Lager!$B26,Gefahrstoffverzeichnis!$CC:$CC,$K26,Gefahrstoffverzeichnis!$CC:$CC,"&lt;&gt;"&amp;$I26,Gefahrstoffverzeichnis!$CC:$CC,"&lt;&gt;"&amp;$G26)</f>
        <v>0</v>
      </c>
      <c r="M26" s="250" t="s">
        <v>2622</v>
      </c>
      <c r="N26" s="250">
        <f>SUMIFS(Gefahrstoffverzeichnis!$AU:$AU,Gefahrstoffverzeichnis!$BY:$BY,"kg",Gefahrstoffverzeichnis!$AP:$AP,Lager!$B26,Gefahrstoffverzeichnis!$CC:$CC,$M26,Gefahrstoffverzeichnis!$CC:$CC,"&lt;&gt;"&amp;$K26,Gefahrstoffverzeichnis!$CC:$CC,"&lt;&gt;"&amp;$I26,Gefahrstoffverzeichnis!$CC:$CC,"&lt;&gt;"&amp;$G26)</f>
        <v>0</v>
      </c>
      <c r="O26" s="250" t="s">
        <v>2623</v>
      </c>
      <c r="P26" s="250">
        <f>SUMIFS(Gefahrstoffverzeichnis!$AU:$AU,Gefahrstoffverzeichnis!$BY:$BY,"kg",Gefahrstoffverzeichnis!$AP:$AP,Lager!$B26,Gefahrstoffverzeichnis!$CC:$CC,$O26,Gefahrstoffverzeichnis!$CC:$CC,"&lt;&gt;"&amp;$M26,Gefahrstoffverzeichnis!$CC:$CC,"&lt;&gt;"&amp;$K26,Gefahrstoffverzeichnis!$CC:$CC,"&lt;&gt;"&amp;$I26,Gefahrstoffverzeichnis!$CC:$CC,"&lt;&gt;"&amp;$G26)</f>
        <v>0</v>
      </c>
      <c r="Q26" s="250" t="s">
        <v>2624</v>
      </c>
      <c r="R26" s="250">
        <f>SUMIFS(Gefahrstoffverzeichnis!$AU:$AU,Gefahrstoffverzeichnis!$BY:$BY,"kg",Gefahrstoffverzeichnis!$AP:$AP,Lager!$B26,Gefahrstoffverzeichnis!$CC:$CC,$Q$5,Gefahrstoffverzeichnis!$CC:$CC,"&lt;&gt;"&amp;$O26,Gefahrstoffverzeichnis!$CC:$CC,"&lt;&gt;"&amp;$M26,Gefahrstoffverzeichnis!$CC:$CC,"&lt;&gt;"&amp;$K26,Gefahrstoffverzeichnis!$CC:$CC,"&lt;&gt;"&amp;$I26,Gefahrstoffverzeichnis!$CC:$CC,"&lt;&gt;"&amp;$G26)</f>
        <v>0</v>
      </c>
      <c r="S26" s="304" t="str">
        <f t="shared" si="1"/>
        <v/>
      </c>
      <c r="T26" s="250" t="s">
        <v>2625</v>
      </c>
      <c r="U26" s="250">
        <f>SUMIFS(Gefahrstoffverzeichnis!$AU:$AU,Gefahrstoffverzeichnis!$BY:$BY,"kg",Gefahrstoffverzeichnis!$AP:$AP,Lager!$B26,Gefahrstoffverzeichnis!$CC:$CC,$T26)</f>
        <v>0</v>
      </c>
      <c r="V26" s="250" t="s">
        <v>2626</v>
      </c>
      <c r="W26" s="250">
        <f>SUMIFS(Gefahrstoffverzeichnis!$AU:$AU,Gefahrstoffverzeichnis!$BY:$BY,"kg",Gefahrstoffverzeichnis!$AP:$AP,Lager!$B26,Gefahrstoffverzeichnis!$CC:$CC,$V26,Gefahrstoffverzeichnis!$CC:$CC,"&lt;&gt;"&amp;$T26)</f>
        <v>0</v>
      </c>
      <c r="X26" s="304" t="str">
        <f t="shared" si="2"/>
        <v/>
      </c>
      <c r="Y26" s="250" t="s">
        <v>2627</v>
      </c>
      <c r="Z26" s="250">
        <f>SUMIFS(Gefahrstoffverzeichnis!$AU:$AU,Gefahrstoffverzeichnis!$BY:$BY,"kg",Gefahrstoffverzeichnis!$AP:$AP,Lager!$B26,Gefahrstoffverzeichnis!$CC:$CC,$Y26)</f>
        <v>0</v>
      </c>
      <c r="AA26" s="250" t="s">
        <v>2628</v>
      </c>
      <c r="AB26" s="250">
        <f>SUMIFS(Gefahrstoffverzeichnis!$AU:$AU,Gefahrstoffverzeichnis!$BY:$BY,"kg",Gefahrstoffverzeichnis!$AP:$AP,Lager!$B26,Gefahrstoffverzeichnis!$CC:$CC,$AA26,Gefahrstoffverzeichnis!$CC:$CC,"&lt;&gt;"&amp;$Y26)</f>
        <v>0</v>
      </c>
      <c r="AC26" s="304" t="str">
        <f t="shared" si="3"/>
        <v/>
      </c>
      <c r="AD26" s="250" t="s">
        <v>2629</v>
      </c>
      <c r="AE26" s="250">
        <f>SUMIFS(Gefahrstoffverzeichnis!$AU:$AU,Gefahrstoffverzeichnis!$BY:$BY,"kg",Gefahrstoffverzeichnis!$AP:$AP,Lager!$B26,Gefahrstoffverzeichnis!$CB:$CB,$AD26)</f>
        <v>0</v>
      </c>
      <c r="AF26" s="250" t="s">
        <v>2630</v>
      </c>
      <c r="AG26" s="250">
        <f>SUMIFS(Gefahrstoffverzeichnis!$AU:$AU,Gefahrstoffverzeichnis!$BY:$BY,"kg",Gefahrstoffverzeichnis!$AP:$AP,Lager!$B26,Gefahrstoffverzeichnis!$CB:$CB,$AF26,Gefahrstoffverzeichnis!$CB:$CB,"&lt;&gt;"&amp;$AD26)</f>
        <v>0</v>
      </c>
      <c r="AH26" s="304" t="str">
        <f t="shared" si="4"/>
        <v/>
      </c>
      <c r="AI26" s="250" t="s">
        <v>2631</v>
      </c>
      <c r="AJ26" s="250">
        <f>SUMIFS(Gefahrstoffverzeichnis!$AU:$AU,Gefahrstoffverzeichnis!$BY:$BY,"kg",Gefahrstoffverzeichnis!$AP:$AP,Lager!$B26,Gefahrstoffverzeichnis!$CB:$CB,$AI26)</f>
        <v>0</v>
      </c>
      <c r="AK26" s="304" t="str">
        <f t="shared" si="5"/>
        <v/>
      </c>
      <c r="AL26" s="250" t="s">
        <v>2632</v>
      </c>
      <c r="AM26" s="250">
        <f>SUMIFS(Gefahrstoffverzeichnis!$AU:$AU,Gefahrstoffverzeichnis!$BY:$BY,"kg",Gefahrstoffverzeichnis!$AP:$AP,Lager!$B26,Gefahrstoffverzeichnis!$CB:$CB,$AL26)</f>
        <v>0</v>
      </c>
      <c r="AN26" s="304" t="str">
        <f t="shared" si="6"/>
        <v/>
      </c>
      <c r="AO26" s="250" t="s">
        <v>2633</v>
      </c>
      <c r="AP26" s="250">
        <f>SUMIFS(Gefahrstoffverzeichnis!$AU:$AU,Gefahrstoffverzeichnis!$BY:$BY,"kg",Gefahrstoffverzeichnis!$AP:$AP,Lager!$B26,Gefahrstoffverzeichnis!$CB:$CB,$AO26)</f>
        <v>0</v>
      </c>
      <c r="AQ26" s="304" t="str">
        <f t="shared" si="7"/>
        <v/>
      </c>
      <c r="AR26" s="250" t="s">
        <v>2634</v>
      </c>
      <c r="AS26" s="250">
        <f>SUMIFS(Gefahrstoffverzeichnis!$AU:$AU,Gefahrstoffverzeichnis!$BY:$BY,"kg",Gefahrstoffverzeichnis!$AP:$AP,Lager!$B26,Gefahrstoffverzeichnis!$CB:$CB,$AR26)</f>
        <v>0</v>
      </c>
      <c r="AT26" s="250" t="s">
        <v>2635</v>
      </c>
      <c r="AU26" s="250">
        <f>SUMIFS(Gefahrstoffverzeichnis!$AU:$AU,Gefahrstoffverzeichnis!$BY:$BY,"kg",Gefahrstoffverzeichnis!$AP:$AP,Lager!$B26,Gefahrstoffverzeichnis!$CB:$CB,$AT26,Gefahrstoffverzeichnis!$CB:$CB,"&lt;&gt;"&amp;$AR26)</f>
        <v>0</v>
      </c>
      <c r="AV26" s="304" t="str">
        <f t="shared" si="8"/>
        <v/>
      </c>
      <c r="AW26" s="250" t="s">
        <v>2636</v>
      </c>
      <c r="AX26" s="250">
        <f>SUMIFS(Gefahrstoffverzeichnis!$AU:$AU,Gefahrstoffverzeichnis!$BY:$BY,"kg",Gefahrstoffverzeichnis!$AP:$AP,Lager!$B26,Gefahrstoffverzeichnis!$CB:$CB,$AW26)</f>
        <v>0</v>
      </c>
      <c r="AY26" s="304" t="str">
        <f t="shared" si="9"/>
        <v/>
      </c>
      <c r="AZ26" s="250" t="s">
        <v>2637</v>
      </c>
      <c r="BA26" s="250">
        <f>SUMIFS(Gefahrstoffverzeichnis!$AU:$AU,Gefahrstoffverzeichnis!$BY:$BY,"kg",Gefahrstoffverzeichnis!$AP:$AP,Lager!$B26,Gefahrstoffverzeichnis!$CB:$CB,$AZ26)</f>
        <v>0</v>
      </c>
      <c r="BB26" s="304" t="str">
        <f t="shared" si="10"/>
        <v/>
      </c>
      <c r="BC26" s="250" t="s">
        <v>2638</v>
      </c>
      <c r="BD26" s="250">
        <f>SUMIFS(Gefahrstoffverzeichnis!$AU:$AU,Gefahrstoffverzeichnis!$BY:$BY,"kg",Gefahrstoffverzeichnis!$AP:$AP,Lager!$B26,Gefahrstoffverzeichnis!$CB:$CB,$BC26)</f>
        <v>0</v>
      </c>
      <c r="BE26" s="304" t="str">
        <f t="shared" si="11"/>
        <v/>
      </c>
      <c r="BF26" s="250" t="s">
        <v>2639</v>
      </c>
      <c r="BG26" s="250">
        <f>SUMIFS(Gefahrstoffverzeichnis!$AU:$AU,Gefahrstoffverzeichnis!$BY:$BY,"Liter",Gefahrstoffverzeichnis!$AP:$AP,Lager!$B26,Gefahrstoffverzeichnis!$CB:$CB,$BF26)</f>
        <v>0</v>
      </c>
      <c r="BH26" s="250" t="s">
        <v>2640</v>
      </c>
      <c r="BI26" s="250">
        <f>SUMIFS(Gefahrstoffverzeichnis!$AU:$AU,Gefahrstoffverzeichnis!$BY:$BY,"Liter",Gefahrstoffverzeichnis!$AP:$AP,Lager!$B26,Gefahrstoffverzeichnis!$CB:$CB,$BH26,Gefahrstoffverzeichnis!$CB:$CB,"&lt;&gt;"&amp;$BF26)</f>
        <v>0</v>
      </c>
      <c r="BJ26" s="250" t="s">
        <v>2641</v>
      </c>
      <c r="BK26" s="250">
        <f>SUMIFS(Gefahrstoffverzeichnis!$AU:$AU,Gefahrstoffverzeichnis!$BY:$BY,"Liter",Gefahrstoffverzeichnis!$AP:$AP,Lager!$B26,Gefahrstoffverzeichnis!$CB:$CB,$BJ26,Gefahrstoffverzeichnis!$CB:$CB,"&lt;&gt;"&amp;$BH26,Gefahrstoffverzeichnis!$CB:$CB,"&lt;&gt;"&amp;$BF26)</f>
        <v>0</v>
      </c>
      <c r="BL26" s="250" t="s">
        <v>2642</v>
      </c>
      <c r="BM26" s="250">
        <f>SUMIFS(Gefahrstoffverzeichnis!$AU:$AU,Gefahrstoffverzeichnis!$BY:$BY,"Liter",Gefahrstoffverzeichnis!$AP:$AP,Lager!$B26,Gefahrstoffverzeichnis!$CB:$CB,$BL26,Gefahrstoffverzeichnis!$CB:$CB,"&lt;&gt;"&amp;$BJ26,Gefahrstoffverzeichnis!$CB:$CB,"&lt;&gt;"&amp;$BH26,Gefahrstoffverzeichnis!$CB:$CB,"&lt;&gt;"&amp;$BF26)</f>
        <v>0</v>
      </c>
      <c r="BN26" s="250" t="s">
        <v>2643</v>
      </c>
      <c r="BO26" s="250">
        <f>SUMIFS(Gefahrstoffverzeichnis!$AU:$AU,Gefahrstoffverzeichnis!$BY:$BY,"Liter",Gefahrstoffverzeichnis!$AP:$AP,Lager!$B26,Gefahrstoffverzeichnis!$CB:$CB,$BN26,Gefahrstoffverzeichnis!$CB:$CB,"&lt;&gt;"&amp;$BL26,Gefahrstoffverzeichnis!$CB:$CB,"&lt;&gt;"&amp;$BJ26,Gefahrstoffverzeichnis!$CB:$CB,"&lt;&gt;"&amp;$BH26,Gefahrstoffverzeichnis!$CB:$CB,"&lt;&gt;"&amp;$BF26)</f>
        <v>0</v>
      </c>
      <c r="BP26" s="304" t="str">
        <f t="shared" si="12"/>
        <v/>
      </c>
      <c r="BQ26" s="250" t="s">
        <v>2639</v>
      </c>
      <c r="BR26" s="250">
        <f>SUMIFS(Gefahrstoffverzeichnis!$AU:$AU,Gefahrstoffverzeichnis!$BY:$BY,"kg",Gefahrstoffverzeichnis!$AP:$AP,Lager!$B26,Gefahrstoffverzeichnis!$CB:$CB,$BQ26)</f>
        <v>0</v>
      </c>
      <c r="BS26" s="250" t="s">
        <v>2640</v>
      </c>
      <c r="BT26" s="250">
        <f>SUMIFS(Gefahrstoffverzeichnis!$AU:$AU,Gefahrstoffverzeichnis!$BY:$BY,"kg",Gefahrstoffverzeichnis!$AP:$AP,Lager!$B26,Gefahrstoffverzeichnis!$CB:$CB,$BS26,Gefahrstoffverzeichnis!$CB:$CB,"&lt;&gt;"&amp;$BQ26)</f>
        <v>0</v>
      </c>
      <c r="BU26" s="250" t="s">
        <v>2644</v>
      </c>
      <c r="BV26" s="250">
        <f>SUMIFS(Gefahrstoffverzeichnis!$AU:$AU,Gefahrstoffverzeichnis!$BY:$BY,"kg",Gefahrstoffverzeichnis!$AP:$AP,Lager!$B26,Gefahrstoffverzeichnis!$CB:$CB,$BU26,Gefahrstoffverzeichnis!$CB:$CB,"&lt;&gt;"&amp;$BS26,Gefahrstoffverzeichnis!$CB:$CB,"&lt;&gt;"&amp;$BQ26)</f>
        <v>0</v>
      </c>
      <c r="BW26" s="250" t="s">
        <v>2645</v>
      </c>
      <c r="BX26" s="250">
        <f>SUMIFS(Gefahrstoffverzeichnis!$AU:$AU,Gefahrstoffverzeichnis!$BY:$BY,"kg",Gefahrstoffverzeichnis!$AP:$AP,Lager!$B26,Gefahrstoffverzeichnis!$CB:$CB,$BW26,Gefahrstoffverzeichnis!$CB:$CB,"&lt;&gt;"&amp;$BU26,Gefahrstoffverzeichnis!$CB:$CB,"&lt;&gt;"&amp;$BS26,Gefahrstoffverzeichnis!$CB:$CB,"&lt;&gt;"&amp;$BQ26)</f>
        <v>0</v>
      </c>
      <c r="BY26" s="304" t="str">
        <f t="shared" si="13"/>
        <v/>
      </c>
      <c r="BZ26" s="249" t="s">
        <v>2646</v>
      </c>
      <c r="CA26" s="250">
        <f>SUMIFS(Gefahrstoffverzeichnis!$AU:$AU,Gefahrstoffverzeichnis!$BY:$BY,"kg",Gefahrstoffverzeichnis!$AP:$AP,Lager!$B26,Gefahrstoffverzeichnis!$CB:$CB,$BZ26)</f>
        <v>0</v>
      </c>
      <c r="CB26" s="249" t="s">
        <v>2647</v>
      </c>
      <c r="CC26" s="250">
        <f>SUMIFS(Gefahrstoffverzeichnis!$AU:$AU,Gefahrstoffverzeichnis!$BY:$BY,"kg",Gefahrstoffverzeichnis!$AP:$AP,Lager!$B26,Gefahrstoffverzeichnis!$CB:$CB,$CB26,Gefahrstoffverzeichnis!$CB:$CB,"&lt;&gt;"&amp;$BZ26)</f>
        <v>0</v>
      </c>
    </row>
    <row r="27" spans="2:81" ht="18.75" customHeight="1" x14ac:dyDescent="0.3">
      <c r="B27" s="306" t="str">
        <v>*nicht definiert24*</v>
      </c>
      <c r="D27" s="307">
        <f>SUMIFS(Gefahrstoffverzeichnis!$AU:$AU,Gefahrstoffverzeichnis!$BY:$BY,"kg",Gefahrstoffverzeichnis!$AP:$AP,Lager!$B27)</f>
        <v>0</v>
      </c>
      <c r="F27" s="248" t="str">
        <f t="shared" si="0"/>
        <v/>
      </c>
      <c r="G27" s="249" t="s">
        <v>2619</v>
      </c>
      <c r="H27" s="250">
        <f>SUMIFS(Gefahrstoffverzeichnis!$AU:$AU,Gefahrstoffverzeichnis!$BY:$BY,"kg",Gefahrstoffverzeichnis!$AP:$AP,Lager!$B27,Gefahrstoffverzeichnis!$CC:$CC,$G27)</f>
        <v>0</v>
      </c>
      <c r="I27" s="249" t="s">
        <v>2620</v>
      </c>
      <c r="J27" s="250">
        <f>SUMIFS(Gefahrstoffverzeichnis!$AU:$AU,Gefahrstoffverzeichnis!$BY:$BY,"kg",Gefahrstoffverzeichnis!$AP:$AP,Lager!$B27,Gefahrstoffverzeichnis!$CC:$CC,$I27,Gefahrstoffverzeichnis!$CC:$CC,"&lt;&gt;"&amp;$G27)</f>
        <v>0</v>
      </c>
      <c r="K27" s="249" t="s">
        <v>2621</v>
      </c>
      <c r="L27" s="250">
        <f>SUMIFS(Gefahrstoffverzeichnis!$AU:$AU,Gefahrstoffverzeichnis!$BY:$BY,"kg",Gefahrstoffverzeichnis!$AP:$AP,Lager!$B27,Gefahrstoffverzeichnis!$CC:$CC,$K27,Gefahrstoffverzeichnis!$CC:$CC,"&lt;&gt;"&amp;$I27,Gefahrstoffverzeichnis!$CC:$CC,"&lt;&gt;"&amp;$G27)</f>
        <v>0</v>
      </c>
      <c r="M27" s="249" t="s">
        <v>2622</v>
      </c>
      <c r="N27" s="250">
        <f>SUMIFS(Gefahrstoffverzeichnis!$AU:$AU,Gefahrstoffverzeichnis!$BY:$BY,"kg",Gefahrstoffverzeichnis!$AP:$AP,Lager!$B27,Gefahrstoffverzeichnis!$CC:$CC,$M27,Gefahrstoffverzeichnis!$CC:$CC,"&lt;&gt;"&amp;$K27,Gefahrstoffverzeichnis!$CC:$CC,"&lt;&gt;"&amp;$I27,Gefahrstoffverzeichnis!$CC:$CC,"&lt;&gt;"&amp;$G27)</f>
        <v>0</v>
      </c>
      <c r="O27" s="249" t="s">
        <v>2623</v>
      </c>
      <c r="P27" s="250">
        <f>SUMIFS(Gefahrstoffverzeichnis!$AU:$AU,Gefahrstoffverzeichnis!$BY:$BY,"kg",Gefahrstoffverzeichnis!$AP:$AP,Lager!$B27,Gefahrstoffverzeichnis!$CC:$CC,$O27,Gefahrstoffverzeichnis!$CC:$CC,"&lt;&gt;"&amp;$M27,Gefahrstoffverzeichnis!$CC:$CC,"&lt;&gt;"&amp;$K27,Gefahrstoffverzeichnis!$CC:$CC,"&lt;&gt;"&amp;$I27,Gefahrstoffverzeichnis!$CC:$CC,"&lt;&gt;"&amp;$G27)</f>
        <v>0</v>
      </c>
      <c r="Q27" s="249" t="s">
        <v>2624</v>
      </c>
      <c r="R27" s="250">
        <f>SUMIFS(Gefahrstoffverzeichnis!$AU:$AU,Gefahrstoffverzeichnis!$BY:$BY,"kg",Gefahrstoffverzeichnis!$AP:$AP,Lager!$B27,Gefahrstoffverzeichnis!$CC:$CC,$Q$5,Gefahrstoffverzeichnis!$CC:$CC,"&lt;&gt;"&amp;$O27,Gefahrstoffverzeichnis!$CC:$CC,"&lt;&gt;"&amp;$M27,Gefahrstoffverzeichnis!$CC:$CC,"&lt;&gt;"&amp;$K27,Gefahrstoffverzeichnis!$CC:$CC,"&lt;&gt;"&amp;$I27,Gefahrstoffverzeichnis!$CC:$CC,"&lt;&gt;"&amp;$G27)</f>
        <v>0</v>
      </c>
      <c r="S27" s="248" t="str">
        <f t="shared" si="1"/>
        <v/>
      </c>
      <c r="T27" s="249" t="s">
        <v>2625</v>
      </c>
      <c r="U27" s="250">
        <f>SUMIFS(Gefahrstoffverzeichnis!$AU:$AU,Gefahrstoffverzeichnis!$BY:$BY,"kg",Gefahrstoffverzeichnis!$AP:$AP,Lager!$B27,Gefahrstoffverzeichnis!$CC:$CC,$T27)</f>
        <v>0</v>
      </c>
      <c r="V27" s="249" t="s">
        <v>2626</v>
      </c>
      <c r="W27" s="250">
        <f>SUMIFS(Gefahrstoffverzeichnis!$AU:$AU,Gefahrstoffverzeichnis!$BY:$BY,"kg",Gefahrstoffverzeichnis!$AP:$AP,Lager!$B27,Gefahrstoffverzeichnis!$CC:$CC,$V27,Gefahrstoffverzeichnis!$CC:$CC,"&lt;&gt;"&amp;$T27)</f>
        <v>0</v>
      </c>
      <c r="X27" s="248" t="str">
        <f t="shared" si="2"/>
        <v/>
      </c>
      <c r="Y27" s="249" t="s">
        <v>2627</v>
      </c>
      <c r="Z27" s="250">
        <f>SUMIFS(Gefahrstoffverzeichnis!$AU:$AU,Gefahrstoffverzeichnis!$BY:$BY,"kg",Gefahrstoffverzeichnis!$AP:$AP,Lager!$B27,Gefahrstoffverzeichnis!$CC:$CC,$Y27)</f>
        <v>0</v>
      </c>
      <c r="AA27" s="249" t="s">
        <v>2628</v>
      </c>
      <c r="AB27" s="250">
        <f>SUMIFS(Gefahrstoffverzeichnis!$AU:$AU,Gefahrstoffverzeichnis!$BY:$BY,"kg",Gefahrstoffverzeichnis!$AP:$AP,Lager!$B27,Gefahrstoffverzeichnis!$CC:$CC,$AA27,Gefahrstoffverzeichnis!$CC:$CC,"&lt;&gt;"&amp;$Y27)</f>
        <v>0</v>
      </c>
      <c r="AC27" s="248" t="str">
        <f t="shared" si="3"/>
        <v/>
      </c>
      <c r="AD27" s="249" t="s">
        <v>2629</v>
      </c>
      <c r="AE27" s="250">
        <f>SUMIFS(Gefahrstoffverzeichnis!$AU:$AU,Gefahrstoffverzeichnis!$BY:$BY,"kg",Gefahrstoffverzeichnis!$AP:$AP,Lager!$B27,Gefahrstoffverzeichnis!$CB:$CB,$AD27)</f>
        <v>0</v>
      </c>
      <c r="AF27" s="249" t="s">
        <v>2630</v>
      </c>
      <c r="AG27" s="250">
        <f>SUMIFS(Gefahrstoffverzeichnis!$AU:$AU,Gefahrstoffverzeichnis!$BY:$BY,"kg",Gefahrstoffverzeichnis!$AP:$AP,Lager!$B27,Gefahrstoffverzeichnis!$CB:$CB,$AF27,Gefahrstoffverzeichnis!$CB:$CB,"&lt;&gt;"&amp;$AD27)</f>
        <v>0</v>
      </c>
      <c r="AH27" s="248" t="str">
        <f t="shared" si="4"/>
        <v/>
      </c>
      <c r="AI27" s="249" t="s">
        <v>2631</v>
      </c>
      <c r="AJ27" s="250">
        <f>SUMIFS(Gefahrstoffverzeichnis!$AU:$AU,Gefahrstoffverzeichnis!$BY:$BY,"kg",Gefahrstoffverzeichnis!$AP:$AP,Lager!$B27,Gefahrstoffverzeichnis!$CB:$CB,$AI27)</f>
        <v>0</v>
      </c>
      <c r="AK27" s="248" t="str">
        <f t="shared" si="5"/>
        <v/>
      </c>
      <c r="AL27" s="249" t="s">
        <v>2632</v>
      </c>
      <c r="AM27" s="250">
        <f>SUMIFS(Gefahrstoffverzeichnis!$AU:$AU,Gefahrstoffverzeichnis!$BY:$BY,"kg",Gefahrstoffverzeichnis!$AP:$AP,Lager!$B27,Gefahrstoffverzeichnis!$CB:$CB,$AL27)</f>
        <v>0</v>
      </c>
      <c r="AN27" s="248" t="str">
        <f t="shared" si="6"/>
        <v/>
      </c>
      <c r="AO27" s="249" t="s">
        <v>2633</v>
      </c>
      <c r="AP27" s="250">
        <f>SUMIFS(Gefahrstoffverzeichnis!$AU:$AU,Gefahrstoffverzeichnis!$BY:$BY,"kg",Gefahrstoffverzeichnis!$AP:$AP,Lager!$B27,Gefahrstoffverzeichnis!$CB:$CB,$AO27)</f>
        <v>0</v>
      </c>
      <c r="AQ27" s="248" t="str">
        <f t="shared" si="7"/>
        <v/>
      </c>
      <c r="AR27" s="249" t="s">
        <v>2634</v>
      </c>
      <c r="AS27" s="250">
        <f>SUMIFS(Gefahrstoffverzeichnis!$AU:$AU,Gefahrstoffverzeichnis!$BY:$BY,"kg",Gefahrstoffverzeichnis!$AP:$AP,Lager!$B27,Gefahrstoffverzeichnis!$CB:$CB,$AR27)</f>
        <v>0</v>
      </c>
      <c r="AT27" s="249" t="s">
        <v>2635</v>
      </c>
      <c r="AU27" s="250">
        <f>SUMIFS(Gefahrstoffverzeichnis!$AU:$AU,Gefahrstoffverzeichnis!$BY:$BY,"kg",Gefahrstoffverzeichnis!$AP:$AP,Lager!$B27,Gefahrstoffverzeichnis!$CB:$CB,$AT27,Gefahrstoffverzeichnis!$CB:$CB,"&lt;&gt;"&amp;$AR27)</f>
        <v>0</v>
      </c>
      <c r="AV27" s="248" t="str">
        <f t="shared" si="8"/>
        <v/>
      </c>
      <c r="AW27" s="249" t="s">
        <v>2636</v>
      </c>
      <c r="AX27" s="250">
        <f>SUMIFS(Gefahrstoffverzeichnis!$AU:$AU,Gefahrstoffverzeichnis!$BY:$BY,"kg",Gefahrstoffverzeichnis!$AP:$AP,Lager!$B27,Gefahrstoffverzeichnis!$CB:$CB,$AW27)</f>
        <v>0</v>
      </c>
      <c r="AY27" s="248" t="str">
        <f t="shared" si="9"/>
        <v/>
      </c>
      <c r="AZ27" s="249" t="s">
        <v>2637</v>
      </c>
      <c r="BA27" s="250">
        <f>SUMIFS(Gefahrstoffverzeichnis!$AU:$AU,Gefahrstoffverzeichnis!$BY:$BY,"kg",Gefahrstoffverzeichnis!$AP:$AP,Lager!$B27,Gefahrstoffverzeichnis!$CB:$CB,$AZ27)</f>
        <v>0</v>
      </c>
      <c r="BB27" s="248" t="str">
        <f t="shared" si="10"/>
        <v/>
      </c>
      <c r="BC27" s="249" t="s">
        <v>2638</v>
      </c>
      <c r="BD27" s="250">
        <f>SUMIFS(Gefahrstoffverzeichnis!$AU:$AU,Gefahrstoffverzeichnis!$BY:$BY,"kg",Gefahrstoffverzeichnis!$AP:$AP,Lager!$B27,Gefahrstoffverzeichnis!$CB:$CB,$BC27)</f>
        <v>0</v>
      </c>
      <c r="BE27" s="248" t="str">
        <f t="shared" si="11"/>
        <v/>
      </c>
      <c r="BF27" s="249" t="s">
        <v>2639</v>
      </c>
      <c r="BG27" s="250">
        <f>SUMIFS(Gefahrstoffverzeichnis!$AU:$AU,Gefahrstoffverzeichnis!$BY:$BY,"Liter",Gefahrstoffverzeichnis!$AP:$AP,Lager!$B27,Gefahrstoffverzeichnis!$CB:$CB,$BF27)</f>
        <v>0</v>
      </c>
      <c r="BH27" s="249" t="s">
        <v>2640</v>
      </c>
      <c r="BI27" s="250">
        <f>SUMIFS(Gefahrstoffverzeichnis!$AU:$AU,Gefahrstoffverzeichnis!$BY:$BY,"Liter",Gefahrstoffverzeichnis!$AP:$AP,Lager!$B27,Gefahrstoffverzeichnis!$CB:$CB,$BH27,Gefahrstoffverzeichnis!$CB:$CB,"&lt;&gt;"&amp;$BF27)</f>
        <v>0</v>
      </c>
      <c r="BJ27" s="249" t="s">
        <v>2641</v>
      </c>
      <c r="BK27" s="250">
        <f>SUMIFS(Gefahrstoffverzeichnis!$AU:$AU,Gefahrstoffverzeichnis!$BY:$BY,"Liter",Gefahrstoffverzeichnis!$AP:$AP,Lager!$B27,Gefahrstoffverzeichnis!$CB:$CB,$BJ27,Gefahrstoffverzeichnis!$CB:$CB,"&lt;&gt;"&amp;$BH27,Gefahrstoffverzeichnis!$CB:$CB,"&lt;&gt;"&amp;$BF27)</f>
        <v>0</v>
      </c>
      <c r="BL27" s="249" t="s">
        <v>2642</v>
      </c>
      <c r="BM27" s="250">
        <f>SUMIFS(Gefahrstoffverzeichnis!$AU:$AU,Gefahrstoffverzeichnis!$BY:$BY,"Liter",Gefahrstoffverzeichnis!$AP:$AP,Lager!$B27,Gefahrstoffverzeichnis!$CB:$CB,$BL27,Gefahrstoffverzeichnis!$CB:$CB,"&lt;&gt;"&amp;$BJ27,Gefahrstoffverzeichnis!$CB:$CB,"&lt;&gt;"&amp;$BH27,Gefahrstoffverzeichnis!$CB:$CB,"&lt;&gt;"&amp;$BF27)</f>
        <v>0</v>
      </c>
      <c r="BN27" s="249" t="s">
        <v>2643</v>
      </c>
      <c r="BO27" s="250">
        <f>SUMIFS(Gefahrstoffverzeichnis!$AU:$AU,Gefahrstoffverzeichnis!$BY:$BY,"Liter",Gefahrstoffverzeichnis!$AP:$AP,Lager!$B27,Gefahrstoffverzeichnis!$CB:$CB,$BN27,Gefahrstoffverzeichnis!$CB:$CB,"&lt;&gt;"&amp;$BL27,Gefahrstoffverzeichnis!$CB:$CB,"&lt;&gt;"&amp;$BJ27,Gefahrstoffverzeichnis!$CB:$CB,"&lt;&gt;"&amp;$BH27,Gefahrstoffverzeichnis!$CB:$CB,"&lt;&gt;"&amp;$BF27)</f>
        <v>0</v>
      </c>
      <c r="BP27" s="248" t="str">
        <f t="shared" si="12"/>
        <v/>
      </c>
      <c r="BQ27" s="249" t="s">
        <v>2639</v>
      </c>
      <c r="BR27" s="250">
        <f>SUMIFS(Gefahrstoffverzeichnis!$AU:$AU,Gefahrstoffverzeichnis!$BY:$BY,"kg",Gefahrstoffverzeichnis!$AP:$AP,Lager!$B27,Gefahrstoffverzeichnis!$CB:$CB,$BQ27)</f>
        <v>0</v>
      </c>
      <c r="BS27" s="249" t="s">
        <v>2640</v>
      </c>
      <c r="BT27" s="250">
        <f>SUMIFS(Gefahrstoffverzeichnis!$AU:$AU,Gefahrstoffverzeichnis!$BY:$BY,"kg",Gefahrstoffverzeichnis!$AP:$AP,Lager!$B27,Gefahrstoffverzeichnis!$CB:$CB,$BS27,Gefahrstoffverzeichnis!$CB:$CB,"&lt;&gt;"&amp;$BQ27)</f>
        <v>0</v>
      </c>
      <c r="BU27" s="249" t="s">
        <v>2644</v>
      </c>
      <c r="BV27" s="250">
        <f>SUMIFS(Gefahrstoffverzeichnis!$AU:$AU,Gefahrstoffverzeichnis!$BY:$BY,"kg",Gefahrstoffverzeichnis!$AP:$AP,Lager!$B27,Gefahrstoffverzeichnis!$CB:$CB,$BU27,Gefahrstoffverzeichnis!$CB:$CB,"&lt;&gt;"&amp;$BS27,Gefahrstoffverzeichnis!$CB:$CB,"&lt;&gt;"&amp;$BQ27)</f>
        <v>0</v>
      </c>
      <c r="BW27" s="249" t="s">
        <v>2645</v>
      </c>
      <c r="BX27" s="250">
        <f>SUMIFS(Gefahrstoffverzeichnis!$AU:$AU,Gefahrstoffverzeichnis!$BY:$BY,"kg",Gefahrstoffverzeichnis!$AP:$AP,Lager!$B27,Gefahrstoffverzeichnis!$CB:$CB,$BW27,Gefahrstoffverzeichnis!$CB:$CB,"&lt;&gt;"&amp;$BU27,Gefahrstoffverzeichnis!$CB:$CB,"&lt;&gt;"&amp;$BS27,Gefahrstoffverzeichnis!$CB:$CB,"&lt;&gt;"&amp;$BQ27)</f>
        <v>0</v>
      </c>
      <c r="BY27" s="248" t="str">
        <f t="shared" si="13"/>
        <v/>
      </c>
      <c r="BZ27" s="249" t="s">
        <v>2646</v>
      </c>
      <c r="CA27" s="250">
        <f>SUMIFS(Gefahrstoffverzeichnis!$AU:$AU,Gefahrstoffverzeichnis!$BY:$BY,"kg",Gefahrstoffverzeichnis!$AP:$AP,Lager!$B27,Gefahrstoffverzeichnis!$CB:$CB,$BZ27)</f>
        <v>0</v>
      </c>
      <c r="CB27" s="249" t="s">
        <v>2647</v>
      </c>
      <c r="CC27" s="250">
        <f>SUMIFS(Gefahrstoffverzeichnis!$AU:$AU,Gefahrstoffverzeichnis!$BY:$BY,"kg",Gefahrstoffverzeichnis!$AP:$AP,Lager!$B27,Gefahrstoffverzeichnis!$CB:$CB,$CB27,Gefahrstoffverzeichnis!$CB:$CB,"&lt;&gt;"&amp;$BZ27)</f>
        <v>0</v>
      </c>
    </row>
    <row r="28" spans="2:81" ht="18.75" customHeight="1" x14ac:dyDescent="0.3">
      <c r="B28" s="306" t="str">
        <v>*nicht definiert25*</v>
      </c>
      <c r="C28" s="303"/>
      <c r="D28" s="308">
        <f>SUMIFS(Gefahrstoffverzeichnis!$AU:$AU,Gefahrstoffverzeichnis!$BY:$BY,"kg",Gefahrstoffverzeichnis!$AP:$AP,Lager!$B28)</f>
        <v>0</v>
      </c>
      <c r="E28" s="303"/>
      <c r="F28" s="304" t="str">
        <f t="shared" si="0"/>
        <v/>
      </c>
      <c r="G28" s="250" t="s">
        <v>2619</v>
      </c>
      <c r="H28" s="250">
        <f>SUMIFS(Gefahrstoffverzeichnis!$AU:$AU,Gefahrstoffverzeichnis!$BY:$BY,"kg",Gefahrstoffverzeichnis!$AP:$AP,Lager!$B28,Gefahrstoffverzeichnis!$CC:$CC,$G28)</f>
        <v>0</v>
      </c>
      <c r="I28" s="250" t="s">
        <v>2620</v>
      </c>
      <c r="J28" s="250">
        <f>SUMIFS(Gefahrstoffverzeichnis!$AU:$AU,Gefahrstoffverzeichnis!$BY:$BY,"kg",Gefahrstoffverzeichnis!$AP:$AP,Lager!$B28,Gefahrstoffverzeichnis!$CC:$CC,$I28,Gefahrstoffverzeichnis!$CC:$CC,"&lt;&gt;"&amp;$G28)</f>
        <v>0</v>
      </c>
      <c r="K28" s="250" t="s">
        <v>2621</v>
      </c>
      <c r="L28" s="250">
        <f>SUMIFS(Gefahrstoffverzeichnis!$AU:$AU,Gefahrstoffverzeichnis!$BY:$BY,"kg",Gefahrstoffverzeichnis!$AP:$AP,Lager!$B28,Gefahrstoffverzeichnis!$CC:$CC,$K28,Gefahrstoffverzeichnis!$CC:$CC,"&lt;&gt;"&amp;$I28,Gefahrstoffverzeichnis!$CC:$CC,"&lt;&gt;"&amp;$G28)</f>
        <v>0</v>
      </c>
      <c r="M28" s="250" t="s">
        <v>2622</v>
      </c>
      <c r="N28" s="250">
        <f>SUMIFS(Gefahrstoffverzeichnis!$AU:$AU,Gefahrstoffverzeichnis!$BY:$BY,"kg",Gefahrstoffverzeichnis!$AP:$AP,Lager!$B28,Gefahrstoffverzeichnis!$CC:$CC,$M28,Gefahrstoffverzeichnis!$CC:$CC,"&lt;&gt;"&amp;$K28,Gefahrstoffverzeichnis!$CC:$CC,"&lt;&gt;"&amp;$I28,Gefahrstoffverzeichnis!$CC:$CC,"&lt;&gt;"&amp;$G28)</f>
        <v>0</v>
      </c>
      <c r="O28" s="250" t="s">
        <v>2623</v>
      </c>
      <c r="P28" s="250">
        <f>SUMIFS(Gefahrstoffverzeichnis!$AU:$AU,Gefahrstoffverzeichnis!$BY:$BY,"kg",Gefahrstoffverzeichnis!$AP:$AP,Lager!$B28,Gefahrstoffverzeichnis!$CC:$CC,$O28,Gefahrstoffverzeichnis!$CC:$CC,"&lt;&gt;"&amp;$M28,Gefahrstoffverzeichnis!$CC:$CC,"&lt;&gt;"&amp;$K28,Gefahrstoffverzeichnis!$CC:$CC,"&lt;&gt;"&amp;$I28,Gefahrstoffverzeichnis!$CC:$CC,"&lt;&gt;"&amp;$G28)</f>
        <v>0</v>
      </c>
      <c r="Q28" s="250" t="s">
        <v>2624</v>
      </c>
      <c r="R28" s="250">
        <f>SUMIFS(Gefahrstoffverzeichnis!$AU:$AU,Gefahrstoffverzeichnis!$BY:$BY,"kg",Gefahrstoffverzeichnis!$AP:$AP,Lager!$B28,Gefahrstoffverzeichnis!$CC:$CC,$Q$5,Gefahrstoffverzeichnis!$CC:$CC,"&lt;&gt;"&amp;$O28,Gefahrstoffverzeichnis!$CC:$CC,"&lt;&gt;"&amp;$M28,Gefahrstoffverzeichnis!$CC:$CC,"&lt;&gt;"&amp;$K28,Gefahrstoffverzeichnis!$CC:$CC,"&lt;&gt;"&amp;$I28,Gefahrstoffverzeichnis!$CC:$CC,"&lt;&gt;"&amp;$G28)</f>
        <v>0</v>
      </c>
      <c r="S28" s="304" t="str">
        <f t="shared" si="1"/>
        <v/>
      </c>
      <c r="T28" s="250" t="s">
        <v>2625</v>
      </c>
      <c r="U28" s="250">
        <f>SUMIFS(Gefahrstoffverzeichnis!$AU:$AU,Gefahrstoffverzeichnis!$BY:$BY,"kg",Gefahrstoffverzeichnis!$AP:$AP,Lager!$B28,Gefahrstoffverzeichnis!$CC:$CC,$T28)</f>
        <v>0</v>
      </c>
      <c r="V28" s="250" t="s">
        <v>2626</v>
      </c>
      <c r="W28" s="250">
        <f>SUMIFS(Gefahrstoffverzeichnis!$AU:$AU,Gefahrstoffverzeichnis!$BY:$BY,"kg",Gefahrstoffverzeichnis!$AP:$AP,Lager!$B28,Gefahrstoffverzeichnis!$CC:$CC,$V28,Gefahrstoffverzeichnis!$CC:$CC,"&lt;&gt;"&amp;$T28)</f>
        <v>0</v>
      </c>
      <c r="X28" s="304" t="str">
        <f t="shared" si="2"/>
        <v/>
      </c>
      <c r="Y28" s="250" t="s">
        <v>2627</v>
      </c>
      <c r="Z28" s="250">
        <f>SUMIFS(Gefahrstoffverzeichnis!$AU:$AU,Gefahrstoffverzeichnis!$BY:$BY,"kg",Gefahrstoffverzeichnis!$AP:$AP,Lager!$B28,Gefahrstoffverzeichnis!$CC:$CC,$Y28)</f>
        <v>0</v>
      </c>
      <c r="AA28" s="250" t="s">
        <v>2628</v>
      </c>
      <c r="AB28" s="250">
        <f>SUMIFS(Gefahrstoffverzeichnis!$AU:$AU,Gefahrstoffverzeichnis!$BY:$BY,"kg",Gefahrstoffverzeichnis!$AP:$AP,Lager!$B28,Gefahrstoffverzeichnis!$CC:$CC,$AA28,Gefahrstoffverzeichnis!$CC:$CC,"&lt;&gt;"&amp;$Y28)</f>
        <v>0</v>
      </c>
      <c r="AC28" s="304" t="str">
        <f t="shared" si="3"/>
        <v/>
      </c>
      <c r="AD28" s="250" t="s">
        <v>2629</v>
      </c>
      <c r="AE28" s="250">
        <f>SUMIFS(Gefahrstoffverzeichnis!$AU:$AU,Gefahrstoffverzeichnis!$BY:$BY,"kg",Gefahrstoffverzeichnis!$AP:$AP,Lager!$B28,Gefahrstoffverzeichnis!$CB:$CB,$AD28)</f>
        <v>0</v>
      </c>
      <c r="AF28" s="250" t="s">
        <v>2630</v>
      </c>
      <c r="AG28" s="250">
        <f>SUMIFS(Gefahrstoffverzeichnis!$AU:$AU,Gefahrstoffverzeichnis!$BY:$BY,"kg",Gefahrstoffverzeichnis!$AP:$AP,Lager!$B28,Gefahrstoffverzeichnis!$CB:$CB,$AF28,Gefahrstoffverzeichnis!$CB:$CB,"&lt;&gt;"&amp;$AD28)</f>
        <v>0</v>
      </c>
      <c r="AH28" s="304" t="str">
        <f t="shared" si="4"/>
        <v/>
      </c>
      <c r="AI28" s="250" t="s">
        <v>2631</v>
      </c>
      <c r="AJ28" s="250">
        <f>SUMIFS(Gefahrstoffverzeichnis!$AU:$AU,Gefahrstoffverzeichnis!$BY:$BY,"kg",Gefahrstoffverzeichnis!$AP:$AP,Lager!$B28,Gefahrstoffverzeichnis!$CB:$CB,$AI28)</f>
        <v>0</v>
      </c>
      <c r="AK28" s="304" t="str">
        <f t="shared" si="5"/>
        <v/>
      </c>
      <c r="AL28" s="250" t="s">
        <v>2632</v>
      </c>
      <c r="AM28" s="250">
        <f>SUMIFS(Gefahrstoffverzeichnis!$AU:$AU,Gefahrstoffverzeichnis!$BY:$BY,"kg",Gefahrstoffverzeichnis!$AP:$AP,Lager!$B28,Gefahrstoffverzeichnis!$CB:$CB,$AL28)</f>
        <v>0</v>
      </c>
      <c r="AN28" s="304" t="str">
        <f t="shared" si="6"/>
        <v/>
      </c>
      <c r="AO28" s="250" t="s">
        <v>2633</v>
      </c>
      <c r="AP28" s="250">
        <f>SUMIFS(Gefahrstoffverzeichnis!$AU:$AU,Gefahrstoffverzeichnis!$BY:$BY,"kg",Gefahrstoffverzeichnis!$AP:$AP,Lager!$B28,Gefahrstoffverzeichnis!$CB:$CB,$AO28)</f>
        <v>0</v>
      </c>
      <c r="AQ28" s="304" t="str">
        <f t="shared" si="7"/>
        <v/>
      </c>
      <c r="AR28" s="250" t="s">
        <v>2634</v>
      </c>
      <c r="AS28" s="250">
        <f>SUMIFS(Gefahrstoffverzeichnis!$AU:$AU,Gefahrstoffverzeichnis!$BY:$BY,"kg",Gefahrstoffverzeichnis!$AP:$AP,Lager!$B28,Gefahrstoffverzeichnis!$CB:$CB,$AR28)</f>
        <v>0</v>
      </c>
      <c r="AT28" s="250" t="s">
        <v>2635</v>
      </c>
      <c r="AU28" s="250">
        <f>SUMIFS(Gefahrstoffverzeichnis!$AU:$AU,Gefahrstoffverzeichnis!$BY:$BY,"kg",Gefahrstoffverzeichnis!$AP:$AP,Lager!$B28,Gefahrstoffverzeichnis!$CB:$CB,$AT28,Gefahrstoffverzeichnis!$CB:$CB,"&lt;&gt;"&amp;$AR28)</f>
        <v>0</v>
      </c>
      <c r="AV28" s="304" t="str">
        <f t="shared" si="8"/>
        <v/>
      </c>
      <c r="AW28" s="250" t="s">
        <v>2636</v>
      </c>
      <c r="AX28" s="250">
        <f>SUMIFS(Gefahrstoffverzeichnis!$AU:$AU,Gefahrstoffverzeichnis!$BY:$BY,"kg",Gefahrstoffverzeichnis!$AP:$AP,Lager!$B28,Gefahrstoffverzeichnis!$CB:$CB,$AW28)</f>
        <v>0</v>
      </c>
      <c r="AY28" s="304" t="str">
        <f t="shared" si="9"/>
        <v/>
      </c>
      <c r="AZ28" s="250" t="s">
        <v>2637</v>
      </c>
      <c r="BA28" s="250">
        <f>SUMIFS(Gefahrstoffverzeichnis!$AU:$AU,Gefahrstoffverzeichnis!$BY:$BY,"kg",Gefahrstoffverzeichnis!$AP:$AP,Lager!$B28,Gefahrstoffverzeichnis!$CB:$CB,$AZ28)</f>
        <v>0</v>
      </c>
      <c r="BB28" s="304" t="str">
        <f t="shared" si="10"/>
        <v/>
      </c>
      <c r="BC28" s="250" t="s">
        <v>2638</v>
      </c>
      <c r="BD28" s="250">
        <f>SUMIFS(Gefahrstoffverzeichnis!$AU:$AU,Gefahrstoffverzeichnis!$BY:$BY,"kg",Gefahrstoffverzeichnis!$AP:$AP,Lager!$B28,Gefahrstoffverzeichnis!$CB:$CB,$BC28)</f>
        <v>0</v>
      </c>
      <c r="BE28" s="304" t="str">
        <f t="shared" si="11"/>
        <v/>
      </c>
      <c r="BF28" s="250" t="s">
        <v>2639</v>
      </c>
      <c r="BG28" s="250">
        <f>SUMIFS(Gefahrstoffverzeichnis!$AU:$AU,Gefahrstoffverzeichnis!$BY:$BY,"Liter",Gefahrstoffverzeichnis!$AP:$AP,Lager!$B28,Gefahrstoffverzeichnis!$CB:$CB,$BF28)</f>
        <v>0</v>
      </c>
      <c r="BH28" s="250" t="s">
        <v>2640</v>
      </c>
      <c r="BI28" s="250">
        <f>SUMIFS(Gefahrstoffverzeichnis!$AU:$AU,Gefahrstoffverzeichnis!$BY:$BY,"Liter",Gefahrstoffverzeichnis!$AP:$AP,Lager!$B28,Gefahrstoffverzeichnis!$CB:$CB,$BH28,Gefahrstoffverzeichnis!$CB:$CB,"&lt;&gt;"&amp;$BF28)</f>
        <v>0</v>
      </c>
      <c r="BJ28" s="250" t="s">
        <v>2641</v>
      </c>
      <c r="BK28" s="250">
        <f>SUMIFS(Gefahrstoffverzeichnis!$AU:$AU,Gefahrstoffverzeichnis!$BY:$BY,"Liter",Gefahrstoffverzeichnis!$AP:$AP,Lager!$B28,Gefahrstoffverzeichnis!$CB:$CB,$BJ28,Gefahrstoffverzeichnis!$CB:$CB,"&lt;&gt;"&amp;$BH28,Gefahrstoffverzeichnis!$CB:$CB,"&lt;&gt;"&amp;$BF28)</f>
        <v>0</v>
      </c>
      <c r="BL28" s="250" t="s">
        <v>2642</v>
      </c>
      <c r="BM28" s="250">
        <f>SUMIFS(Gefahrstoffverzeichnis!$AU:$AU,Gefahrstoffverzeichnis!$BY:$BY,"Liter",Gefahrstoffverzeichnis!$AP:$AP,Lager!$B28,Gefahrstoffverzeichnis!$CB:$CB,$BL28,Gefahrstoffverzeichnis!$CB:$CB,"&lt;&gt;"&amp;$BJ28,Gefahrstoffverzeichnis!$CB:$CB,"&lt;&gt;"&amp;$BH28,Gefahrstoffverzeichnis!$CB:$CB,"&lt;&gt;"&amp;$BF28)</f>
        <v>0</v>
      </c>
      <c r="BN28" s="250" t="s">
        <v>2643</v>
      </c>
      <c r="BO28" s="250">
        <f>SUMIFS(Gefahrstoffverzeichnis!$AU:$AU,Gefahrstoffverzeichnis!$BY:$BY,"Liter",Gefahrstoffverzeichnis!$AP:$AP,Lager!$B28,Gefahrstoffverzeichnis!$CB:$CB,$BN28,Gefahrstoffverzeichnis!$CB:$CB,"&lt;&gt;"&amp;$BL28,Gefahrstoffverzeichnis!$CB:$CB,"&lt;&gt;"&amp;$BJ28,Gefahrstoffverzeichnis!$CB:$CB,"&lt;&gt;"&amp;$BH28,Gefahrstoffverzeichnis!$CB:$CB,"&lt;&gt;"&amp;$BF28)</f>
        <v>0</v>
      </c>
      <c r="BP28" s="304" t="str">
        <f t="shared" si="12"/>
        <v/>
      </c>
      <c r="BQ28" s="250" t="s">
        <v>2639</v>
      </c>
      <c r="BR28" s="250">
        <f>SUMIFS(Gefahrstoffverzeichnis!$AU:$AU,Gefahrstoffverzeichnis!$BY:$BY,"kg",Gefahrstoffverzeichnis!$AP:$AP,Lager!$B28,Gefahrstoffverzeichnis!$CB:$CB,$BQ28)</f>
        <v>0</v>
      </c>
      <c r="BS28" s="250" t="s">
        <v>2640</v>
      </c>
      <c r="BT28" s="250">
        <f>SUMIFS(Gefahrstoffverzeichnis!$AU:$AU,Gefahrstoffverzeichnis!$BY:$BY,"kg",Gefahrstoffverzeichnis!$AP:$AP,Lager!$B28,Gefahrstoffverzeichnis!$CB:$CB,$BS28,Gefahrstoffverzeichnis!$CB:$CB,"&lt;&gt;"&amp;$BQ28)</f>
        <v>0</v>
      </c>
      <c r="BU28" s="250" t="s">
        <v>2644</v>
      </c>
      <c r="BV28" s="250">
        <f>SUMIFS(Gefahrstoffverzeichnis!$AU:$AU,Gefahrstoffverzeichnis!$BY:$BY,"kg",Gefahrstoffverzeichnis!$AP:$AP,Lager!$B28,Gefahrstoffverzeichnis!$CB:$CB,$BU28,Gefahrstoffverzeichnis!$CB:$CB,"&lt;&gt;"&amp;$BS28,Gefahrstoffverzeichnis!$CB:$CB,"&lt;&gt;"&amp;$BQ28)</f>
        <v>0</v>
      </c>
      <c r="BW28" s="250" t="s">
        <v>2645</v>
      </c>
      <c r="BX28" s="250">
        <f>SUMIFS(Gefahrstoffverzeichnis!$AU:$AU,Gefahrstoffverzeichnis!$BY:$BY,"kg",Gefahrstoffverzeichnis!$AP:$AP,Lager!$B28,Gefahrstoffverzeichnis!$CB:$CB,$BW28,Gefahrstoffverzeichnis!$CB:$CB,"&lt;&gt;"&amp;$BU28,Gefahrstoffverzeichnis!$CB:$CB,"&lt;&gt;"&amp;$BS28,Gefahrstoffverzeichnis!$CB:$CB,"&lt;&gt;"&amp;$BQ28)</f>
        <v>0</v>
      </c>
      <c r="BY28" s="304" t="str">
        <f t="shared" si="13"/>
        <v/>
      </c>
      <c r="BZ28" s="249" t="s">
        <v>2646</v>
      </c>
      <c r="CA28" s="250">
        <f>SUMIFS(Gefahrstoffverzeichnis!$AU:$AU,Gefahrstoffverzeichnis!$BY:$BY,"kg",Gefahrstoffverzeichnis!$AP:$AP,Lager!$B28,Gefahrstoffverzeichnis!$CB:$CB,$BZ28)</f>
        <v>0</v>
      </c>
      <c r="CB28" s="249" t="s">
        <v>2647</v>
      </c>
      <c r="CC28" s="250">
        <f>SUMIFS(Gefahrstoffverzeichnis!$AU:$AU,Gefahrstoffverzeichnis!$BY:$BY,"kg",Gefahrstoffverzeichnis!$AP:$AP,Lager!$B28,Gefahrstoffverzeichnis!$CB:$CB,$CB28,Gefahrstoffverzeichnis!$CB:$CB,"&lt;&gt;"&amp;$BZ28)</f>
        <v>0</v>
      </c>
    </row>
    <row r="29" spans="2:81" ht="18.75" customHeight="1" x14ac:dyDescent="0.3">
      <c r="B29" s="306" t="str">
        <v>*nicht definiert26*</v>
      </c>
      <c r="D29" s="307">
        <f>SUMIFS(Gefahrstoffverzeichnis!$AU:$AU,Gefahrstoffverzeichnis!$BY:$BY,"kg",Gefahrstoffverzeichnis!$AP:$AP,Lager!$B29)</f>
        <v>0</v>
      </c>
      <c r="F29" s="248" t="str">
        <f t="shared" si="0"/>
        <v/>
      </c>
      <c r="G29" s="249" t="s">
        <v>2619</v>
      </c>
      <c r="H29" s="250">
        <f>SUMIFS(Gefahrstoffverzeichnis!$AU:$AU,Gefahrstoffverzeichnis!$BY:$BY,"kg",Gefahrstoffverzeichnis!$AP:$AP,Lager!$B29,Gefahrstoffverzeichnis!$CC:$CC,$G29)</f>
        <v>0</v>
      </c>
      <c r="I29" s="249" t="s">
        <v>2620</v>
      </c>
      <c r="J29" s="250">
        <f>SUMIFS(Gefahrstoffverzeichnis!$AU:$AU,Gefahrstoffverzeichnis!$BY:$BY,"kg",Gefahrstoffverzeichnis!$AP:$AP,Lager!$B29,Gefahrstoffverzeichnis!$CC:$CC,$I29,Gefahrstoffverzeichnis!$CC:$CC,"&lt;&gt;"&amp;$G29)</f>
        <v>0</v>
      </c>
      <c r="K29" s="249" t="s">
        <v>2621</v>
      </c>
      <c r="L29" s="250">
        <f>SUMIFS(Gefahrstoffverzeichnis!$AU:$AU,Gefahrstoffverzeichnis!$BY:$BY,"kg",Gefahrstoffverzeichnis!$AP:$AP,Lager!$B29,Gefahrstoffverzeichnis!$CC:$CC,$K29,Gefahrstoffverzeichnis!$CC:$CC,"&lt;&gt;"&amp;$I29,Gefahrstoffverzeichnis!$CC:$CC,"&lt;&gt;"&amp;$G29)</f>
        <v>0</v>
      </c>
      <c r="M29" s="249" t="s">
        <v>2622</v>
      </c>
      <c r="N29" s="250">
        <f>SUMIFS(Gefahrstoffverzeichnis!$AU:$AU,Gefahrstoffverzeichnis!$BY:$BY,"kg",Gefahrstoffverzeichnis!$AP:$AP,Lager!$B29,Gefahrstoffverzeichnis!$CC:$CC,$M29,Gefahrstoffverzeichnis!$CC:$CC,"&lt;&gt;"&amp;$K29,Gefahrstoffverzeichnis!$CC:$CC,"&lt;&gt;"&amp;$I29,Gefahrstoffverzeichnis!$CC:$CC,"&lt;&gt;"&amp;$G29)</f>
        <v>0</v>
      </c>
      <c r="O29" s="249" t="s">
        <v>2623</v>
      </c>
      <c r="P29" s="250">
        <f>SUMIFS(Gefahrstoffverzeichnis!$AU:$AU,Gefahrstoffverzeichnis!$BY:$BY,"kg",Gefahrstoffverzeichnis!$AP:$AP,Lager!$B29,Gefahrstoffverzeichnis!$CC:$CC,$O29,Gefahrstoffverzeichnis!$CC:$CC,"&lt;&gt;"&amp;$M29,Gefahrstoffverzeichnis!$CC:$CC,"&lt;&gt;"&amp;$K29,Gefahrstoffverzeichnis!$CC:$CC,"&lt;&gt;"&amp;$I29,Gefahrstoffverzeichnis!$CC:$CC,"&lt;&gt;"&amp;$G29)</f>
        <v>0</v>
      </c>
      <c r="Q29" s="249" t="s">
        <v>2624</v>
      </c>
      <c r="R29" s="250">
        <f>SUMIFS(Gefahrstoffverzeichnis!$AU:$AU,Gefahrstoffverzeichnis!$BY:$BY,"kg",Gefahrstoffverzeichnis!$AP:$AP,Lager!$B29,Gefahrstoffverzeichnis!$CC:$CC,$Q$5,Gefahrstoffverzeichnis!$CC:$CC,"&lt;&gt;"&amp;$O29,Gefahrstoffverzeichnis!$CC:$CC,"&lt;&gt;"&amp;$M29,Gefahrstoffverzeichnis!$CC:$CC,"&lt;&gt;"&amp;$K29,Gefahrstoffverzeichnis!$CC:$CC,"&lt;&gt;"&amp;$I29,Gefahrstoffverzeichnis!$CC:$CC,"&lt;&gt;"&amp;$G29)</f>
        <v>0</v>
      </c>
      <c r="S29" s="248" t="str">
        <f t="shared" si="1"/>
        <v/>
      </c>
      <c r="T29" s="249" t="s">
        <v>2625</v>
      </c>
      <c r="U29" s="250">
        <f>SUMIFS(Gefahrstoffverzeichnis!$AU:$AU,Gefahrstoffverzeichnis!$BY:$BY,"kg",Gefahrstoffverzeichnis!$AP:$AP,Lager!$B29,Gefahrstoffverzeichnis!$CC:$CC,$T29)</f>
        <v>0</v>
      </c>
      <c r="V29" s="249" t="s">
        <v>2626</v>
      </c>
      <c r="W29" s="250">
        <f>SUMIFS(Gefahrstoffverzeichnis!$AU:$AU,Gefahrstoffverzeichnis!$BY:$BY,"kg",Gefahrstoffverzeichnis!$AP:$AP,Lager!$B29,Gefahrstoffverzeichnis!$CC:$CC,$V29,Gefahrstoffverzeichnis!$CC:$CC,"&lt;&gt;"&amp;$T29)</f>
        <v>0</v>
      </c>
      <c r="X29" s="248" t="str">
        <f t="shared" si="2"/>
        <v/>
      </c>
      <c r="Y29" s="249" t="s">
        <v>2627</v>
      </c>
      <c r="Z29" s="250">
        <f>SUMIFS(Gefahrstoffverzeichnis!$AU:$AU,Gefahrstoffverzeichnis!$BY:$BY,"kg",Gefahrstoffverzeichnis!$AP:$AP,Lager!$B29,Gefahrstoffverzeichnis!$CC:$CC,$Y29)</f>
        <v>0</v>
      </c>
      <c r="AA29" s="249" t="s">
        <v>2628</v>
      </c>
      <c r="AB29" s="250">
        <f>SUMIFS(Gefahrstoffverzeichnis!$AU:$AU,Gefahrstoffverzeichnis!$BY:$BY,"kg",Gefahrstoffverzeichnis!$AP:$AP,Lager!$B29,Gefahrstoffverzeichnis!$CC:$CC,$AA29,Gefahrstoffverzeichnis!$CC:$CC,"&lt;&gt;"&amp;$Y29)</f>
        <v>0</v>
      </c>
      <c r="AC29" s="248" t="str">
        <f t="shared" si="3"/>
        <v/>
      </c>
      <c r="AD29" s="249" t="s">
        <v>2629</v>
      </c>
      <c r="AE29" s="250">
        <f>SUMIFS(Gefahrstoffverzeichnis!$AU:$AU,Gefahrstoffverzeichnis!$BY:$BY,"kg",Gefahrstoffverzeichnis!$AP:$AP,Lager!$B29,Gefahrstoffverzeichnis!$CB:$CB,$AD29)</f>
        <v>0</v>
      </c>
      <c r="AF29" s="249" t="s">
        <v>2630</v>
      </c>
      <c r="AG29" s="250">
        <f>SUMIFS(Gefahrstoffverzeichnis!$AU:$AU,Gefahrstoffverzeichnis!$BY:$BY,"kg",Gefahrstoffverzeichnis!$AP:$AP,Lager!$B29,Gefahrstoffverzeichnis!$CB:$CB,$AF29,Gefahrstoffverzeichnis!$CB:$CB,"&lt;&gt;"&amp;$AD29)</f>
        <v>0</v>
      </c>
      <c r="AH29" s="248" t="str">
        <f t="shared" si="4"/>
        <v/>
      </c>
      <c r="AI29" s="249" t="s">
        <v>2631</v>
      </c>
      <c r="AJ29" s="250">
        <f>SUMIFS(Gefahrstoffverzeichnis!$AU:$AU,Gefahrstoffverzeichnis!$BY:$BY,"kg",Gefahrstoffverzeichnis!$AP:$AP,Lager!$B29,Gefahrstoffverzeichnis!$CB:$CB,$AI29)</f>
        <v>0</v>
      </c>
      <c r="AK29" s="248" t="str">
        <f t="shared" si="5"/>
        <v/>
      </c>
      <c r="AL29" s="249" t="s">
        <v>2632</v>
      </c>
      <c r="AM29" s="250">
        <f>SUMIFS(Gefahrstoffverzeichnis!$AU:$AU,Gefahrstoffverzeichnis!$BY:$BY,"kg",Gefahrstoffverzeichnis!$AP:$AP,Lager!$B29,Gefahrstoffverzeichnis!$CB:$CB,$AL29)</f>
        <v>0</v>
      </c>
      <c r="AN29" s="248" t="str">
        <f t="shared" si="6"/>
        <v/>
      </c>
      <c r="AO29" s="249" t="s">
        <v>2633</v>
      </c>
      <c r="AP29" s="250">
        <f>SUMIFS(Gefahrstoffverzeichnis!$AU:$AU,Gefahrstoffverzeichnis!$BY:$BY,"kg",Gefahrstoffverzeichnis!$AP:$AP,Lager!$B29,Gefahrstoffverzeichnis!$CB:$CB,$AO29)</f>
        <v>0</v>
      </c>
      <c r="AQ29" s="248" t="str">
        <f t="shared" si="7"/>
        <v/>
      </c>
      <c r="AR29" s="249" t="s">
        <v>2634</v>
      </c>
      <c r="AS29" s="250">
        <f>SUMIFS(Gefahrstoffverzeichnis!$AU:$AU,Gefahrstoffverzeichnis!$BY:$BY,"kg",Gefahrstoffverzeichnis!$AP:$AP,Lager!$B29,Gefahrstoffverzeichnis!$CB:$CB,$AR29)</f>
        <v>0</v>
      </c>
      <c r="AT29" s="249" t="s">
        <v>2635</v>
      </c>
      <c r="AU29" s="250">
        <f>SUMIFS(Gefahrstoffverzeichnis!$AU:$AU,Gefahrstoffverzeichnis!$BY:$BY,"kg",Gefahrstoffverzeichnis!$AP:$AP,Lager!$B29,Gefahrstoffverzeichnis!$CB:$CB,$AT29,Gefahrstoffverzeichnis!$CB:$CB,"&lt;&gt;"&amp;$AR29)</f>
        <v>0</v>
      </c>
      <c r="AV29" s="248" t="str">
        <f t="shared" si="8"/>
        <v/>
      </c>
      <c r="AW29" s="249" t="s">
        <v>2636</v>
      </c>
      <c r="AX29" s="250">
        <f>SUMIFS(Gefahrstoffverzeichnis!$AU:$AU,Gefahrstoffverzeichnis!$BY:$BY,"kg",Gefahrstoffverzeichnis!$AP:$AP,Lager!$B29,Gefahrstoffverzeichnis!$CB:$CB,$AW29)</f>
        <v>0</v>
      </c>
      <c r="AY29" s="248" t="str">
        <f t="shared" si="9"/>
        <v/>
      </c>
      <c r="AZ29" s="249" t="s">
        <v>2637</v>
      </c>
      <c r="BA29" s="250">
        <f>SUMIFS(Gefahrstoffverzeichnis!$AU:$AU,Gefahrstoffverzeichnis!$BY:$BY,"kg",Gefahrstoffverzeichnis!$AP:$AP,Lager!$B29,Gefahrstoffverzeichnis!$CB:$CB,$AZ29)</f>
        <v>0</v>
      </c>
      <c r="BB29" s="248" t="str">
        <f t="shared" si="10"/>
        <v/>
      </c>
      <c r="BC29" s="249" t="s">
        <v>2638</v>
      </c>
      <c r="BD29" s="250">
        <f>SUMIFS(Gefahrstoffverzeichnis!$AU:$AU,Gefahrstoffverzeichnis!$BY:$BY,"kg",Gefahrstoffverzeichnis!$AP:$AP,Lager!$B29,Gefahrstoffverzeichnis!$CB:$CB,$BC29)</f>
        <v>0</v>
      </c>
      <c r="BE29" s="248" t="str">
        <f t="shared" si="11"/>
        <v/>
      </c>
      <c r="BF29" s="249" t="s">
        <v>2639</v>
      </c>
      <c r="BG29" s="250">
        <f>SUMIFS(Gefahrstoffverzeichnis!$AU:$AU,Gefahrstoffverzeichnis!$BY:$BY,"Liter",Gefahrstoffverzeichnis!$AP:$AP,Lager!$B29,Gefahrstoffverzeichnis!$CB:$CB,$BF29)</f>
        <v>0</v>
      </c>
      <c r="BH29" s="249" t="s">
        <v>2640</v>
      </c>
      <c r="BI29" s="250">
        <f>SUMIFS(Gefahrstoffverzeichnis!$AU:$AU,Gefahrstoffverzeichnis!$BY:$BY,"Liter",Gefahrstoffverzeichnis!$AP:$AP,Lager!$B29,Gefahrstoffverzeichnis!$CB:$CB,$BH29,Gefahrstoffverzeichnis!$CB:$CB,"&lt;&gt;"&amp;$BF29)</f>
        <v>0</v>
      </c>
      <c r="BJ29" s="249" t="s">
        <v>2641</v>
      </c>
      <c r="BK29" s="250">
        <f>SUMIFS(Gefahrstoffverzeichnis!$AU:$AU,Gefahrstoffverzeichnis!$BY:$BY,"Liter",Gefahrstoffverzeichnis!$AP:$AP,Lager!$B29,Gefahrstoffverzeichnis!$CB:$CB,$BJ29,Gefahrstoffverzeichnis!$CB:$CB,"&lt;&gt;"&amp;$BH29,Gefahrstoffverzeichnis!$CB:$CB,"&lt;&gt;"&amp;$BF29)</f>
        <v>0</v>
      </c>
      <c r="BL29" s="249" t="s">
        <v>2642</v>
      </c>
      <c r="BM29" s="250">
        <f>SUMIFS(Gefahrstoffverzeichnis!$AU:$AU,Gefahrstoffverzeichnis!$BY:$BY,"Liter",Gefahrstoffverzeichnis!$AP:$AP,Lager!$B29,Gefahrstoffverzeichnis!$CB:$CB,$BL29,Gefahrstoffverzeichnis!$CB:$CB,"&lt;&gt;"&amp;$BJ29,Gefahrstoffverzeichnis!$CB:$CB,"&lt;&gt;"&amp;$BH29,Gefahrstoffverzeichnis!$CB:$CB,"&lt;&gt;"&amp;$BF29)</f>
        <v>0</v>
      </c>
      <c r="BN29" s="249" t="s">
        <v>2643</v>
      </c>
      <c r="BO29" s="250">
        <f>SUMIFS(Gefahrstoffverzeichnis!$AU:$AU,Gefahrstoffverzeichnis!$BY:$BY,"Liter",Gefahrstoffverzeichnis!$AP:$AP,Lager!$B29,Gefahrstoffverzeichnis!$CB:$CB,$BN29,Gefahrstoffverzeichnis!$CB:$CB,"&lt;&gt;"&amp;$BL29,Gefahrstoffverzeichnis!$CB:$CB,"&lt;&gt;"&amp;$BJ29,Gefahrstoffverzeichnis!$CB:$CB,"&lt;&gt;"&amp;$BH29,Gefahrstoffverzeichnis!$CB:$CB,"&lt;&gt;"&amp;$BF29)</f>
        <v>0</v>
      </c>
      <c r="BP29" s="248" t="str">
        <f t="shared" si="12"/>
        <v/>
      </c>
      <c r="BQ29" s="249" t="s">
        <v>2639</v>
      </c>
      <c r="BR29" s="250">
        <f>SUMIFS(Gefahrstoffverzeichnis!$AU:$AU,Gefahrstoffverzeichnis!$BY:$BY,"kg",Gefahrstoffverzeichnis!$AP:$AP,Lager!$B29,Gefahrstoffverzeichnis!$CB:$CB,$BQ29)</f>
        <v>0</v>
      </c>
      <c r="BS29" s="249" t="s">
        <v>2640</v>
      </c>
      <c r="BT29" s="250">
        <f>SUMIFS(Gefahrstoffverzeichnis!$AU:$AU,Gefahrstoffverzeichnis!$BY:$BY,"kg",Gefahrstoffverzeichnis!$AP:$AP,Lager!$B29,Gefahrstoffverzeichnis!$CB:$CB,$BS29,Gefahrstoffverzeichnis!$CB:$CB,"&lt;&gt;"&amp;$BQ29)</f>
        <v>0</v>
      </c>
      <c r="BU29" s="249" t="s">
        <v>2644</v>
      </c>
      <c r="BV29" s="250">
        <f>SUMIFS(Gefahrstoffverzeichnis!$AU:$AU,Gefahrstoffverzeichnis!$BY:$BY,"kg",Gefahrstoffverzeichnis!$AP:$AP,Lager!$B29,Gefahrstoffverzeichnis!$CB:$CB,$BU29,Gefahrstoffverzeichnis!$CB:$CB,"&lt;&gt;"&amp;$BS29,Gefahrstoffverzeichnis!$CB:$CB,"&lt;&gt;"&amp;$BQ29)</f>
        <v>0</v>
      </c>
      <c r="BW29" s="249" t="s">
        <v>2645</v>
      </c>
      <c r="BX29" s="250">
        <f>SUMIFS(Gefahrstoffverzeichnis!$AU:$AU,Gefahrstoffverzeichnis!$BY:$BY,"kg",Gefahrstoffverzeichnis!$AP:$AP,Lager!$B29,Gefahrstoffverzeichnis!$CB:$CB,$BW29,Gefahrstoffverzeichnis!$CB:$CB,"&lt;&gt;"&amp;$BU29,Gefahrstoffverzeichnis!$CB:$CB,"&lt;&gt;"&amp;$BS29,Gefahrstoffverzeichnis!$CB:$CB,"&lt;&gt;"&amp;$BQ29)</f>
        <v>0</v>
      </c>
      <c r="BY29" s="248" t="str">
        <f t="shared" si="13"/>
        <v/>
      </c>
      <c r="BZ29" s="249" t="s">
        <v>2646</v>
      </c>
      <c r="CA29" s="250">
        <f>SUMIFS(Gefahrstoffverzeichnis!$AU:$AU,Gefahrstoffverzeichnis!$BY:$BY,"kg",Gefahrstoffverzeichnis!$AP:$AP,Lager!$B29,Gefahrstoffverzeichnis!$CB:$CB,$BZ29)</f>
        <v>0</v>
      </c>
      <c r="CB29" s="249" t="s">
        <v>2647</v>
      </c>
      <c r="CC29" s="250">
        <f>SUMIFS(Gefahrstoffverzeichnis!$AU:$AU,Gefahrstoffverzeichnis!$BY:$BY,"kg",Gefahrstoffverzeichnis!$AP:$AP,Lager!$B29,Gefahrstoffverzeichnis!$CB:$CB,$CB29,Gefahrstoffverzeichnis!$CB:$CB,"&lt;&gt;"&amp;$BZ29)</f>
        <v>0</v>
      </c>
    </row>
    <row r="30" spans="2:81" ht="18.75" customHeight="1" x14ac:dyDescent="0.3">
      <c r="B30" s="306" t="str">
        <v>*nicht definiert27*</v>
      </c>
      <c r="C30" s="303"/>
      <c r="D30" s="308">
        <f>SUMIFS(Gefahrstoffverzeichnis!$AU:$AU,Gefahrstoffverzeichnis!$BY:$BY,"kg",Gefahrstoffverzeichnis!$AP:$AP,Lager!$B30)</f>
        <v>0</v>
      </c>
      <c r="E30" s="303"/>
      <c r="F30" s="304" t="str">
        <f t="shared" si="0"/>
        <v/>
      </c>
      <c r="G30" s="250" t="s">
        <v>2619</v>
      </c>
      <c r="H30" s="250">
        <f>SUMIFS(Gefahrstoffverzeichnis!$AU:$AU,Gefahrstoffverzeichnis!$BY:$BY,"kg",Gefahrstoffverzeichnis!$AP:$AP,Lager!$B30,Gefahrstoffverzeichnis!$CC:$CC,$G30)</f>
        <v>0</v>
      </c>
      <c r="I30" s="250" t="s">
        <v>2620</v>
      </c>
      <c r="J30" s="250">
        <f>SUMIFS(Gefahrstoffverzeichnis!$AU:$AU,Gefahrstoffverzeichnis!$BY:$BY,"kg",Gefahrstoffverzeichnis!$AP:$AP,Lager!$B30,Gefahrstoffverzeichnis!$CC:$CC,$I30,Gefahrstoffverzeichnis!$CC:$CC,"&lt;&gt;"&amp;$G30)</f>
        <v>0</v>
      </c>
      <c r="K30" s="250" t="s">
        <v>2621</v>
      </c>
      <c r="L30" s="250">
        <f>SUMIFS(Gefahrstoffverzeichnis!$AU:$AU,Gefahrstoffverzeichnis!$BY:$BY,"kg",Gefahrstoffverzeichnis!$AP:$AP,Lager!$B30,Gefahrstoffverzeichnis!$CC:$CC,$K30,Gefahrstoffverzeichnis!$CC:$CC,"&lt;&gt;"&amp;$I30,Gefahrstoffverzeichnis!$CC:$CC,"&lt;&gt;"&amp;$G30)</f>
        <v>0</v>
      </c>
      <c r="M30" s="250" t="s">
        <v>2622</v>
      </c>
      <c r="N30" s="250">
        <f>SUMIFS(Gefahrstoffverzeichnis!$AU:$AU,Gefahrstoffverzeichnis!$BY:$BY,"kg",Gefahrstoffverzeichnis!$AP:$AP,Lager!$B30,Gefahrstoffverzeichnis!$CC:$CC,$M30,Gefahrstoffverzeichnis!$CC:$CC,"&lt;&gt;"&amp;$K30,Gefahrstoffverzeichnis!$CC:$CC,"&lt;&gt;"&amp;$I30,Gefahrstoffverzeichnis!$CC:$CC,"&lt;&gt;"&amp;$G30)</f>
        <v>0</v>
      </c>
      <c r="O30" s="250" t="s">
        <v>2623</v>
      </c>
      <c r="P30" s="250">
        <f>SUMIFS(Gefahrstoffverzeichnis!$AU:$AU,Gefahrstoffverzeichnis!$BY:$BY,"kg",Gefahrstoffverzeichnis!$AP:$AP,Lager!$B30,Gefahrstoffverzeichnis!$CC:$CC,$O30,Gefahrstoffverzeichnis!$CC:$CC,"&lt;&gt;"&amp;$M30,Gefahrstoffverzeichnis!$CC:$CC,"&lt;&gt;"&amp;$K30,Gefahrstoffverzeichnis!$CC:$CC,"&lt;&gt;"&amp;$I30,Gefahrstoffverzeichnis!$CC:$CC,"&lt;&gt;"&amp;$G30)</f>
        <v>0</v>
      </c>
      <c r="Q30" s="250" t="s">
        <v>2624</v>
      </c>
      <c r="R30" s="250">
        <f>SUMIFS(Gefahrstoffverzeichnis!$AU:$AU,Gefahrstoffverzeichnis!$BY:$BY,"kg",Gefahrstoffverzeichnis!$AP:$AP,Lager!$B30,Gefahrstoffverzeichnis!$CC:$CC,$Q$5,Gefahrstoffverzeichnis!$CC:$CC,"&lt;&gt;"&amp;$O30,Gefahrstoffverzeichnis!$CC:$CC,"&lt;&gt;"&amp;$M30,Gefahrstoffverzeichnis!$CC:$CC,"&lt;&gt;"&amp;$K30,Gefahrstoffverzeichnis!$CC:$CC,"&lt;&gt;"&amp;$I30,Gefahrstoffverzeichnis!$CC:$CC,"&lt;&gt;"&amp;$G30)</f>
        <v>0</v>
      </c>
      <c r="S30" s="304" t="str">
        <f t="shared" si="1"/>
        <v/>
      </c>
      <c r="T30" s="250" t="s">
        <v>2625</v>
      </c>
      <c r="U30" s="250">
        <f>SUMIFS(Gefahrstoffverzeichnis!$AU:$AU,Gefahrstoffverzeichnis!$BY:$BY,"kg",Gefahrstoffverzeichnis!$AP:$AP,Lager!$B30,Gefahrstoffverzeichnis!$CC:$CC,$T30)</f>
        <v>0</v>
      </c>
      <c r="V30" s="250" t="s">
        <v>2626</v>
      </c>
      <c r="W30" s="250">
        <f>SUMIFS(Gefahrstoffverzeichnis!$AU:$AU,Gefahrstoffverzeichnis!$BY:$BY,"kg",Gefahrstoffverzeichnis!$AP:$AP,Lager!$B30,Gefahrstoffverzeichnis!$CC:$CC,$V30,Gefahrstoffverzeichnis!$CC:$CC,"&lt;&gt;"&amp;$T30)</f>
        <v>0</v>
      </c>
      <c r="X30" s="304" t="str">
        <f t="shared" si="2"/>
        <v/>
      </c>
      <c r="Y30" s="250" t="s">
        <v>2627</v>
      </c>
      <c r="Z30" s="250">
        <f>SUMIFS(Gefahrstoffverzeichnis!$AU:$AU,Gefahrstoffverzeichnis!$BY:$BY,"kg",Gefahrstoffverzeichnis!$AP:$AP,Lager!$B30,Gefahrstoffverzeichnis!$CC:$CC,$Y30)</f>
        <v>0</v>
      </c>
      <c r="AA30" s="250" t="s">
        <v>2628</v>
      </c>
      <c r="AB30" s="250">
        <f>SUMIFS(Gefahrstoffverzeichnis!$AU:$AU,Gefahrstoffverzeichnis!$BY:$BY,"kg",Gefahrstoffverzeichnis!$AP:$AP,Lager!$B30,Gefahrstoffverzeichnis!$CC:$CC,$AA30,Gefahrstoffverzeichnis!$CC:$CC,"&lt;&gt;"&amp;$Y30)</f>
        <v>0</v>
      </c>
      <c r="AC30" s="304" t="str">
        <f t="shared" si="3"/>
        <v/>
      </c>
      <c r="AD30" s="250" t="s">
        <v>2629</v>
      </c>
      <c r="AE30" s="250">
        <f>SUMIFS(Gefahrstoffverzeichnis!$AU:$AU,Gefahrstoffverzeichnis!$BY:$BY,"kg",Gefahrstoffverzeichnis!$AP:$AP,Lager!$B30,Gefahrstoffverzeichnis!$CB:$CB,$AD30)</f>
        <v>0</v>
      </c>
      <c r="AF30" s="250" t="s">
        <v>2630</v>
      </c>
      <c r="AG30" s="250">
        <f>SUMIFS(Gefahrstoffverzeichnis!$AU:$AU,Gefahrstoffverzeichnis!$BY:$BY,"kg",Gefahrstoffverzeichnis!$AP:$AP,Lager!$B30,Gefahrstoffverzeichnis!$CB:$CB,$AF30,Gefahrstoffverzeichnis!$CB:$CB,"&lt;&gt;"&amp;$AD30)</f>
        <v>0</v>
      </c>
      <c r="AH30" s="304" t="str">
        <f t="shared" si="4"/>
        <v/>
      </c>
      <c r="AI30" s="250" t="s">
        <v>2631</v>
      </c>
      <c r="AJ30" s="250">
        <f>SUMIFS(Gefahrstoffverzeichnis!$AU:$AU,Gefahrstoffverzeichnis!$BY:$BY,"kg",Gefahrstoffverzeichnis!$AP:$AP,Lager!$B30,Gefahrstoffverzeichnis!$CB:$CB,$AI30)</f>
        <v>0</v>
      </c>
      <c r="AK30" s="304" t="str">
        <f t="shared" si="5"/>
        <v/>
      </c>
      <c r="AL30" s="250" t="s">
        <v>2632</v>
      </c>
      <c r="AM30" s="250">
        <f>SUMIFS(Gefahrstoffverzeichnis!$AU:$AU,Gefahrstoffverzeichnis!$BY:$BY,"kg",Gefahrstoffverzeichnis!$AP:$AP,Lager!$B30,Gefahrstoffverzeichnis!$CB:$CB,$AL30)</f>
        <v>0</v>
      </c>
      <c r="AN30" s="304" t="str">
        <f t="shared" si="6"/>
        <v/>
      </c>
      <c r="AO30" s="250" t="s">
        <v>2633</v>
      </c>
      <c r="AP30" s="250">
        <f>SUMIFS(Gefahrstoffverzeichnis!$AU:$AU,Gefahrstoffverzeichnis!$BY:$BY,"kg",Gefahrstoffverzeichnis!$AP:$AP,Lager!$B30,Gefahrstoffverzeichnis!$CB:$CB,$AO30)</f>
        <v>0</v>
      </c>
      <c r="AQ30" s="304" t="str">
        <f t="shared" si="7"/>
        <v/>
      </c>
      <c r="AR30" s="250" t="s">
        <v>2634</v>
      </c>
      <c r="AS30" s="250">
        <f>SUMIFS(Gefahrstoffverzeichnis!$AU:$AU,Gefahrstoffverzeichnis!$BY:$BY,"kg",Gefahrstoffverzeichnis!$AP:$AP,Lager!$B30,Gefahrstoffverzeichnis!$CB:$CB,$AR30)</f>
        <v>0</v>
      </c>
      <c r="AT30" s="250" t="s">
        <v>2635</v>
      </c>
      <c r="AU30" s="250">
        <f>SUMIFS(Gefahrstoffverzeichnis!$AU:$AU,Gefahrstoffverzeichnis!$BY:$BY,"kg",Gefahrstoffverzeichnis!$AP:$AP,Lager!$B30,Gefahrstoffverzeichnis!$CB:$CB,$AT30,Gefahrstoffverzeichnis!$CB:$CB,"&lt;&gt;"&amp;$AR30)</f>
        <v>0</v>
      </c>
      <c r="AV30" s="304" t="str">
        <f t="shared" si="8"/>
        <v/>
      </c>
      <c r="AW30" s="250" t="s">
        <v>2636</v>
      </c>
      <c r="AX30" s="250">
        <f>SUMIFS(Gefahrstoffverzeichnis!$AU:$AU,Gefahrstoffverzeichnis!$BY:$BY,"kg",Gefahrstoffverzeichnis!$AP:$AP,Lager!$B30,Gefahrstoffverzeichnis!$CB:$CB,$AW30)</f>
        <v>0</v>
      </c>
      <c r="AY30" s="304" t="str">
        <f t="shared" si="9"/>
        <v/>
      </c>
      <c r="AZ30" s="250" t="s">
        <v>2637</v>
      </c>
      <c r="BA30" s="250">
        <f>SUMIFS(Gefahrstoffverzeichnis!$AU:$AU,Gefahrstoffverzeichnis!$BY:$BY,"kg",Gefahrstoffverzeichnis!$AP:$AP,Lager!$B30,Gefahrstoffverzeichnis!$CB:$CB,$AZ30)</f>
        <v>0</v>
      </c>
      <c r="BB30" s="304" t="str">
        <f t="shared" si="10"/>
        <v/>
      </c>
      <c r="BC30" s="250" t="s">
        <v>2638</v>
      </c>
      <c r="BD30" s="250">
        <f>SUMIFS(Gefahrstoffverzeichnis!$AU:$AU,Gefahrstoffverzeichnis!$BY:$BY,"kg",Gefahrstoffverzeichnis!$AP:$AP,Lager!$B30,Gefahrstoffverzeichnis!$CB:$CB,$BC30)</f>
        <v>0</v>
      </c>
      <c r="BE30" s="304" t="str">
        <f t="shared" si="11"/>
        <v/>
      </c>
      <c r="BF30" s="250" t="s">
        <v>2639</v>
      </c>
      <c r="BG30" s="250">
        <f>SUMIFS(Gefahrstoffverzeichnis!$AU:$AU,Gefahrstoffverzeichnis!$BY:$BY,"Liter",Gefahrstoffverzeichnis!$AP:$AP,Lager!$B30,Gefahrstoffverzeichnis!$CB:$CB,$BF30)</f>
        <v>0</v>
      </c>
      <c r="BH30" s="250" t="s">
        <v>2640</v>
      </c>
      <c r="BI30" s="250">
        <f>SUMIFS(Gefahrstoffverzeichnis!$AU:$AU,Gefahrstoffverzeichnis!$BY:$BY,"Liter",Gefahrstoffverzeichnis!$AP:$AP,Lager!$B30,Gefahrstoffverzeichnis!$CB:$CB,$BH30,Gefahrstoffverzeichnis!$CB:$CB,"&lt;&gt;"&amp;$BF30)</f>
        <v>0</v>
      </c>
      <c r="BJ30" s="250" t="s">
        <v>2641</v>
      </c>
      <c r="BK30" s="250">
        <f>SUMIFS(Gefahrstoffverzeichnis!$AU:$AU,Gefahrstoffverzeichnis!$BY:$BY,"Liter",Gefahrstoffverzeichnis!$AP:$AP,Lager!$B30,Gefahrstoffverzeichnis!$CB:$CB,$BJ30,Gefahrstoffverzeichnis!$CB:$CB,"&lt;&gt;"&amp;$BH30,Gefahrstoffverzeichnis!$CB:$CB,"&lt;&gt;"&amp;$BF30)</f>
        <v>0</v>
      </c>
      <c r="BL30" s="250" t="s">
        <v>2642</v>
      </c>
      <c r="BM30" s="250">
        <f>SUMIFS(Gefahrstoffverzeichnis!$AU:$AU,Gefahrstoffverzeichnis!$BY:$BY,"Liter",Gefahrstoffverzeichnis!$AP:$AP,Lager!$B30,Gefahrstoffverzeichnis!$CB:$CB,$BL30,Gefahrstoffverzeichnis!$CB:$CB,"&lt;&gt;"&amp;$BJ30,Gefahrstoffverzeichnis!$CB:$CB,"&lt;&gt;"&amp;$BH30,Gefahrstoffverzeichnis!$CB:$CB,"&lt;&gt;"&amp;$BF30)</f>
        <v>0</v>
      </c>
      <c r="BN30" s="250" t="s">
        <v>2643</v>
      </c>
      <c r="BO30" s="250">
        <f>SUMIFS(Gefahrstoffverzeichnis!$AU:$AU,Gefahrstoffverzeichnis!$BY:$BY,"Liter",Gefahrstoffverzeichnis!$AP:$AP,Lager!$B30,Gefahrstoffverzeichnis!$CB:$CB,$BN30,Gefahrstoffverzeichnis!$CB:$CB,"&lt;&gt;"&amp;$BL30,Gefahrstoffverzeichnis!$CB:$CB,"&lt;&gt;"&amp;$BJ30,Gefahrstoffverzeichnis!$CB:$CB,"&lt;&gt;"&amp;$BH30,Gefahrstoffverzeichnis!$CB:$CB,"&lt;&gt;"&amp;$BF30)</f>
        <v>0</v>
      </c>
      <c r="BP30" s="304" t="str">
        <f t="shared" si="12"/>
        <v/>
      </c>
      <c r="BQ30" s="250" t="s">
        <v>2639</v>
      </c>
      <c r="BR30" s="250">
        <f>SUMIFS(Gefahrstoffverzeichnis!$AU:$AU,Gefahrstoffverzeichnis!$BY:$BY,"kg",Gefahrstoffverzeichnis!$AP:$AP,Lager!$B30,Gefahrstoffverzeichnis!$CB:$CB,$BQ30)</f>
        <v>0</v>
      </c>
      <c r="BS30" s="250" t="s">
        <v>2640</v>
      </c>
      <c r="BT30" s="250">
        <f>SUMIFS(Gefahrstoffverzeichnis!$AU:$AU,Gefahrstoffverzeichnis!$BY:$BY,"kg",Gefahrstoffverzeichnis!$AP:$AP,Lager!$B30,Gefahrstoffverzeichnis!$CB:$CB,$BS30,Gefahrstoffverzeichnis!$CB:$CB,"&lt;&gt;"&amp;$BQ30)</f>
        <v>0</v>
      </c>
      <c r="BU30" s="250" t="s">
        <v>2644</v>
      </c>
      <c r="BV30" s="250">
        <f>SUMIFS(Gefahrstoffverzeichnis!$AU:$AU,Gefahrstoffverzeichnis!$BY:$BY,"kg",Gefahrstoffverzeichnis!$AP:$AP,Lager!$B30,Gefahrstoffverzeichnis!$CB:$CB,$BU30,Gefahrstoffverzeichnis!$CB:$CB,"&lt;&gt;"&amp;$BS30,Gefahrstoffverzeichnis!$CB:$CB,"&lt;&gt;"&amp;$BQ30)</f>
        <v>0</v>
      </c>
      <c r="BW30" s="250" t="s">
        <v>2645</v>
      </c>
      <c r="BX30" s="250">
        <f>SUMIFS(Gefahrstoffverzeichnis!$AU:$AU,Gefahrstoffverzeichnis!$BY:$BY,"kg",Gefahrstoffverzeichnis!$AP:$AP,Lager!$B30,Gefahrstoffverzeichnis!$CB:$CB,$BW30,Gefahrstoffverzeichnis!$CB:$CB,"&lt;&gt;"&amp;$BU30,Gefahrstoffverzeichnis!$CB:$CB,"&lt;&gt;"&amp;$BS30,Gefahrstoffverzeichnis!$CB:$CB,"&lt;&gt;"&amp;$BQ30)</f>
        <v>0</v>
      </c>
      <c r="BY30" s="304" t="str">
        <f t="shared" si="13"/>
        <v/>
      </c>
      <c r="BZ30" s="249" t="s">
        <v>2646</v>
      </c>
      <c r="CA30" s="250">
        <f>SUMIFS(Gefahrstoffverzeichnis!$AU:$AU,Gefahrstoffverzeichnis!$BY:$BY,"kg",Gefahrstoffverzeichnis!$AP:$AP,Lager!$B30,Gefahrstoffverzeichnis!$CB:$CB,$BZ30)</f>
        <v>0</v>
      </c>
      <c r="CB30" s="249" t="s">
        <v>2647</v>
      </c>
      <c r="CC30" s="250">
        <f>SUMIFS(Gefahrstoffverzeichnis!$AU:$AU,Gefahrstoffverzeichnis!$BY:$BY,"kg",Gefahrstoffverzeichnis!$AP:$AP,Lager!$B30,Gefahrstoffverzeichnis!$CB:$CB,$CB30,Gefahrstoffverzeichnis!$CB:$CB,"&lt;&gt;"&amp;$BZ30)</f>
        <v>0</v>
      </c>
    </row>
    <row r="31" spans="2:81" ht="18.75" customHeight="1" x14ac:dyDescent="0.3">
      <c r="B31" s="306" t="str">
        <v>*nicht definiert28*</v>
      </c>
      <c r="D31" s="307">
        <f>SUMIFS(Gefahrstoffverzeichnis!$AU:$AU,Gefahrstoffverzeichnis!$BY:$BY,"kg",Gefahrstoffverzeichnis!$AP:$AP,Lager!$B31)</f>
        <v>0</v>
      </c>
      <c r="F31" s="248" t="str">
        <f t="shared" si="0"/>
        <v/>
      </c>
      <c r="G31" s="249" t="s">
        <v>2619</v>
      </c>
      <c r="H31" s="250">
        <f>SUMIFS(Gefahrstoffverzeichnis!$AU:$AU,Gefahrstoffverzeichnis!$BY:$BY,"kg",Gefahrstoffverzeichnis!$AP:$AP,Lager!$B31,Gefahrstoffverzeichnis!$CC:$CC,$G31)</f>
        <v>0</v>
      </c>
      <c r="I31" s="249" t="s">
        <v>2620</v>
      </c>
      <c r="J31" s="250">
        <f>SUMIFS(Gefahrstoffverzeichnis!$AU:$AU,Gefahrstoffverzeichnis!$BY:$BY,"kg",Gefahrstoffverzeichnis!$AP:$AP,Lager!$B31,Gefahrstoffverzeichnis!$CC:$CC,$I31,Gefahrstoffverzeichnis!$CC:$CC,"&lt;&gt;"&amp;$G31)</f>
        <v>0</v>
      </c>
      <c r="K31" s="249" t="s">
        <v>2621</v>
      </c>
      <c r="L31" s="250">
        <f>SUMIFS(Gefahrstoffverzeichnis!$AU:$AU,Gefahrstoffverzeichnis!$BY:$BY,"kg",Gefahrstoffverzeichnis!$AP:$AP,Lager!$B31,Gefahrstoffverzeichnis!$CC:$CC,$K31,Gefahrstoffverzeichnis!$CC:$CC,"&lt;&gt;"&amp;$I31,Gefahrstoffverzeichnis!$CC:$CC,"&lt;&gt;"&amp;$G31)</f>
        <v>0</v>
      </c>
      <c r="M31" s="249" t="s">
        <v>2622</v>
      </c>
      <c r="N31" s="250">
        <f>SUMIFS(Gefahrstoffverzeichnis!$AU:$AU,Gefahrstoffverzeichnis!$BY:$BY,"kg",Gefahrstoffverzeichnis!$AP:$AP,Lager!$B31,Gefahrstoffverzeichnis!$CC:$CC,$M31,Gefahrstoffverzeichnis!$CC:$CC,"&lt;&gt;"&amp;$K31,Gefahrstoffverzeichnis!$CC:$CC,"&lt;&gt;"&amp;$I31,Gefahrstoffverzeichnis!$CC:$CC,"&lt;&gt;"&amp;$G31)</f>
        <v>0</v>
      </c>
      <c r="O31" s="249" t="s">
        <v>2623</v>
      </c>
      <c r="P31" s="250">
        <f>SUMIFS(Gefahrstoffverzeichnis!$AU:$AU,Gefahrstoffverzeichnis!$BY:$BY,"kg",Gefahrstoffverzeichnis!$AP:$AP,Lager!$B31,Gefahrstoffverzeichnis!$CC:$CC,$O31,Gefahrstoffverzeichnis!$CC:$CC,"&lt;&gt;"&amp;$M31,Gefahrstoffverzeichnis!$CC:$CC,"&lt;&gt;"&amp;$K31,Gefahrstoffverzeichnis!$CC:$CC,"&lt;&gt;"&amp;$I31,Gefahrstoffverzeichnis!$CC:$CC,"&lt;&gt;"&amp;$G31)</f>
        <v>0</v>
      </c>
      <c r="Q31" s="249" t="s">
        <v>2624</v>
      </c>
      <c r="R31" s="250">
        <f>SUMIFS(Gefahrstoffverzeichnis!$AU:$AU,Gefahrstoffverzeichnis!$BY:$BY,"kg",Gefahrstoffverzeichnis!$AP:$AP,Lager!$B31,Gefahrstoffverzeichnis!$CC:$CC,$Q$5,Gefahrstoffverzeichnis!$CC:$CC,"&lt;&gt;"&amp;$O31,Gefahrstoffverzeichnis!$CC:$CC,"&lt;&gt;"&amp;$M31,Gefahrstoffverzeichnis!$CC:$CC,"&lt;&gt;"&amp;$K31,Gefahrstoffverzeichnis!$CC:$CC,"&lt;&gt;"&amp;$I31,Gefahrstoffverzeichnis!$CC:$CC,"&lt;&gt;"&amp;$G31)</f>
        <v>0</v>
      </c>
      <c r="S31" s="248" t="str">
        <f t="shared" si="1"/>
        <v/>
      </c>
      <c r="T31" s="249" t="s">
        <v>2625</v>
      </c>
      <c r="U31" s="250">
        <f>SUMIFS(Gefahrstoffverzeichnis!$AU:$AU,Gefahrstoffverzeichnis!$BY:$BY,"kg",Gefahrstoffverzeichnis!$AP:$AP,Lager!$B31,Gefahrstoffverzeichnis!$CC:$CC,$T31)</f>
        <v>0</v>
      </c>
      <c r="V31" s="249" t="s">
        <v>2626</v>
      </c>
      <c r="W31" s="250">
        <f>SUMIFS(Gefahrstoffverzeichnis!$AU:$AU,Gefahrstoffverzeichnis!$BY:$BY,"kg",Gefahrstoffverzeichnis!$AP:$AP,Lager!$B31,Gefahrstoffverzeichnis!$CC:$CC,$V31,Gefahrstoffverzeichnis!$CC:$CC,"&lt;&gt;"&amp;$T31)</f>
        <v>0</v>
      </c>
      <c r="X31" s="248" t="str">
        <f t="shared" si="2"/>
        <v/>
      </c>
      <c r="Y31" s="249" t="s">
        <v>2627</v>
      </c>
      <c r="Z31" s="250">
        <f>SUMIFS(Gefahrstoffverzeichnis!$AU:$AU,Gefahrstoffverzeichnis!$BY:$BY,"kg",Gefahrstoffverzeichnis!$AP:$AP,Lager!$B31,Gefahrstoffverzeichnis!$CC:$CC,$Y31)</f>
        <v>0</v>
      </c>
      <c r="AA31" s="249" t="s">
        <v>2628</v>
      </c>
      <c r="AB31" s="250">
        <f>SUMIFS(Gefahrstoffverzeichnis!$AU:$AU,Gefahrstoffverzeichnis!$BY:$BY,"kg",Gefahrstoffverzeichnis!$AP:$AP,Lager!$B31,Gefahrstoffverzeichnis!$CC:$CC,$AA31,Gefahrstoffverzeichnis!$CC:$CC,"&lt;&gt;"&amp;$Y31)</f>
        <v>0</v>
      </c>
      <c r="AC31" s="248" t="str">
        <f t="shared" si="3"/>
        <v/>
      </c>
      <c r="AD31" s="249" t="s">
        <v>2629</v>
      </c>
      <c r="AE31" s="250">
        <f>SUMIFS(Gefahrstoffverzeichnis!$AU:$AU,Gefahrstoffverzeichnis!$BY:$BY,"kg",Gefahrstoffverzeichnis!$AP:$AP,Lager!$B31,Gefahrstoffverzeichnis!$CB:$CB,$AD31)</f>
        <v>0</v>
      </c>
      <c r="AF31" s="249" t="s">
        <v>2630</v>
      </c>
      <c r="AG31" s="250">
        <f>SUMIFS(Gefahrstoffverzeichnis!$AU:$AU,Gefahrstoffverzeichnis!$BY:$BY,"kg",Gefahrstoffverzeichnis!$AP:$AP,Lager!$B31,Gefahrstoffverzeichnis!$CB:$CB,$AF31,Gefahrstoffverzeichnis!$CB:$CB,"&lt;&gt;"&amp;$AD31)</f>
        <v>0</v>
      </c>
      <c r="AH31" s="248" t="str">
        <f t="shared" si="4"/>
        <v/>
      </c>
      <c r="AI31" s="249" t="s">
        <v>2631</v>
      </c>
      <c r="AJ31" s="250">
        <f>SUMIFS(Gefahrstoffverzeichnis!$AU:$AU,Gefahrstoffverzeichnis!$BY:$BY,"kg",Gefahrstoffverzeichnis!$AP:$AP,Lager!$B31,Gefahrstoffverzeichnis!$CB:$CB,$AI31)</f>
        <v>0</v>
      </c>
      <c r="AK31" s="248" t="str">
        <f t="shared" si="5"/>
        <v/>
      </c>
      <c r="AL31" s="249" t="s">
        <v>2632</v>
      </c>
      <c r="AM31" s="250">
        <f>SUMIFS(Gefahrstoffverzeichnis!$AU:$AU,Gefahrstoffverzeichnis!$BY:$BY,"kg",Gefahrstoffverzeichnis!$AP:$AP,Lager!$B31,Gefahrstoffverzeichnis!$CB:$CB,$AL31)</f>
        <v>0</v>
      </c>
      <c r="AN31" s="248" t="str">
        <f t="shared" si="6"/>
        <v/>
      </c>
      <c r="AO31" s="249" t="s">
        <v>2633</v>
      </c>
      <c r="AP31" s="250">
        <f>SUMIFS(Gefahrstoffverzeichnis!$AU:$AU,Gefahrstoffverzeichnis!$BY:$BY,"kg",Gefahrstoffverzeichnis!$AP:$AP,Lager!$B31,Gefahrstoffverzeichnis!$CB:$CB,$AO31)</f>
        <v>0</v>
      </c>
      <c r="AQ31" s="248" t="str">
        <f t="shared" si="7"/>
        <v/>
      </c>
      <c r="AR31" s="249" t="s">
        <v>2634</v>
      </c>
      <c r="AS31" s="250">
        <f>SUMIFS(Gefahrstoffverzeichnis!$AU:$AU,Gefahrstoffverzeichnis!$BY:$BY,"kg",Gefahrstoffverzeichnis!$AP:$AP,Lager!$B31,Gefahrstoffverzeichnis!$CB:$CB,$AR31)</f>
        <v>0</v>
      </c>
      <c r="AT31" s="249" t="s">
        <v>2635</v>
      </c>
      <c r="AU31" s="250">
        <f>SUMIFS(Gefahrstoffverzeichnis!$AU:$AU,Gefahrstoffverzeichnis!$BY:$BY,"kg",Gefahrstoffverzeichnis!$AP:$AP,Lager!$B31,Gefahrstoffverzeichnis!$CB:$CB,$AT31,Gefahrstoffverzeichnis!$CB:$CB,"&lt;&gt;"&amp;$AR31)</f>
        <v>0</v>
      </c>
      <c r="AV31" s="248" t="str">
        <f t="shared" si="8"/>
        <v/>
      </c>
      <c r="AW31" s="249" t="s">
        <v>2636</v>
      </c>
      <c r="AX31" s="250">
        <f>SUMIFS(Gefahrstoffverzeichnis!$AU:$AU,Gefahrstoffverzeichnis!$BY:$BY,"kg",Gefahrstoffverzeichnis!$AP:$AP,Lager!$B31,Gefahrstoffverzeichnis!$CB:$CB,$AW31)</f>
        <v>0</v>
      </c>
      <c r="AY31" s="248" t="str">
        <f t="shared" si="9"/>
        <v/>
      </c>
      <c r="AZ31" s="249" t="s">
        <v>2637</v>
      </c>
      <c r="BA31" s="250">
        <f>SUMIFS(Gefahrstoffverzeichnis!$AU:$AU,Gefahrstoffverzeichnis!$BY:$BY,"kg",Gefahrstoffverzeichnis!$AP:$AP,Lager!$B31,Gefahrstoffverzeichnis!$CB:$CB,$AZ31)</f>
        <v>0</v>
      </c>
      <c r="BB31" s="248" t="str">
        <f t="shared" si="10"/>
        <v/>
      </c>
      <c r="BC31" s="249" t="s">
        <v>2638</v>
      </c>
      <c r="BD31" s="250">
        <f>SUMIFS(Gefahrstoffverzeichnis!$AU:$AU,Gefahrstoffverzeichnis!$BY:$BY,"kg",Gefahrstoffverzeichnis!$AP:$AP,Lager!$B31,Gefahrstoffverzeichnis!$CB:$CB,$BC31)</f>
        <v>0</v>
      </c>
      <c r="BE31" s="248" t="str">
        <f t="shared" si="11"/>
        <v/>
      </c>
      <c r="BF31" s="249" t="s">
        <v>2639</v>
      </c>
      <c r="BG31" s="250">
        <f>SUMIFS(Gefahrstoffverzeichnis!$AU:$AU,Gefahrstoffverzeichnis!$BY:$BY,"Liter",Gefahrstoffverzeichnis!$AP:$AP,Lager!$B31,Gefahrstoffverzeichnis!$CB:$CB,$BF31)</f>
        <v>0</v>
      </c>
      <c r="BH31" s="249" t="s">
        <v>2640</v>
      </c>
      <c r="BI31" s="250">
        <f>SUMIFS(Gefahrstoffverzeichnis!$AU:$AU,Gefahrstoffverzeichnis!$BY:$BY,"Liter",Gefahrstoffverzeichnis!$AP:$AP,Lager!$B31,Gefahrstoffverzeichnis!$CB:$CB,$BH31,Gefahrstoffverzeichnis!$CB:$CB,"&lt;&gt;"&amp;$BF31)</f>
        <v>0</v>
      </c>
      <c r="BJ31" s="249" t="s">
        <v>2641</v>
      </c>
      <c r="BK31" s="250">
        <f>SUMIFS(Gefahrstoffverzeichnis!$AU:$AU,Gefahrstoffverzeichnis!$BY:$BY,"Liter",Gefahrstoffverzeichnis!$AP:$AP,Lager!$B31,Gefahrstoffverzeichnis!$CB:$CB,$BJ31,Gefahrstoffverzeichnis!$CB:$CB,"&lt;&gt;"&amp;$BH31,Gefahrstoffverzeichnis!$CB:$CB,"&lt;&gt;"&amp;$BF31)</f>
        <v>0</v>
      </c>
      <c r="BL31" s="249" t="s">
        <v>2642</v>
      </c>
      <c r="BM31" s="250">
        <f>SUMIFS(Gefahrstoffverzeichnis!$AU:$AU,Gefahrstoffverzeichnis!$BY:$BY,"Liter",Gefahrstoffverzeichnis!$AP:$AP,Lager!$B31,Gefahrstoffverzeichnis!$CB:$CB,$BL31,Gefahrstoffverzeichnis!$CB:$CB,"&lt;&gt;"&amp;$BJ31,Gefahrstoffverzeichnis!$CB:$CB,"&lt;&gt;"&amp;$BH31,Gefahrstoffverzeichnis!$CB:$CB,"&lt;&gt;"&amp;$BF31)</f>
        <v>0</v>
      </c>
      <c r="BN31" s="249" t="s">
        <v>2643</v>
      </c>
      <c r="BO31" s="250">
        <f>SUMIFS(Gefahrstoffverzeichnis!$AU:$AU,Gefahrstoffverzeichnis!$BY:$BY,"Liter",Gefahrstoffverzeichnis!$AP:$AP,Lager!$B31,Gefahrstoffverzeichnis!$CB:$CB,$BN31,Gefahrstoffverzeichnis!$CB:$CB,"&lt;&gt;"&amp;$BL31,Gefahrstoffverzeichnis!$CB:$CB,"&lt;&gt;"&amp;$BJ31,Gefahrstoffverzeichnis!$CB:$CB,"&lt;&gt;"&amp;$BH31,Gefahrstoffverzeichnis!$CB:$CB,"&lt;&gt;"&amp;$BF31)</f>
        <v>0</v>
      </c>
      <c r="BP31" s="248" t="str">
        <f t="shared" si="12"/>
        <v/>
      </c>
      <c r="BQ31" s="249" t="s">
        <v>2639</v>
      </c>
      <c r="BR31" s="250">
        <f>SUMIFS(Gefahrstoffverzeichnis!$AU:$AU,Gefahrstoffverzeichnis!$BY:$BY,"kg",Gefahrstoffverzeichnis!$AP:$AP,Lager!$B31,Gefahrstoffverzeichnis!$CB:$CB,$BQ31)</f>
        <v>0</v>
      </c>
      <c r="BS31" s="249" t="s">
        <v>2640</v>
      </c>
      <c r="BT31" s="250">
        <f>SUMIFS(Gefahrstoffverzeichnis!$AU:$AU,Gefahrstoffverzeichnis!$BY:$BY,"kg",Gefahrstoffverzeichnis!$AP:$AP,Lager!$B31,Gefahrstoffverzeichnis!$CB:$CB,$BS31,Gefahrstoffverzeichnis!$CB:$CB,"&lt;&gt;"&amp;$BQ31)</f>
        <v>0</v>
      </c>
      <c r="BU31" s="249" t="s">
        <v>2644</v>
      </c>
      <c r="BV31" s="250">
        <f>SUMIFS(Gefahrstoffverzeichnis!$AU:$AU,Gefahrstoffverzeichnis!$BY:$BY,"kg",Gefahrstoffverzeichnis!$AP:$AP,Lager!$B31,Gefahrstoffverzeichnis!$CB:$CB,$BU31,Gefahrstoffverzeichnis!$CB:$CB,"&lt;&gt;"&amp;$BS31,Gefahrstoffverzeichnis!$CB:$CB,"&lt;&gt;"&amp;$BQ31)</f>
        <v>0</v>
      </c>
      <c r="BW31" s="249" t="s">
        <v>2645</v>
      </c>
      <c r="BX31" s="250">
        <f>SUMIFS(Gefahrstoffverzeichnis!$AU:$AU,Gefahrstoffverzeichnis!$BY:$BY,"kg",Gefahrstoffverzeichnis!$AP:$AP,Lager!$B31,Gefahrstoffverzeichnis!$CB:$CB,$BW31,Gefahrstoffverzeichnis!$CB:$CB,"&lt;&gt;"&amp;$BU31,Gefahrstoffverzeichnis!$CB:$CB,"&lt;&gt;"&amp;$BS31,Gefahrstoffverzeichnis!$CB:$CB,"&lt;&gt;"&amp;$BQ31)</f>
        <v>0</v>
      </c>
      <c r="BY31" s="248" t="str">
        <f t="shared" si="13"/>
        <v/>
      </c>
      <c r="BZ31" s="249" t="s">
        <v>2646</v>
      </c>
      <c r="CA31" s="250">
        <f>SUMIFS(Gefahrstoffverzeichnis!$AU:$AU,Gefahrstoffverzeichnis!$BY:$BY,"kg",Gefahrstoffverzeichnis!$AP:$AP,Lager!$B31,Gefahrstoffverzeichnis!$CB:$CB,$BZ31)</f>
        <v>0</v>
      </c>
      <c r="CB31" s="249" t="s">
        <v>2647</v>
      </c>
      <c r="CC31" s="250">
        <f>SUMIFS(Gefahrstoffverzeichnis!$AU:$AU,Gefahrstoffverzeichnis!$BY:$BY,"kg",Gefahrstoffverzeichnis!$AP:$AP,Lager!$B31,Gefahrstoffverzeichnis!$CB:$CB,$CB31,Gefahrstoffverzeichnis!$CB:$CB,"&lt;&gt;"&amp;$BZ31)</f>
        <v>0</v>
      </c>
    </row>
    <row r="32" spans="2:81" ht="18.75" customHeight="1" x14ac:dyDescent="0.3">
      <c r="B32" s="306" t="str">
        <v>*nicht definiert29*</v>
      </c>
      <c r="C32" s="303"/>
      <c r="D32" s="308">
        <f>SUMIFS(Gefahrstoffverzeichnis!$AU:$AU,Gefahrstoffverzeichnis!$BY:$BY,"kg",Gefahrstoffverzeichnis!$AP:$AP,Lager!$B32)</f>
        <v>0</v>
      </c>
      <c r="E32" s="303"/>
      <c r="F32" s="304" t="str">
        <f t="shared" si="0"/>
        <v/>
      </c>
      <c r="G32" s="250" t="s">
        <v>2619</v>
      </c>
      <c r="H32" s="250">
        <f>SUMIFS(Gefahrstoffverzeichnis!$AU:$AU,Gefahrstoffverzeichnis!$BY:$BY,"kg",Gefahrstoffverzeichnis!$AP:$AP,Lager!$B32,Gefahrstoffverzeichnis!$CC:$CC,$G32)</f>
        <v>0</v>
      </c>
      <c r="I32" s="250" t="s">
        <v>2620</v>
      </c>
      <c r="J32" s="250">
        <f>SUMIFS(Gefahrstoffverzeichnis!$AU:$AU,Gefahrstoffverzeichnis!$BY:$BY,"kg",Gefahrstoffverzeichnis!$AP:$AP,Lager!$B32,Gefahrstoffverzeichnis!$CC:$CC,$I32,Gefahrstoffverzeichnis!$CC:$CC,"&lt;&gt;"&amp;$G32)</f>
        <v>0</v>
      </c>
      <c r="K32" s="250" t="s">
        <v>2621</v>
      </c>
      <c r="L32" s="250">
        <f>SUMIFS(Gefahrstoffverzeichnis!$AU:$AU,Gefahrstoffverzeichnis!$BY:$BY,"kg",Gefahrstoffverzeichnis!$AP:$AP,Lager!$B32,Gefahrstoffverzeichnis!$CC:$CC,$K32,Gefahrstoffverzeichnis!$CC:$CC,"&lt;&gt;"&amp;$I32,Gefahrstoffverzeichnis!$CC:$CC,"&lt;&gt;"&amp;$G32)</f>
        <v>0</v>
      </c>
      <c r="M32" s="250" t="s">
        <v>2622</v>
      </c>
      <c r="N32" s="250">
        <f>SUMIFS(Gefahrstoffverzeichnis!$AU:$AU,Gefahrstoffverzeichnis!$BY:$BY,"kg",Gefahrstoffverzeichnis!$AP:$AP,Lager!$B32,Gefahrstoffverzeichnis!$CC:$CC,$M32,Gefahrstoffverzeichnis!$CC:$CC,"&lt;&gt;"&amp;$K32,Gefahrstoffverzeichnis!$CC:$CC,"&lt;&gt;"&amp;$I32,Gefahrstoffverzeichnis!$CC:$CC,"&lt;&gt;"&amp;$G32)</f>
        <v>0</v>
      </c>
      <c r="O32" s="250" t="s">
        <v>2623</v>
      </c>
      <c r="P32" s="250">
        <f>SUMIFS(Gefahrstoffverzeichnis!$AU:$AU,Gefahrstoffverzeichnis!$BY:$BY,"kg",Gefahrstoffverzeichnis!$AP:$AP,Lager!$B32,Gefahrstoffverzeichnis!$CC:$CC,$O32,Gefahrstoffverzeichnis!$CC:$CC,"&lt;&gt;"&amp;$M32,Gefahrstoffverzeichnis!$CC:$CC,"&lt;&gt;"&amp;$K32,Gefahrstoffverzeichnis!$CC:$CC,"&lt;&gt;"&amp;$I32,Gefahrstoffverzeichnis!$CC:$CC,"&lt;&gt;"&amp;$G32)</f>
        <v>0</v>
      </c>
      <c r="Q32" s="250" t="s">
        <v>2624</v>
      </c>
      <c r="R32" s="250">
        <f>SUMIFS(Gefahrstoffverzeichnis!$AU:$AU,Gefahrstoffverzeichnis!$BY:$BY,"kg",Gefahrstoffverzeichnis!$AP:$AP,Lager!$B32,Gefahrstoffverzeichnis!$CC:$CC,$Q$5,Gefahrstoffverzeichnis!$CC:$CC,"&lt;&gt;"&amp;$O32,Gefahrstoffverzeichnis!$CC:$CC,"&lt;&gt;"&amp;$M32,Gefahrstoffverzeichnis!$CC:$CC,"&lt;&gt;"&amp;$K32,Gefahrstoffverzeichnis!$CC:$CC,"&lt;&gt;"&amp;$I32,Gefahrstoffverzeichnis!$CC:$CC,"&lt;&gt;"&amp;$G32)</f>
        <v>0</v>
      </c>
      <c r="S32" s="304" t="str">
        <f t="shared" si="1"/>
        <v/>
      </c>
      <c r="T32" s="250" t="s">
        <v>2625</v>
      </c>
      <c r="U32" s="250">
        <f>SUMIFS(Gefahrstoffverzeichnis!$AU:$AU,Gefahrstoffverzeichnis!$BY:$BY,"kg",Gefahrstoffverzeichnis!$AP:$AP,Lager!$B32,Gefahrstoffverzeichnis!$CC:$CC,$T32)</f>
        <v>0</v>
      </c>
      <c r="V32" s="250" t="s">
        <v>2626</v>
      </c>
      <c r="W32" s="250">
        <f>SUMIFS(Gefahrstoffverzeichnis!$AU:$AU,Gefahrstoffverzeichnis!$BY:$BY,"kg",Gefahrstoffverzeichnis!$AP:$AP,Lager!$B32,Gefahrstoffverzeichnis!$CC:$CC,$V32,Gefahrstoffverzeichnis!$CC:$CC,"&lt;&gt;"&amp;$T32)</f>
        <v>0</v>
      </c>
      <c r="X32" s="304" t="str">
        <f t="shared" si="2"/>
        <v/>
      </c>
      <c r="Y32" s="250" t="s">
        <v>2627</v>
      </c>
      <c r="Z32" s="250">
        <f>SUMIFS(Gefahrstoffverzeichnis!$AU:$AU,Gefahrstoffverzeichnis!$BY:$BY,"kg",Gefahrstoffverzeichnis!$AP:$AP,Lager!$B32,Gefahrstoffverzeichnis!$CC:$CC,$Y32)</f>
        <v>0</v>
      </c>
      <c r="AA32" s="250" t="s">
        <v>2628</v>
      </c>
      <c r="AB32" s="250">
        <f>SUMIFS(Gefahrstoffverzeichnis!$AU:$AU,Gefahrstoffverzeichnis!$BY:$BY,"kg",Gefahrstoffverzeichnis!$AP:$AP,Lager!$B32,Gefahrstoffverzeichnis!$CC:$CC,$AA32,Gefahrstoffverzeichnis!$CC:$CC,"&lt;&gt;"&amp;$Y32)</f>
        <v>0</v>
      </c>
      <c r="AC32" s="304" t="str">
        <f t="shared" si="3"/>
        <v/>
      </c>
      <c r="AD32" s="250" t="s">
        <v>2629</v>
      </c>
      <c r="AE32" s="250">
        <f>SUMIFS(Gefahrstoffverzeichnis!$AU:$AU,Gefahrstoffverzeichnis!$BY:$BY,"kg",Gefahrstoffverzeichnis!$AP:$AP,Lager!$B32,Gefahrstoffverzeichnis!$CB:$CB,$AD32)</f>
        <v>0</v>
      </c>
      <c r="AF32" s="250" t="s">
        <v>2630</v>
      </c>
      <c r="AG32" s="250">
        <f>SUMIFS(Gefahrstoffverzeichnis!$AU:$AU,Gefahrstoffverzeichnis!$BY:$BY,"kg",Gefahrstoffverzeichnis!$AP:$AP,Lager!$B32,Gefahrstoffverzeichnis!$CB:$CB,$AF32,Gefahrstoffverzeichnis!$CB:$CB,"&lt;&gt;"&amp;$AD32)</f>
        <v>0</v>
      </c>
      <c r="AH32" s="304" t="str">
        <f t="shared" si="4"/>
        <v/>
      </c>
      <c r="AI32" s="250" t="s">
        <v>2631</v>
      </c>
      <c r="AJ32" s="250">
        <f>SUMIFS(Gefahrstoffverzeichnis!$AU:$AU,Gefahrstoffverzeichnis!$BY:$BY,"kg",Gefahrstoffverzeichnis!$AP:$AP,Lager!$B32,Gefahrstoffverzeichnis!$CB:$CB,$AI32)</f>
        <v>0</v>
      </c>
      <c r="AK32" s="304" t="str">
        <f t="shared" si="5"/>
        <v/>
      </c>
      <c r="AL32" s="250" t="s">
        <v>2632</v>
      </c>
      <c r="AM32" s="250">
        <f>SUMIFS(Gefahrstoffverzeichnis!$AU:$AU,Gefahrstoffverzeichnis!$BY:$BY,"kg",Gefahrstoffverzeichnis!$AP:$AP,Lager!$B32,Gefahrstoffverzeichnis!$CB:$CB,$AL32)</f>
        <v>0</v>
      </c>
      <c r="AN32" s="304" t="str">
        <f t="shared" si="6"/>
        <v/>
      </c>
      <c r="AO32" s="250" t="s">
        <v>2633</v>
      </c>
      <c r="AP32" s="250">
        <f>SUMIFS(Gefahrstoffverzeichnis!$AU:$AU,Gefahrstoffverzeichnis!$BY:$BY,"kg",Gefahrstoffverzeichnis!$AP:$AP,Lager!$B32,Gefahrstoffverzeichnis!$CB:$CB,$AO32)</f>
        <v>0</v>
      </c>
      <c r="AQ32" s="304" t="str">
        <f t="shared" si="7"/>
        <v/>
      </c>
      <c r="AR32" s="250" t="s">
        <v>2634</v>
      </c>
      <c r="AS32" s="250">
        <f>SUMIFS(Gefahrstoffverzeichnis!$AU:$AU,Gefahrstoffverzeichnis!$BY:$BY,"kg",Gefahrstoffverzeichnis!$AP:$AP,Lager!$B32,Gefahrstoffverzeichnis!$CB:$CB,$AR32)</f>
        <v>0</v>
      </c>
      <c r="AT32" s="250" t="s">
        <v>2635</v>
      </c>
      <c r="AU32" s="250">
        <f>SUMIFS(Gefahrstoffverzeichnis!$AU:$AU,Gefahrstoffverzeichnis!$BY:$BY,"kg",Gefahrstoffverzeichnis!$AP:$AP,Lager!$B32,Gefahrstoffverzeichnis!$CB:$CB,$AT32,Gefahrstoffverzeichnis!$CB:$CB,"&lt;&gt;"&amp;$AR32)</f>
        <v>0</v>
      </c>
      <c r="AV32" s="304" t="str">
        <f t="shared" si="8"/>
        <v/>
      </c>
      <c r="AW32" s="250" t="s">
        <v>2636</v>
      </c>
      <c r="AX32" s="250">
        <f>SUMIFS(Gefahrstoffverzeichnis!$AU:$AU,Gefahrstoffverzeichnis!$BY:$BY,"kg",Gefahrstoffverzeichnis!$AP:$AP,Lager!$B32,Gefahrstoffverzeichnis!$CB:$CB,$AW32)</f>
        <v>0</v>
      </c>
      <c r="AY32" s="304" t="str">
        <f t="shared" si="9"/>
        <v/>
      </c>
      <c r="AZ32" s="250" t="s">
        <v>2637</v>
      </c>
      <c r="BA32" s="250">
        <f>SUMIFS(Gefahrstoffverzeichnis!$AU:$AU,Gefahrstoffverzeichnis!$BY:$BY,"kg",Gefahrstoffverzeichnis!$AP:$AP,Lager!$B32,Gefahrstoffverzeichnis!$CB:$CB,$AZ32)</f>
        <v>0</v>
      </c>
      <c r="BB32" s="304" t="str">
        <f t="shared" si="10"/>
        <v/>
      </c>
      <c r="BC32" s="250" t="s">
        <v>2638</v>
      </c>
      <c r="BD32" s="250">
        <f>SUMIFS(Gefahrstoffverzeichnis!$AU:$AU,Gefahrstoffverzeichnis!$BY:$BY,"kg",Gefahrstoffverzeichnis!$AP:$AP,Lager!$B32,Gefahrstoffverzeichnis!$CB:$CB,$BC32)</f>
        <v>0</v>
      </c>
      <c r="BE32" s="304" t="str">
        <f t="shared" si="11"/>
        <v/>
      </c>
      <c r="BF32" s="250" t="s">
        <v>2639</v>
      </c>
      <c r="BG32" s="250">
        <f>SUMIFS(Gefahrstoffverzeichnis!$AU:$AU,Gefahrstoffverzeichnis!$BY:$BY,"Liter",Gefahrstoffverzeichnis!$AP:$AP,Lager!$B32,Gefahrstoffverzeichnis!$CB:$CB,$BF32)</f>
        <v>0</v>
      </c>
      <c r="BH32" s="250" t="s">
        <v>2640</v>
      </c>
      <c r="BI32" s="250">
        <f>SUMIFS(Gefahrstoffverzeichnis!$AU:$AU,Gefahrstoffverzeichnis!$BY:$BY,"Liter",Gefahrstoffverzeichnis!$AP:$AP,Lager!$B32,Gefahrstoffverzeichnis!$CB:$CB,$BH32,Gefahrstoffverzeichnis!$CB:$CB,"&lt;&gt;"&amp;$BF32)</f>
        <v>0</v>
      </c>
      <c r="BJ32" s="250" t="s">
        <v>2641</v>
      </c>
      <c r="BK32" s="250">
        <f>SUMIFS(Gefahrstoffverzeichnis!$AU:$AU,Gefahrstoffverzeichnis!$BY:$BY,"Liter",Gefahrstoffverzeichnis!$AP:$AP,Lager!$B32,Gefahrstoffverzeichnis!$CB:$CB,$BJ32,Gefahrstoffverzeichnis!$CB:$CB,"&lt;&gt;"&amp;$BH32,Gefahrstoffverzeichnis!$CB:$CB,"&lt;&gt;"&amp;$BF32)</f>
        <v>0</v>
      </c>
      <c r="BL32" s="250" t="s">
        <v>2642</v>
      </c>
      <c r="BM32" s="250">
        <f>SUMIFS(Gefahrstoffverzeichnis!$AU:$AU,Gefahrstoffverzeichnis!$BY:$BY,"Liter",Gefahrstoffverzeichnis!$AP:$AP,Lager!$B32,Gefahrstoffverzeichnis!$CB:$CB,$BL32,Gefahrstoffverzeichnis!$CB:$CB,"&lt;&gt;"&amp;$BJ32,Gefahrstoffverzeichnis!$CB:$CB,"&lt;&gt;"&amp;$BH32,Gefahrstoffverzeichnis!$CB:$CB,"&lt;&gt;"&amp;$BF32)</f>
        <v>0</v>
      </c>
      <c r="BN32" s="250" t="s">
        <v>2643</v>
      </c>
      <c r="BO32" s="250">
        <f>SUMIFS(Gefahrstoffverzeichnis!$AU:$AU,Gefahrstoffverzeichnis!$BY:$BY,"Liter",Gefahrstoffverzeichnis!$AP:$AP,Lager!$B32,Gefahrstoffverzeichnis!$CB:$CB,$BN32,Gefahrstoffverzeichnis!$CB:$CB,"&lt;&gt;"&amp;$BL32,Gefahrstoffverzeichnis!$CB:$CB,"&lt;&gt;"&amp;$BJ32,Gefahrstoffverzeichnis!$CB:$CB,"&lt;&gt;"&amp;$BH32,Gefahrstoffverzeichnis!$CB:$CB,"&lt;&gt;"&amp;$BF32)</f>
        <v>0</v>
      </c>
      <c r="BP32" s="304" t="str">
        <f t="shared" si="12"/>
        <v/>
      </c>
      <c r="BQ32" s="250" t="s">
        <v>2639</v>
      </c>
      <c r="BR32" s="250">
        <f>SUMIFS(Gefahrstoffverzeichnis!$AU:$AU,Gefahrstoffverzeichnis!$BY:$BY,"kg",Gefahrstoffverzeichnis!$AP:$AP,Lager!$B32,Gefahrstoffverzeichnis!$CB:$CB,$BQ32)</f>
        <v>0</v>
      </c>
      <c r="BS32" s="250" t="s">
        <v>2640</v>
      </c>
      <c r="BT32" s="250">
        <f>SUMIFS(Gefahrstoffverzeichnis!$AU:$AU,Gefahrstoffverzeichnis!$BY:$BY,"kg",Gefahrstoffverzeichnis!$AP:$AP,Lager!$B32,Gefahrstoffverzeichnis!$CB:$CB,$BS32,Gefahrstoffverzeichnis!$CB:$CB,"&lt;&gt;"&amp;$BQ32)</f>
        <v>0</v>
      </c>
      <c r="BU32" s="250" t="s">
        <v>2644</v>
      </c>
      <c r="BV32" s="250">
        <f>SUMIFS(Gefahrstoffverzeichnis!$AU:$AU,Gefahrstoffverzeichnis!$BY:$BY,"kg",Gefahrstoffverzeichnis!$AP:$AP,Lager!$B32,Gefahrstoffverzeichnis!$CB:$CB,$BU32,Gefahrstoffverzeichnis!$CB:$CB,"&lt;&gt;"&amp;$BS32,Gefahrstoffverzeichnis!$CB:$CB,"&lt;&gt;"&amp;$BQ32)</f>
        <v>0</v>
      </c>
      <c r="BW32" s="250" t="s">
        <v>2645</v>
      </c>
      <c r="BX32" s="250">
        <f>SUMIFS(Gefahrstoffverzeichnis!$AU:$AU,Gefahrstoffverzeichnis!$BY:$BY,"kg",Gefahrstoffverzeichnis!$AP:$AP,Lager!$B32,Gefahrstoffverzeichnis!$CB:$CB,$BW32,Gefahrstoffverzeichnis!$CB:$CB,"&lt;&gt;"&amp;$BU32,Gefahrstoffverzeichnis!$CB:$CB,"&lt;&gt;"&amp;$BS32,Gefahrstoffverzeichnis!$CB:$CB,"&lt;&gt;"&amp;$BQ32)</f>
        <v>0</v>
      </c>
      <c r="BY32" s="304" t="str">
        <f t="shared" si="13"/>
        <v/>
      </c>
      <c r="BZ32" s="249" t="s">
        <v>2646</v>
      </c>
      <c r="CA32" s="250">
        <f>SUMIFS(Gefahrstoffverzeichnis!$AU:$AU,Gefahrstoffverzeichnis!$BY:$BY,"kg",Gefahrstoffverzeichnis!$AP:$AP,Lager!$B32,Gefahrstoffverzeichnis!$CB:$CB,$BZ32)</f>
        <v>0</v>
      </c>
      <c r="CB32" s="249" t="s">
        <v>2647</v>
      </c>
      <c r="CC32" s="250">
        <f>SUMIFS(Gefahrstoffverzeichnis!$AU:$AU,Gefahrstoffverzeichnis!$BY:$BY,"kg",Gefahrstoffverzeichnis!$AP:$AP,Lager!$B32,Gefahrstoffverzeichnis!$CB:$CB,$CB32,Gefahrstoffverzeichnis!$CB:$CB,"&lt;&gt;"&amp;$BZ32)</f>
        <v>0</v>
      </c>
    </row>
    <row r="33" spans="2:81" ht="18.75" customHeight="1" x14ac:dyDescent="0.3">
      <c r="B33" s="306" t="str">
        <v>*nicht definiert30*</v>
      </c>
      <c r="D33" s="307">
        <f>SUMIFS(Gefahrstoffverzeichnis!$AU:$AU,Gefahrstoffverzeichnis!$BY:$BY,"kg",Gefahrstoffverzeichnis!$AP:$AP,Lager!$B33)</f>
        <v>0</v>
      </c>
      <c r="F33" s="248" t="str">
        <f t="shared" si="0"/>
        <v/>
      </c>
      <c r="G33" s="249" t="s">
        <v>2619</v>
      </c>
      <c r="H33" s="250">
        <f>SUMIFS(Gefahrstoffverzeichnis!$AU:$AU,Gefahrstoffverzeichnis!$BY:$BY,"kg",Gefahrstoffverzeichnis!$AP:$AP,Lager!$B33,Gefahrstoffverzeichnis!$CC:$CC,$G33)</f>
        <v>0</v>
      </c>
      <c r="I33" s="249" t="s">
        <v>2620</v>
      </c>
      <c r="J33" s="250">
        <f>SUMIFS(Gefahrstoffverzeichnis!$AU:$AU,Gefahrstoffverzeichnis!$BY:$BY,"kg",Gefahrstoffverzeichnis!$AP:$AP,Lager!$B33,Gefahrstoffverzeichnis!$CC:$CC,$I33,Gefahrstoffverzeichnis!$CC:$CC,"&lt;&gt;"&amp;$G33)</f>
        <v>0</v>
      </c>
      <c r="K33" s="249" t="s">
        <v>2621</v>
      </c>
      <c r="L33" s="250">
        <f>SUMIFS(Gefahrstoffverzeichnis!$AU:$AU,Gefahrstoffverzeichnis!$BY:$BY,"kg",Gefahrstoffverzeichnis!$AP:$AP,Lager!$B33,Gefahrstoffverzeichnis!$CC:$CC,$K33,Gefahrstoffverzeichnis!$CC:$CC,"&lt;&gt;"&amp;$I33,Gefahrstoffverzeichnis!$CC:$CC,"&lt;&gt;"&amp;$G33)</f>
        <v>0</v>
      </c>
      <c r="M33" s="249" t="s">
        <v>2622</v>
      </c>
      <c r="N33" s="250">
        <f>SUMIFS(Gefahrstoffverzeichnis!$AU:$AU,Gefahrstoffverzeichnis!$BY:$BY,"kg",Gefahrstoffverzeichnis!$AP:$AP,Lager!$B33,Gefahrstoffverzeichnis!$CC:$CC,$M33,Gefahrstoffverzeichnis!$CC:$CC,"&lt;&gt;"&amp;$K33,Gefahrstoffverzeichnis!$CC:$CC,"&lt;&gt;"&amp;$I33,Gefahrstoffverzeichnis!$CC:$CC,"&lt;&gt;"&amp;$G33)</f>
        <v>0</v>
      </c>
      <c r="O33" s="249" t="s">
        <v>2623</v>
      </c>
      <c r="P33" s="250">
        <f>SUMIFS(Gefahrstoffverzeichnis!$AU:$AU,Gefahrstoffverzeichnis!$BY:$BY,"kg",Gefahrstoffverzeichnis!$AP:$AP,Lager!$B33,Gefahrstoffverzeichnis!$CC:$CC,$O33,Gefahrstoffverzeichnis!$CC:$CC,"&lt;&gt;"&amp;$M33,Gefahrstoffverzeichnis!$CC:$CC,"&lt;&gt;"&amp;$K33,Gefahrstoffverzeichnis!$CC:$CC,"&lt;&gt;"&amp;$I33,Gefahrstoffverzeichnis!$CC:$CC,"&lt;&gt;"&amp;$G33)</f>
        <v>0</v>
      </c>
      <c r="Q33" s="249" t="s">
        <v>2624</v>
      </c>
      <c r="R33" s="250">
        <f>SUMIFS(Gefahrstoffverzeichnis!$AU:$AU,Gefahrstoffverzeichnis!$BY:$BY,"kg",Gefahrstoffverzeichnis!$AP:$AP,Lager!$B33,Gefahrstoffverzeichnis!$CC:$CC,$Q$5,Gefahrstoffverzeichnis!$CC:$CC,"&lt;&gt;"&amp;$O33,Gefahrstoffverzeichnis!$CC:$CC,"&lt;&gt;"&amp;$M33,Gefahrstoffverzeichnis!$CC:$CC,"&lt;&gt;"&amp;$K33,Gefahrstoffverzeichnis!$CC:$CC,"&lt;&gt;"&amp;$I33,Gefahrstoffverzeichnis!$CC:$CC,"&lt;&gt;"&amp;$G33)</f>
        <v>0</v>
      </c>
      <c r="S33" s="248" t="str">
        <f t="shared" si="1"/>
        <v/>
      </c>
      <c r="T33" s="249" t="s">
        <v>2625</v>
      </c>
      <c r="U33" s="250">
        <f>SUMIFS(Gefahrstoffverzeichnis!$AU:$AU,Gefahrstoffverzeichnis!$BY:$BY,"kg",Gefahrstoffverzeichnis!$AP:$AP,Lager!$B33,Gefahrstoffverzeichnis!$CC:$CC,$T33)</f>
        <v>0</v>
      </c>
      <c r="V33" s="249" t="s">
        <v>2626</v>
      </c>
      <c r="W33" s="250">
        <f>SUMIFS(Gefahrstoffverzeichnis!$AU:$AU,Gefahrstoffverzeichnis!$BY:$BY,"kg",Gefahrstoffverzeichnis!$AP:$AP,Lager!$B33,Gefahrstoffverzeichnis!$CC:$CC,$V33,Gefahrstoffverzeichnis!$CC:$CC,"&lt;&gt;"&amp;$T33)</f>
        <v>0</v>
      </c>
      <c r="X33" s="248" t="str">
        <f t="shared" si="2"/>
        <v/>
      </c>
      <c r="Y33" s="249" t="s">
        <v>2627</v>
      </c>
      <c r="Z33" s="250">
        <f>SUMIFS(Gefahrstoffverzeichnis!$AU:$AU,Gefahrstoffverzeichnis!$BY:$BY,"kg",Gefahrstoffverzeichnis!$AP:$AP,Lager!$B33,Gefahrstoffverzeichnis!$CC:$CC,$Y33)</f>
        <v>0</v>
      </c>
      <c r="AA33" s="249" t="s">
        <v>2628</v>
      </c>
      <c r="AB33" s="250">
        <f>SUMIFS(Gefahrstoffverzeichnis!$AU:$AU,Gefahrstoffverzeichnis!$BY:$BY,"kg",Gefahrstoffverzeichnis!$AP:$AP,Lager!$B33,Gefahrstoffverzeichnis!$CC:$CC,$AA33,Gefahrstoffverzeichnis!$CC:$CC,"&lt;&gt;"&amp;$Y33)</f>
        <v>0</v>
      </c>
      <c r="AC33" s="248" t="str">
        <f t="shared" si="3"/>
        <v/>
      </c>
      <c r="AD33" s="249" t="s">
        <v>2629</v>
      </c>
      <c r="AE33" s="250">
        <f>SUMIFS(Gefahrstoffverzeichnis!$AU:$AU,Gefahrstoffverzeichnis!$BY:$BY,"kg",Gefahrstoffverzeichnis!$AP:$AP,Lager!$B33,Gefahrstoffverzeichnis!$CB:$CB,$AD33)</f>
        <v>0</v>
      </c>
      <c r="AF33" s="249" t="s">
        <v>2630</v>
      </c>
      <c r="AG33" s="250">
        <f>SUMIFS(Gefahrstoffverzeichnis!$AU:$AU,Gefahrstoffverzeichnis!$BY:$BY,"kg",Gefahrstoffverzeichnis!$AP:$AP,Lager!$B33,Gefahrstoffverzeichnis!$CB:$CB,$AF33,Gefahrstoffverzeichnis!$CB:$CB,"&lt;&gt;"&amp;$AD33)</f>
        <v>0</v>
      </c>
      <c r="AH33" s="248" t="str">
        <f t="shared" si="4"/>
        <v/>
      </c>
      <c r="AI33" s="249" t="s">
        <v>2631</v>
      </c>
      <c r="AJ33" s="250">
        <f>SUMIFS(Gefahrstoffverzeichnis!$AU:$AU,Gefahrstoffverzeichnis!$BY:$BY,"kg",Gefahrstoffverzeichnis!$AP:$AP,Lager!$B33,Gefahrstoffverzeichnis!$CB:$CB,$AI33)</f>
        <v>0</v>
      </c>
      <c r="AK33" s="248" t="str">
        <f t="shared" si="5"/>
        <v/>
      </c>
      <c r="AL33" s="249" t="s">
        <v>2632</v>
      </c>
      <c r="AM33" s="250">
        <f>SUMIFS(Gefahrstoffverzeichnis!$AU:$AU,Gefahrstoffverzeichnis!$BY:$BY,"kg",Gefahrstoffverzeichnis!$AP:$AP,Lager!$B33,Gefahrstoffverzeichnis!$CB:$CB,$AL33)</f>
        <v>0</v>
      </c>
      <c r="AN33" s="248" t="str">
        <f t="shared" si="6"/>
        <v/>
      </c>
      <c r="AO33" s="249" t="s">
        <v>2633</v>
      </c>
      <c r="AP33" s="250">
        <f>SUMIFS(Gefahrstoffverzeichnis!$AU:$AU,Gefahrstoffverzeichnis!$BY:$BY,"kg",Gefahrstoffverzeichnis!$AP:$AP,Lager!$B33,Gefahrstoffverzeichnis!$CB:$CB,$AO33)</f>
        <v>0</v>
      </c>
      <c r="AQ33" s="248" t="str">
        <f t="shared" si="7"/>
        <v/>
      </c>
      <c r="AR33" s="249" t="s">
        <v>2634</v>
      </c>
      <c r="AS33" s="250">
        <f>SUMIFS(Gefahrstoffverzeichnis!$AU:$AU,Gefahrstoffverzeichnis!$BY:$BY,"kg",Gefahrstoffverzeichnis!$AP:$AP,Lager!$B33,Gefahrstoffverzeichnis!$CB:$CB,$AR33)</f>
        <v>0</v>
      </c>
      <c r="AT33" s="249" t="s">
        <v>2635</v>
      </c>
      <c r="AU33" s="250">
        <f>SUMIFS(Gefahrstoffverzeichnis!$AU:$AU,Gefahrstoffverzeichnis!$BY:$BY,"kg",Gefahrstoffverzeichnis!$AP:$AP,Lager!$B33,Gefahrstoffverzeichnis!$CB:$CB,$AT33,Gefahrstoffverzeichnis!$CB:$CB,"&lt;&gt;"&amp;$AR33)</f>
        <v>0</v>
      </c>
      <c r="AV33" s="248" t="str">
        <f t="shared" si="8"/>
        <v/>
      </c>
      <c r="AW33" s="249" t="s">
        <v>2636</v>
      </c>
      <c r="AX33" s="250">
        <f>SUMIFS(Gefahrstoffverzeichnis!$AU:$AU,Gefahrstoffverzeichnis!$BY:$BY,"kg",Gefahrstoffverzeichnis!$AP:$AP,Lager!$B33,Gefahrstoffverzeichnis!$CB:$CB,$AW33)</f>
        <v>0</v>
      </c>
      <c r="AY33" s="248" t="str">
        <f t="shared" si="9"/>
        <v/>
      </c>
      <c r="AZ33" s="249" t="s">
        <v>2637</v>
      </c>
      <c r="BA33" s="250">
        <f>SUMIFS(Gefahrstoffverzeichnis!$AU:$AU,Gefahrstoffverzeichnis!$BY:$BY,"kg",Gefahrstoffverzeichnis!$AP:$AP,Lager!$B33,Gefahrstoffverzeichnis!$CB:$CB,$AZ33)</f>
        <v>0</v>
      </c>
      <c r="BB33" s="248" t="str">
        <f t="shared" si="10"/>
        <v/>
      </c>
      <c r="BC33" s="249" t="s">
        <v>2638</v>
      </c>
      <c r="BD33" s="250">
        <f>SUMIFS(Gefahrstoffverzeichnis!$AU:$AU,Gefahrstoffverzeichnis!$BY:$BY,"kg",Gefahrstoffverzeichnis!$AP:$AP,Lager!$B33,Gefahrstoffverzeichnis!$CB:$CB,$BC33)</f>
        <v>0</v>
      </c>
      <c r="BE33" s="248" t="str">
        <f t="shared" si="11"/>
        <v/>
      </c>
      <c r="BF33" s="249" t="s">
        <v>2639</v>
      </c>
      <c r="BG33" s="250">
        <f>SUMIFS(Gefahrstoffverzeichnis!$AU:$AU,Gefahrstoffverzeichnis!$BY:$BY,"Liter",Gefahrstoffverzeichnis!$AP:$AP,Lager!$B33,Gefahrstoffverzeichnis!$CB:$CB,$BF33)</f>
        <v>0</v>
      </c>
      <c r="BH33" s="249" t="s">
        <v>2640</v>
      </c>
      <c r="BI33" s="250">
        <f>SUMIFS(Gefahrstoffverzeichnis!$AU:$AU,Gefahrstoffverzeichnis!$BY:$BY,"Liter",Gefahrstoffverzeichnis!$AP:$AP,Lager!$B33,Gefahrstoffverzeichnis!$CB:$CB,$BH33,Gefahrstoffverzeichnis!$CB:$CB,"&lt;&gt;"&amp;$BF33)</f>
        <v>0</v>
      </c>
      <c r="BJ33" s="249" t="s">
        <v>2641</v>
      </c>
      <c r="BK33" s="250">
        <f>SUMIFS(Gefahrstoffverzeichnis!$AU:$AU,Gefahrstoffverzeichnis!$BY:$BY,"Liter",Gefahrstoffverzeichnis!$AP:$AP,Lager!$B33,Gefahrstoffverzeichnis!$CB:$CB,$BJ33,Gefahrstoffverzeichnis!$CB:$CB,"&lt;&gt;"&amp;$BH33,Gefahrstoffverzeichnis!$CB:$CB,"&lt;&gt;"&amp;$BF33)</f>
        <v>0</v>
      </c>
      <c r="BL33" s="249" t="s">
        <v>2642</v>
      </c>
      <c r="BM33" s="250">
        <f>SUMIFS(Gefahrstoffverzeichnis!$AU:$AU,Gefahrstoffverzeichnis!$BY:$BY,"Liter",Gefahrstoffverzeichnis!$AP:$AP,Lager!$B33,Gefahrstoffverzeichnis!$CB:$CB,$BL33,Gefahrstoffverzeichnis!$CB:$CB,"&lt;&gt;"&amp;$BJ33,Gefahrstoffverzeichnis!$CB:$CB,"&lt;&gt;"&amp;$BH33,Gefahrstoffverzeichnis!$CB:$CB,"&lt;&gt;"&amp;$BF33)</f>
        <v>0</v>
      </c>
      <c r="BN33" s="249" t="s">
        <v>2643</v>
      </c>
      <c r="BO33" s="250">
        <f>SUMIFS(Gefahrstoffverzeichnis!$AU:$AU,Gefahrstoffverzeichnis!$BY:$BY,"Liter",Gefahrstoffverzeichnis!$AP:$AP,Lager!$B33,Gefahrstoffverzeichnis!$CB:$CB,$BN33,Gefahrstoffverzeichnis!$CB:$CB,"&lt;&gt;"&amp;$BL33,Gefahrstoffverzeichnis!$CB:$CB,"&lt;&gt;"&amp;$BJ33,Gefahrstoffverzeichnis!$CB:$CB,"&lt;&gt;"&amp;$BH33,Gefahrstoffverzeichnis!$CB:$CB,"&lt;&gt;"&amp;$BF33)</f>
        <v>0</v>
      </c>
      <c r="BP33" s="248" t="str">
        <f t="shared" si="12"/>
        <v/>
      </c>
      <c r="BQ33" s="249" t="s">
        <v>2639</v>
      </c>
      <c r="BR33" s="250">
        <f>SUMIFS(Gefahrstoffverzeichnis!$AU:$AU,Gefahrstoffverzeichnis!$BY:$BY,"kg",Gefahrstoffverzeichnis!$AP:$AP,Lager!$B33,Gefahrstoffverzeichnis!$CB:$CB,$BQ33)</f>
        <v>0</v>
      </c>
      <c r="BS33" s="249" t="s">
        <v>2640</v>
      </c>
      <c r="BT33" s="250">
        <f>SUMIFS(Gefahrstoffverzeichnis!$AU:$AU,Gefahrstoffverzeichnis!$BY:$BY,"kg",Gefahrstoffverzeichnis!$AP:$AP,Lager!$B33,Gefahrstoffverzeichnis!$CB:$CB,$BS33,Gefahrstoffverzeichnis!$CB:$CB,"&lt;&gt;"&amp;$BQ33)</f>
        <v>0</v>
      </c>
      <c r="BU33" s="249" t="s">
        <v>2644</v>
      </c>
      <c r="BV33" s="250">
        <f>SUMIFS(Gefahrstoffverzeichnis!$AU:$AU,Gefahrstoffverzeichnis!$BY:$BY,"kg",Gefahrstoffverzeichnis!$AP:$AP,Lager!$B33,Gefahrstoffverzeichnis!$CB:$CB,$BU33,Gefahrstoffverzeichnis!$CB:$CB,"&lt;&gt;"&amp;$BS33,Gefahrstoffverzeichnis!$CB:$CB,"&lt;&gt;"&amp;$BQ33)</f>
        <v>0</v>
      </c>
      <c r="BW33" s="249" t="s">
        <v>2645</v>
      </c>
      <c r="BX33" s="250">
        <f>SUMIFS(Gefahrstoffverzeichnis!$AU:$AU,Gefahrstoffverzeichnis!$BY:$BY,"kg",Gefahrstoffverzeichnis!$AP:$AP,Lager!$B33,Gefahrstoffverzeichnis!$CB:$CB,$BW33,Gefahrstoffverzeichnis!$CB:$CB,"&lt;&gt;"&amp;$BU33,Gefahrstoffverzeichnis!$CB:$CB,"&lt;&gt;"&amp;$BS33,Gefahrstoffverzeichnis!$CB:$CB,"&lt;&gt;"&amp;$BQ33)</f>
        <v>0</v>
      </c>
      <c r="BY33" s="248" t="str">
        <f t="shared" si="13"/>
        <v/>
      </c>
      <c r="BZ33" s="249" t="s">
        <v>2646</v>
      </c>
      <c r="CA33" s="250">
        <f>SUMIFS(Gefahrstoffverzeichnis!$AU:$AU,Gefahrstoffverzeichnis!$BY:$BY,"kg",Gefahrstoffverzeichnis!$AP:$AP,Lager!$B33,Gefahrstoffverzeichnis!$CB:$CB,$BZ33)</f>
        <v>0</v>
      </c>
      <c r="CB33" s="249" t="s">
        <v>2647</v>
      </c>
      <c r="CC33" s="250">
        <f>SUMIFS(Gefahrstoffverzeichnis!$AU:$AU,Gefahrstoffverzeichnis!$BY:$BY,"kg",Gefahrstoffverzeichnis!$AP:$AP,Lager!$B33,Gefahrstoffverzeichnis!$CB:$CB,$CB33,Gefahrstoffverzeichnis!$CB:$CB,"&lt;&gt;"&amp;$BZ33)</f>
        <v>0</v>
      </c>
    </row>
    <row r="35" spans="2:81" ht="18.75" customHeight="1" x14ac:dyDescent="0.3">
      <c r="B35" s="238" t="s">
        <v>7283</v>
      </c>
    </row>
  </sheetData>
  <mergeCells count="1">
    <mergeCell ref="D2:D3"/>
  </mergeCells>
  <conditionalFormatting sqref="F5:F33">
    <cfRule type="cellIs" dxfId="8" priority="4" operator="equal">
      <formula>0</formula>
    </cfRule>
    <cfRule type="cellIs" dxfId="7" priority="5" operator="lessThanOrEqual">
      <formula>F$3</formula>
    </cfRule>
    <cfRule type="cellIs" dxfId="6" priority="6" operator="greaterThan">
      <formula>F$3</formula>
    </cfRule>
  </conditionalFormatting>
  <conditionalFormatting sqref="S5:S33 X5:X33 AC5:AC33 AH5:AH33 AK5:AK33 AN5:AN33 AQ5:AQ33 AV5:AV33 AY5:AY33 BB5:BB33 BE5:BE33 BP5:BP33 BY5:BY33">
    <cfRule type="cellIs" dxfId="5" priority="1" operator="equal">
      <formula>0</formula>
    </cfRule>
    <cfRule type="cellIs" dxfId="4" priority="2" operator="lessThanOrEqual">
      <formula>S$3</formula>
    </cfRule>
    <cfRule type="cellIs" dxfId="3" priority="3" operator="greaterThan">
      <formula>S$3</formula>
    </cfRule>
  </conditionalFormatting>
  <hyperlinks>
    <hyperlink ref="D2" location="Gefahrstoffverzeichnis!A9" display="zurück" xr:uid="{FDFC78FD-7989-4B5A-8B28-572F9D8117D1}"/>
    <hyperlink ref="D2:D3" location="Gefahrstoffverzeichnis!AM6" display="Û" xr:uid="{348D8F92-5456-428C-8180-FF29DF461420}"/>
  </hyperlinks>
  <pageMargins left="0.39370078740157483" right="0.39370078740157483" top="0.39370078740157483" bottom="0.39370078740157483" header="0.19685039370078741" footer="0.19685039370078741"/>
  <pageSetup paperSize="9" scale="68" pageOrder="overThenDown" orientation="landscape" r:id="rId1"/>
  <headerFooter>
    <oddFooter>&amp;L&amp;G&amp;R&amp;"Arial,Standard"&amp;9Seite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7"/>
  <dimension ref="A1:AF28"/>
  <sheetViews>
    <sheetView showGridLines="0" zoomScaleNormal="100" workbookViewId="0">
      <selection activeCell="F19" sqref="F19"/>
    </sheetView>
  </sheetViews>
  <sheetFormatPr baseColWidth="10" defaultColWidth="5.6640625" defaultRowHeight="30" customHeight="1" x14ac:dyDescent="0.3"/>
  <cols>
    <col min="1" max="27" width="4.33203125" style="116" customWidth="1"/>
    <col min="28" max="28" width="2" style="116" bestFit="1" customWidth="1"/>
    <col min="29" max="29" width="5.6640625" style="116"/>
    <col min="30" max="30" width="75.109375" style="383" customWidth="1"/>
    <col min="31" max="31" width="4.33203125" style="116" customWidth="1"/>
    <col min="32" max="32" width="8.5546875" style="116" customWidth="1"/>
    <col min="33" max="16384" width="5.6640625" style="116"/>
  </cols>
  <sheetData>
    <row r="1" spans="1:32" ht="37.5" customHeight="1" x14ac:dyDescent="0.25">
      <c r="A1" s="121" t="s">
        <v>497</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C1" s="121" t="s">
        <v>3</v>
      </c>
      <c r="AD1" s="380"/>
      <c r="AF1" s="370" t="s">
        <v>2662</v>
      </c>
    </row>
    <row r="2" spans="1:32" ht="22.5" customHeight="1" x14ac:dyDescent="0.3">
      <c r="A2" s="373"/>
      <c r="B2" s="374" t="str">
        <f>A3</f>
        <v>1</v>
      </c>
      <c r="C2" s="375" t="str">
        <f>A4</f>
        <v>2A</v>
      </c>
      <c r="D2" s="376" t="str">
        <f>A5</f>
        <v>2B</v>
      </c>
      <c r="E2" s="375">
        <f>A6</f>
        <v>3</v>
      </c>
      <c r="F2" s="376" t="str">
        <f>A7</f>
        <v>4.1A</v>
      </c>
      <c r="G2" s="375" t="str">
        <f>A8</f>
        <v>4.1B</v>
      </c>
      <c r="H2" s="376" t="str">
        <f>A9</f>
        <v>4.2</v>
      </c>
      <c r="I2" s="375" t="str">
        <f>A10</f>
        <v>4.3</v>
      </c>
      <c r="J2" s="376" t="str">
        <f>A11</f>
        <v>5.1A</v>
      </c>
      <c r="K2" s="375" t="str">
        <f>A12</f>
        <v>5.1B</v>
      </c>
      <c r="L2" s="376" t="str">
        <f>A13</f>
        <v>5.1C</v>
      </c>
      <c r="M2" s="375" t="str">
        <f>A14</f>
        <v>5.2</v>
      </c>
      <c r="N2" s="376" t="str">
        <f>A15</f>
        <v>6.1A</v>
      </c>
      <c r="O2" s="375" t="str">
        <f>A16</f>
        <v>6.1B</v>
      </c>
      <c r="P2" s="376" t="str">
        <f>A17</f>
        <v>6.1C</v>
      </c>
      <c r="Q2" s="375" t="str">
        <f>A18</f>
        <v>6.1D</v>
      </c>
      <c r="R2" s="376" t="str">
        <f>A19</f>
        <v>6.2</v>
      </c>
      <c r="S2" s="375" t="str">
        <f>A20</f>
        <v>7</v>
      </c>
      <c r="T2" s="376" t="str">
        <f>A21</f>
        <v>8A</v>
      </c>
      <c r="U2" s="375" t="str">
        <f>A22</f>
        <v>8B</v>
      </c>
      <c r="V2" s="376" t="str">
        <f>A23</f>
        <v>9</v>
      </c>
      <c r="W2" s="375" t="str">
        <f>A24</f>
        <v>10</v>
      </c>
      <c r="X2" s="376" t="str">
        <f>A25</f>
        <v>11</v>
      </c>
      <c r="Y2" s="375" t="str">
        <f>A26</f>
        <v>12</v>
      </c>
      <c r="Z2" s="376" t="str">
        <f>A27</f>
        <v>13</v>
      </c>
      <c r="AA2" s="378" t="str">
        <f>A28</f>
        <v>10-13</v>
      </c>
      <c r="AB2" s="118">
        <v>1</v>
      </c>
      <c r="AC2" s="120" t="s">
        <v>419</v>
      </c>
      <c r="AD2" s="381" t="s">
        <v>498</v>
      </c>
      <c r="AF2" s="503" t="s">
        <v>7397</v>
      </c>
    </row>
    <row r="3" spans="1:32" ht="22.5" customHeight="1" x14ac:dyDescent="0.3">
      <c r="A3" s="377" t="s">
        <v>495</v>
      </c>
      <c r="B3" s="117">
        <v>3</v>
      </c>
      <c r="C3" s="117">
        <v>1</v>
      </c>
      <c r="D3" s="117">
        <v>1</v>
      </c>
      <c r="E3" s="117">
        <v>1</v>
      </c>
      <c r="F3" s="117">
        <v>1</v>
      </c>
      <c r="G3" s="117">
        <v>1</v>
      </c>
      <c r="H3" s="117">
        <v>1</v>
      </c>
      <c r="I3" s="117">
        <v>1</v>
      </c>
      <c r="J3" s="117">
        <v>1</v>
      </c>
      <c r="K3" s="117">
        <v>1</v>
      </c>
      <c r="L3" s="117">
        <v>1</v>
      </c>
      <c r="M3" s="117">
        <v>1</v>
      </c>
      <c r="N3" s="117">
        <v>1</v>
      </c>
      <c r="O3" s="117">
        <v>1</v>
      </c>
      <c r="P3" s="117">
        <v>1</v>
      </c>
      <c r="Q3" s="117">
        <v>1</v>
      </c>
      <c r="R3" s="117">
        <v>1</v>
      </c>
      <c r="S3" s="117">
        <v>1</v>
      </c>
      <c r="T3" s="117">
        <v>1</v>
      </c>
      <c r="U3" s="117">
        <v>1</v>
      </c>
      <c r="V3" s="123"/>
      <c r="W3" s="117">
        <v>1</v>
      </c>
      <c r="X3" s="117">
        <v>1</v>
      </c>
      <c r="Y3" s="117">
        <v>1</v>
      </c>
      <c r="Z3" s="117">
        <v>1</v>
      </c>
      <c r="AA3" s="117">
        <v>1</v>
      </c>
      <c r="AB3" s="118">
        <v>2</v>
      </c>
      <c r="AC3" s="119" t="s">
        <v>495</v>
      </c>
      <c r="AD3" s="382" t="s">
        <v>4</v>
      </c>
      <c r="AF3" s="503"/>
    </row>
    <row r="4" spans="1:32" ht="22.5" customHeight="1" x14ac:dyDescent="0.3">
      <c r="A4" s="373" t="s">
        <v>471</v>
      </c>
      <c r="B4" s="117">
        <v>1</v>
      </c>
      <c r="C4" s="117">
        <v>3</v>
      </c>
      <c r="D4" s="117">
        <v>3</v>
      </c>
      <c r="E4" s="117">
        <v>1</v>
      </c>
      <c r="F4" s="117">
        <v>1</v>
      </c>
      <c r="G4" s="117">
        <v>1</v>
      </c>
      <c r="H4" s="117">
        <v>1</v>
      </c>
      <c r="I4" s="117">
        <v>1</v>
      </c>
      <c r="J4" s="117">
        <v>1</v>
      </c>
      <c r="K4" s="117">
        <v>1</v>
      </c>
      <c r="L4" s="117">
        <v>3</v>
      </c>
      <c r="M4" s="117">
        <v>1</v>
      </c>
      <c r="N4" s="117">
        <v>1</v>
      </c>
      <c r="O4" s="117">
        <v>1</v>
      </c>
      <c r="P4" s="117">
        <v>1</v>
      </c>
      <c r="Q4" s="117">
        <v>1</v>
      </c>
      <c r="R4" s="117">
        <v>1</v>
      </c>
      <c r="S4" s="117">
        <v>1</v>
      </c>
      <c r="T4" s="117">
        <v>3</v>
      </c>
      <c r="U4" s="117">
        <v>2</v>
      </c>
      <c r="V4" s="124"/>
      <c r="W4" s="117">
        <v>1</v>
      </c>
      <c r="X4" s="117">
        <v>3</v>
      </c>
      <c r="Y4" s="117">
        <v>2</v>
      </c>
      <c r="Z4" s="117">
        <v>2</v>
      </c>
      <c r="AA4" s="117">
        <v>3</v>
      </c>
      <c r="AB4" s="118">
        <v>3</v>
      </c>
      <c r="AC4" s="119" t="s">
        <v>471</v>
      </c>
      <c r="AD4" s="382" t="s">
        <v>5</v>
      </c>
      <c r="AF4" s="372"/>
    </row>
    <row r="5" spans="1:32" ht="22.5" customHeight="1" x14ac:dyDescent="0.3">
      <c r="A5" s="377" t="s">
        <v>472</v>
      </c>
      <c r="B5" s="117">
        <v>1</v>
      </c>
      <c r="C5" s="117">
        <v>3</v>
      </c>
      <c r="D5" s="117">
        <v>2</v>
      </c>
      <c r="E5" s="117">
        <v>2</v>
      </c>
      <c r="F5" s="117">
        <v>1</v>
      </c>
      <c r="G5" s="117">
        <v>1</v>
      </c>
      <c r="H5" s="117">
        <v>1</v>
      </c>
      <c r="I5" s="117">
        <v>1</v>
      </c>
      <c r="J5" s="117">
        <v>1</v>
      </c>
      <c r="K5" s="117">
        <v>1</v>
      </c>
      <c r="L5" s="117">
        <v>3</v>
      </c>
      <c r="M5" s="117">
        <v>1</v>
      </c>
      <c r="N5" s="117">
        <v>2</v>
      </c>
      <c r="O5" s="117">
        <v>2</v>
      </c>
      <c r="P5" s="117">
        <v>2</v>
      </c>
      <c r="Q5" s="117">
        <v>2</v>
      </c>
      <c r="R5" s="117">
        <v>1</v>
      </c>
      <c r="S5" s="117">
        <v>1</v>
      </c>
      <c r="T5" s="117">
        <v>2</v>
      </c>
      <c r="U5" s="117">
        <v>2</v>
      </c>
      <c r="V5" s="124"/>
      <c r="W5" s="117">
        <v>2</v>
      </c>
      <c r="X5" s="117">
        <v>2</v>
      </c>
      <c r="Y5" s="117">
        <v>2</v>
      </c>
      <c r="Z5" s="117">
        <v>2</v>
      </c>
      <c r="AA5" s="117">
        <v>2</v>
      </c>
      <c r="AC5" s="119" t="s">
        <v>472</v>
      </c>
      <c r="AD5" s="382" t="s">
        <v>6</v>
      </c>
      <c r="AF5" s="372"/>
    </row>
    <row r="6" spans="1:32" ht="22.5" customHeight="1" x14ac:dyDescent="0.3">
      <c r="A6" s="373">
        <v>3</v>
      </c>
      <c r="B6" s="117">
        <v>1</v>
      </c>
      <c r="C6" s="117">
        <v>1</v>
      </c>
      <c r="D6" s="117">
        <v>2</v>
      </c>
      <c r="E6" s="117">
        <v>2</v>
      </c>
      <c r="F6" s="117">
        <v>1</v>
      </c>
      <c r="G6" s="117">
        <v>1</v>
      </c>
      <c r="H6" s="117">
        <v>1</v>
      </c>
      <c r="I6" s="117">
        <v>1</v>
      </c>
      <c r="J6" s="117">
        <v>1</v>
      </c>
      <c r="K6" s="117">
        <v>3</v>
      </c>
      <c r="L6" s="117">
        <v>1</v>
      </c>
      <c r="M6" s="117">
        <v>1</v>
      </c>
      <c r="N6" s="117">
        <v>2</v>
      </c>
      <c r="O6" s="117">
        <v>1</v>
      </c>
      <c r="P6" s="117">
        <v>2</v>
      </c>
      <c r="Q6" s="117">
        <v>3</v>
      </c>
      <c r="R6" s="117">
        <v>1</v>
      </c>
      <c r="S6" s="117">
        <v>1</v>
      </c>
      <c r="T6" s="117">
        <v>2</v>
      </c>
      <c r="U6" s="117">
        <v>2</v>
      </c>
      <c r="V6" s="124"/>
      <c r="W6" s="117">
        <v>2</v>
      </c>
      <c r="X6" s="117">
        <v>3</v>
      </c>
      <c r="Y6" s="117">
        <v>2</v>
      </c>
      <c r="Z6" s="117">
        <v>2</v>
      </c>
      <c r="AA6" s="117">
        <v>3</v>
      </c>
      <c r="AC6" s="119">
        <v>3</v>
      </c>
      <c r="AD6" s="382" t="s">
        <v>7</v>
      </c>
      <c r="AF6" s="372"/>
    </row>
    <row r="7" spans="1:32" ht="22.5" customHeight="1" x14ac:dyDescent="0.3">
      <c r="A7" s="377" t="s">
        <v>473</v>
      </c>
      <c r="B7" s="117">
        <v>1</v>
      </c>
      <c r="C7" s="117">
        <v>1</v>
      </c>
      <c r="D7" s="117">
        <v>1</v>
      </c>
      <c r="E7" s="117">
        <v>1</v>
      </c>
      <c r="F7" s="117">
        <v>3</v>
      </c>
      <c r="G7" s="117">
        <v>3</v>
      </c>
      <c r="H7" s="117">
        <v>1</v>
      </c>
      <c r="I7" s="117">
        <v>1</v>
      </c>
      <c r="J7" s="117">
        <v>1</v>
      </c>
      <c r="K7" s="117">
        <v>1</v>
      </c>
      <c r="L7" s="117">
        <v>1</v>
      </c>
      <c r="M7" s="117">
        <v>3</v>
      </c>
      <c r="N7" s="117">
        <v>1</v>
      </c>
      <c r="O7" s="117">
        <v>1</v>
      </c>
      <c r="P7" s="117">
        <v>1</v>
      </c>
      <c r="Q7" s="117">
        <v>1</v>
      </c>
      <c r="R7" s="117">
        <v>1</v>
      </c>
      <c r="S7" s="117">
        <v>1</v>
      </c>
      <c r="T7" s="117">
        <v>3</v>
      </c>
      <c r="U7" s="117">
        <v>3</v>
      </c>
      <c r="V7" s="124"/>
      <c r="W7" s="117">
        <v>3</v>
      </c>
      <c r="X7" s="117">
        <v>3</v>
      </c>
      <c r="Y7" s="117">
        <v>3</v>
      </c>
      <c r="Z7" s="117">
        <v>3</v>
      </c>
      <c r="AA7" s="117">
        <v>3</v>
      </c>
      <c r="AC7" s="119" t="s">
        <v>473</v>
      </c>
      <c r="AD7" s="382" t="s">
        <v>8</v>
      </c>
      <c r="AF7" s="372"/>
    </row>
    <row r="8" spans="1:32" ht="22.5" customHeight="1" x14ac:dyDescent="0.3">
      <c r="A8" s="373" t="s">
        <v>474</v>
      </c>
      <c r="B8" s="117">
        <v>1</v>
      </c>
      <c r="C8" s="117">
        <v>1</v>
      </c>
      <c r="D8" s="117">
        <v>1</v>
      </c>
      <c r="E8" s="117">
        <v>1</v>
      </c>
      <c r="F8" s="117">
        <v>3</v>
      </c>
      <c r="G8" s="117">
        <v>2</v>
      </c>
      <c r="H8" s="117">
        <v>3</v>
      </c>
      <c r="I8" s="117">
        <v>3</v>
      </c>
      <c r="J8" s="117">
        <v>1</v>
      </c>
      <c r="K8" s="117">
        <v>3</v>
      </c>
      <c r="L8" s="117">
        <v>1</v>
      </c>
      <c r="M8" s="117">
        <v>3</v>
      </c>
      <c r="N8" s="117">
        <v>3</v>
      </c>
      <c r="O8" s="117">
        <v>1</v>
      </c>
      <c r="P8" s="117">
        <v>2</v>
      </c>
      <c r="Q8" s="117">
        <v>3</v>
      </c>
      <c r="R8" s="117">
        <v>1</v>
      </c>
      <c r="S8" s="117">
        <v>1</v>
      </c>
      <c r="T8" s="117">
        <v>2</v>
      </c>
      <c r="U8" s="117">
        <v>2</v>
      </c>
      <c r="V8" s="124"/>
      <c r="W8" s="117">
        <v>2</v>
      </c>
      <c r="X8" s="117">
        <v>2</v>
      </c>
      <c r="Y8" s="117">
        <v>2</v>
      </c>
      <c r="Z8" s="117">
        <v>2</v>
      </c>
      <c r="AA8" s="117">
        <v>2</v>
      </c>
      <c r="AC8" s="119" t="s">
        <v>474</v>
      </c>
      <c r="AD8" s="382" t="s">
        <v>9</v>
      </c>
      <c r="AF8" s="372"/>
    </row>
    <row r="9" spans="1:32" ht="22.5" customHeight="1" x14ac:dyDescent="0.3">
      <c r="A9" s="377" t="s">
        <v>475</v>
      </c>
      <c r="B9" s="117">
        <v>1</v>
      </c>
      <c r="C9" s="117">
        <v>1</v>
      </c>
      <c r="D9" s="117">
        <v>1</v>
      </c>
      <c r="E9" s="117">
        <v>1</v>
      </c>
      <c r="F9" s="117">
        <v>1</v>
      </c>
      <c r="G9" s="117">
        <v>3</v>
      </c>
      <c r="H9" s="117">
        <v>2</v>
      </c>
      <c r="I9" s="117">
        <v>3</v>
      </c>
      <c r="J9" s="117">
        <v>1</v>
      </c>
      <c r="K9" s="117">
        <v>1</v>
      </c>
      <c r="L9" s="117">
        <v>1</v>
      </c>
      <c r="M9" s="117">
        <v>1</v>
      </c>
      <c r="N9" s="117">
        <v>1</v>
      </c>
      <c r="O9" s="117">
        <v>1</v>
      </c>
      <c r="P9" s="117">
        <v>3</v>
      </c>
      <c r="Q9" s="117">
        <v>3</v>
      </c>
      <c r="R9" s="117">
        <v>1</v>
      </c>
      <c r="S9" s="117">
        <v>1</v>
      </c>
      <c r="T9" s="117">
        <v>3</v>
      </c>
      <c r="U9" s="117">
        <v>3</v>
      </c>
      <c r="V9" s="124"/>
      <c r="W9" s="117">
        <v>3</v>
      </c>
      <c r="X9" s="117">
        <v>3</v>
      </c>
      <c r="Y9" s="117">
        <v>2</v>
      </c>
      <c r="Z9" s="117">
        <v>2</v>
      </c>
      <c r="AA9" s="117">
        <v>3</v>
      </c>
      <c r="AC9" s="119" t="s">
        <v>475</v>
      </c>
      <c r="AD9" s="382" t="s">
        <v>10</v>
      </c>
      <c r="AF9" s="372"/>
    </row>
    <row r="10" spans="1:32" ht="22.5" customHeight="1" x14ac:dyDescent="0.3">
      <c r="A10" s="373" t="s">
        <v>476</v>
      </c>
      <c r="B10" s="117">
        <v>1</v>
      </c>
      <c r="C10" s="117">
        <v>1</v>
      </c>
      <c r="D10" s="117">
        <v>1</v>
      </c>
      <c r="E10" s="117">
        <v>1</v>
      </c>
      <c r="F10" s="117">
        <v>1</v>
      </c>
      <c r="G10" s="117">
        <v>3</v>
      </c>
      <c r="H10" s="117">
        <v>3</v>
      </c>
      <c r="I10" s="117">
        <v>2</v>
      </c>
      <c r="J10" s="117">
        <v>1</v>
      </c>
      <c r="K10" s="117">
        <v>1</v>
      </c>
      <c r="L10" s="117">
        <v>1</v>
      </c>
      <c r="M10" s="117">
        <v>1</v>
      </c>
      <c r="N10" s="117">
        <v>1</v>
      </c>
      <c r="O10" s="117">
        <v>1</v>
      </c>
      <c r="P10" s="117">
        <v>3</v>
      </c>
      <c r="Q10" s="117">
        <v>3</v>
      </c>
      <c r="R10" s="117">
        <v>1</v>
      </c>
      <c r="S10" s="117">
        <v>1</v>
      </c>
      <c r="T10" s="117">
        <v>3</v>
      </c>
      <c r="U10" s="117">
        <v>3</v>
      </c>
      <c r="V10" s="124"/>
      <c r="W10" s="117">
        <v>3</v>
      </c>
      <c r="X10" s="117">
        <v>3</v>
      </c>
      <c r="Y10" s="117">
        <v>3</v>
      </c>
      <c r="Z10" s="117">
        <v>2</v>
      </c>
      <c r="AA10" s="117">
        <v>3</v>
      </c>
      <c r="AC10" s="119" t="s">
        <v>476</v>
      </c>
      <c r="AD10" s="382" t="s">
        <v>27</v>
      </c>
      <c r="AF10" s="372"/>
    </row>
    <row r="11" spans="1:32" ht="22.5" customHeight="1" x14ac:dyDescent="0.3">
      <c r="A11" s="377" t="s">
        <v>477</v>
      </c>
      <c r="B11" s="117">
        <v>1</v>
      </c>
      <c r="C11" s="117">
        <v>1</v>
      </c>
      <c r="D11" s="117">
        <v>1</v>
      </c>
      <c r="E11" s="117">
        <v>1</v>
      </c>
      <c r="F11" s="117">
        <v>1</v>
      </c>
      <c r="G11" s="117">
        <v>1</v>
      </c>
      <c r="H11" s="117">
        <v>1</v>
      </c>
      <c r="I11" s="117">
        <v>1</v>
      </c>
      <c r="J11" s="117">
        <v>2</v>
      </c>
      <c r="K11" s="117">
        <v>2</v>
      </c>
      <c r="L11" s="117">
        <v>1</v>
      </c>
      <c r="M11" s="117">
        <v>1</v>
      </c>
      <c r="N11" s="117">
        <v>1</v>
      </c>
      <c r="O11" s="117">
        <v>1</v>
      </c>
      <c r="P11" s="117">
        <v>1</v>
      </c>
      <c r="Q11" s="117">
        <v>1</v>
      </c>
      <c r="R11" s="117">
        <v>1</v>
      </c>
      <c r="S11" s="117">
        <v>1</v>
      </c>
      <c r="T11" s="117">
        <v>1</v>
      </c>
      <c r="U11" s="117">
        <v>1</v>
      </c>
      <c r="V11" s="124"/>
      <c r="W11" s="117">
        <v>1</v>
      </c>
      <c r="X11" s="117">
        <v>1</v>
      </c>
      <c r="Y11" s="117">
        <v>2</v>
      </c>
      <c r="Z11" s="117">
        <v>2</v>
      </c>
      <c r="AA11" s="117">
        <v>1</v>
      </c>
      <c r="AC11" s="119" t="s">
        <v>477</v>
      </c>
      <c r="AD11" s="382" t="s">
        <v>11</v>
      </c>
      <c r="AF11" s="372"/>
    </row>
    <row r="12" spans="1:32" ht="22.5" customHeight="1" x14ac:dyDescent="0.3">
      <c r="A12" s="373" t="s">
        <v>478</v>
      </c>
      <c r="B12" s="117">
        <v>1</v>
      </c>
      <c r="C12" s="117">
        <v>1</v>
      </c>
      <c r="D12" s="117">
        <v>1</v>
      </c>
      <c r="E12" s="117">
        <v>3</v>
      </c>
      <c r="F12" s="117">
        <v>1</v>
      </c>
      <c r="G12" s="117">
        <v>3</v>
      </c>
      <c r="H12" s="117">
        <v>1</v>
      </c>
      <c r="I12" s="117">
        <v>1</v>
      </c>
      <c r="J12" s="117">
        <v>2</v>
      </c>
      <c r="K12" s="117">
        <v>2</v>
      </c>
      <c r="L12" s="117">
        <v>3</v>
      </c>
      <c r="M12" s="117">
        <v>1</v>
      </c>
      <c r="N12" s="117">
        <v>3</v>
      </c>
      <c r="O12" s="117">
        <v>3</v>
      </c>
      <c r="P12" s="117">
        <v>3</v>
      </c>
      <c r="Q12" s="117">
        <v>3</v>
      </c>
      <c r="R12" s="117">
        <v>1</v>
      </c>
      <c r="S12" s="117">
        <v>1</v>
      </c>
      <c r="T12" s="117">
        <v>1</v>
      </c>
      <c r="U12" s="117">
        <v>1</v>
      </c>
      <c r="V12" s="124"/>
      <c r="W12" s="117">
        <v>1</v>
      </c>
      <c r="X12" s="117">
        <v>1</v>
      </c>
      <c r="Y12" s="117">
        <v>2</v>
      </c>
      <c r="Z12" s="117">
        <v>2</v>
      </c>
      <c r="AA12" s="117">
        <v>3</v>
      </c>
      <c r="AC12" s="119" t="s">
        <v>478</v>
      </c>
      <c r="AD12" s="382" t="s">
        <v>12</v>
      </c>
      <c r="AF12" s="372"/>
    </row>
    <row r="13" spans="1:32" ht="22.5" customHeight="1" x14ac:dyDescent="0.3">
      <c r="A13" s="377" t="s">
        <v>479</v>
      </c>
      <c r="B13" s="117">
        <v>1</v>
      </c>
      <c r="C13" s="117">
        <v>3</v>
      </c>
      <c r="D13" s="117">
        <v>3</v>
      </c>
      <c r="E13" s="117">
        <v>1</v>
      </c>
      <c r="F13" s="117">
        <v>1</v>
      </c>
      <c r="G13" s="117">
        <v>1</v>
      </c>
      <c r="H13" s="117">
        <v>1</v>
      </c>
      <c r="I13" s="117">
        <v>1</v>
      </c>
      <c r="J13" s="117">
        <v>1</v>
      </c>
      <c r="K13" s="117">
        <v>3</v>
      </c>
      <c r="L13" s="117">
        <v>3</v>
      </c>
      <c r="M13" s="117">
        <v>1</v>
      </c>
      <c r="N13" s="117">
        <v>1</v>
      </c>
      <c r="O13" s="117">
        <v>1</v>
      </c>
      <c r="P13" s="117">
        <v>1</v>
      </c>
      <c r="Q13" s="117">
        <v>1</v>
      </c>
      <c r="R13" s="117">
        <v>1</v>
      </c>
      <c r="S13" s="117">
        <v>1</v>
      </c>
      <c r="T13" s="117">
        <v>3</v>
      </c>
      <c r="U13" s="117">
        <v>3</v>
      </c>
      <c r="V13" s="124"/>
      <c r="W13" s="117">
        <v>3</v>
      </c>
      <c r="X13" s="117">
        <v>3</v>
      </c>
      <c r="Y13" s="117">
        <v>3</v>
      </c>
      <c r="Z13" s="117">
        <v>3</v>
      </c>
      <c r="AA13" s="117">
        <v>3</v>
      </c>
      <c r="AC13" s="119" t="s">
        <v>479</v>
      </c>
      <c r="AD13" s="382" t="s">
        <v>13</v>
      </c>
      <c r="AF13" s="372"/>
    </row>
    <row r="14" spans="1:32" ht="22.5" customHeight="1" x14ac:dyDescent="0.3">
      <c r="A14" s="373" t="s">
        <v>480</v>
      </c>
      <c r="B14" s="117">
        <v>1</v>
      </c>
      <c r="C14" s="117">
        <v>1</v>
      </c>
      <c r="D14" s="117">
        <v>1</v>
      </c>
      <c r="E14" s="117">
        <v>1</v>
      </c>
      <c r="F14" s="117">
        <v>3</v>
      </c>
      <c r="G14" s="117">
        <v>3</v>
      </c>
      <c r="H14" s="117">
        <v>1</v>
      </c>
      <c r="I14" s="117">
        <v>1</v>
      </c>
      <c r="J14" s="117">
        <v>1</v>
      </c>
      <c r="K14" s="117">
        <v>1</v>
      </c>
      <c r="L14" s="117">
        <v>1</v>
      </c>
      <c r="M14" s="117">
        <v>2</v>
      </c>
      <c r="N14" s="117">
        <v>1</v>
      </c>
      <c r="O14" s="117">
        <v>1</v>
      </c>
      <c r="P14" s="117">
        <v>1</v>
      </c>
      <c r="Q14" s="117">
        <v>1</v>
      </c>
      <c r="R14" s="117">
        <v>1</v>
      </c>
      <c r="S14" s="117">
        <v>1</v>
      </c>
      <c r="T14" s="117">
        <v>1</v>
      </c>
      <c r="U14" s="117">
        <v>1</v>
      </c>
      <c r="V14" s="124"/>
      <c r="W14" s="117">
        <v>3</v>
      </c>
      <c r="X14" s="117">
        <v>3</v>
      </c>
      <c r="Y14" s="117">
        <v>2</v>
      </c>
      <c r="Z14" s="117">
        <v>2</v>
      </c>
      <c r="AA14" s="117">
        <v>3</v>
      </c>
      <c r="AC14" s="119" t="s">
        <v>480</v>
      </c>
      <c r="AD14" s="382" t="s">
        <v>14</v>
      </c>
      <c r="AF14" s="372"/>
    </row>
    <row r="15" spans="1:32" ht="22.5" customHeight="1" x14ac:dyDescent="0.3">
      <c r="A15" s="377" t="s">
        <v>481</v>
      </c>
      <c r="B15" s="117">
        <v>1</v>
      </c>
      <c r="C15" s="117">
        <v>1</v>
      </c>
      <c r="D15" s="117">
        <v>2</v>
      </c>
      <c r="E15" s="117">
        <v>2</v>
      </c>
      <c r="F15" s="117">
        <v>1</v>
      </c>
      <c r="G15" s="117">
        <v>3</v>
      </c>
      <c r="H15" s="117">
        <v>1</v>
      </c>
      <c r="I15" s="117">
        <v>1</v>
      </c>
      <c r="J15" s="117">
        <v>1</v>
      </c>
      <c r="K15" s="117">
        <v>3</v>
      </c>
      <c r="L15" s="117">
        <v>1</v>
      </c>
      <c r="M15" s="117">
        <v>1</v>
      </c>
      <c r="N15" s="117">
        <v>2</v>
      </c>
      <c r="O15" s="117">
        <v>2</v>
      </c>
      <c r="P15" s="117">
        <v>2</v>
      </c>
      <c r="Q15" s="117">
        <v>2</v>
      </c>
      <c r="R15" s="117">
        <v>1</v>
      </c>
      <c r="S15" s="117">
        <v>1</v>
      </c>
      <c r="T15" s="117">
        <v>2</v>
      </c>
      <c r="U15" s="117">
        <v>2</v>
      </c>
      <c r="V15" s="124"/>
      <c r="W15" s="117">
        <v>2</v>
      </c>
      <c r="X15" s="117">
        <v>3</v>
      </c>
      <c r="Y15" s="117">
        <v>2</v>
      </c>
      <c r="Z15" s="117">
        <v>2</v>
      </c>
      <c r="AA15" s="117">
        <v>3</v>
      </c>
      <c r="AC15" s="119" t="s">
        <v>481</v>
      </c>
      <c r="AD15" s="382" t="s">
        <v>15</v>
      </c>
      <c r="AF15" s="372"/>
    </row>
    <row r="16" spans="1:32" ht="22.5" customHeight="1" x14ac:dyDescent="0.3">
      <c r="A16" s="373" t="s">
        <v>482</v>
      </c>
      <c r="B16" s="117">
        <v>1</v>
      </c>
      <c r="C16" s="117">
        <v>1</v>
      </c>
      <c r="D16" s="117">
        <v>2</v>
      </c>
      <c r="E16" s="117">
        <v>1</v>
      </c>
      <c r="F16" s="117">
        <v>1</v>
      </c>
      <c r="G16" s="117">
        <v>1</v>
      </c>
      <c r="H16" s="117">
        <v>1</v>
      </c>
      <c r="I16" s="117">
        <v>1</v>
      </c>
      <c r="J16" s="117">
        <v>1</v>
      </c>
      <c r="K16" s="117">
        <v>3</v>
      </c>
      <c r="L16" s="117">
        <v>1</v>
      </c>
      <c r="M16" s="117">
        <v>1</v>
      </c>
      <c r="N16" s="117">
        <v>2</v>
      </c>
      <c r="O16" s="117">
        <v>2</v>
      </c>
      <c r="P16" s="117">
        <v>2</v>
      </c>
      <c r="Q16" s="117">
        <v>2</v>
      </c>
      <c r="R16" s="117">
        <v>1</v>
      </c>
      <c r="S16" s="117">
        <v>1</v>
      </c>
      <c r="T16" s="117">
        <v>2</v>
      </c>
      <c r="U16" s="117">
        <v>2</v>
      </c>
      <c r="V16" s="124"/>
      <c r="W16" s="117">
        <v>2</v>
      </c>
      <c r="X16" s="117">
        <v>3</v>
      </c>
      <c r="Y16" s="117">
        <v>2</v>
      </c>
      <c r="Z16" s="117">
        <v>2</v>
      </c>
      <c r="AA16" s="117">
        <v>3</v>
      </c>
      <c r="AC16" s="119" t="s">
        <v>482</v>
      </c>
      <c r="AD16" s="382" t="s">
        <v>16</v>
      </c>
      <c r="AF16" s="372"/>
    </row>
    <row r="17" spans="1:32" ht="22.5" customHeight="1" x14ac:dyDescent="0.3">
      <c r="A17" s="377" t="s">
        <v>483</v>
      </c>
      <c r="B17" s="117">
        <v>1</v>
      </c>
      <c r="C17" s="117">
        <v>1</v>
      </c>
      <c r="D17" s="117">
        <v>2</v>
      </c>
      <c r="E17" s="117">
        <v>2</v>
      </c>
      <c r="F17" s="117">
        <v>1</v>
      </c>
      <c r="G17" s="117">
        <v>2</v>
      </c>
      <c r="H17" s="117">
        <v>3</v>
      </c>
      <c r="I17" s="117">
        <v>3</v>
      </c>
      <c r="J17" s="117">
        <v>1</v>
      </c>
      <c r="K17" s="117">
        <v>3</v>
      </c>
      <c r="L17" s="117">
        <v>1</v>
      </c>
      <c r="M17" s="117">
        <v>1</v>
      </c>
      <c r="N17" s="117">
        <v>2</v>
      </c>
      <c r="O17" s="117">
        <v>2</v>
      </c>
      <c r="P17" s="117">
        <v>2</v>
      </c>
      <c r="Q17" s="117">
        <v>2</v>
      </c>
      <c r="R17" s="117">
        <v>1</v>
      </c>
      <c r="S17" s="117">
        <v>1</v>
      </c>
      <c r="T17" s="117">
        <v>2</v>
      </c>
      <c r="U17" s="117">
        <v>2</v>
      </c>
      <c r="V17" s="124"/>
      <c r="W17" s="117">
        <v>2</v>
      </c>
      <c r="X17" s="117">
        <v>2</v>
      </c>
      <c r="Y17" s="117">
        <v>2</v>
      </c>
      <c r="Z17" s="117">
        <v>2</v>
      </c>
      <c r="AA17" s="117">
        <v>2</v>
      </c>
      <c r="AC17" s="119" t="s">
        <v>483</v>
      </c>
      <c r="AD17" s="382" t="s">
        <v>17</v>
      </c>
      <c r="AF17" s="372"/>
    </row>
    <row r="18" spans="1:32" ht="22.5" customHeight="1" x14ac:dyDescent="0.3">
      <c r="A18" s="373" t="s">
        <v>484</v>
      </c>
      <c r="B18" s="117">
        <v>1</v>
      </c>
      <c r="C18" s="117">
        <v>1</v>
      </c>
      <c r="D18" s="117">
        <v>2</v>
      </c>
      <c r="E18" s="117">
        <v>3</v>
      </c>
      <c r="F18" s="117">
        <v>1</v>
      </c>
      <c r="G18" s="117">
        <v>3</v>
      </c>
      <c r="H18" s="117">
        <v>3</v>
      </c>
      <c r="I18" s="117">
        <v>3</v>
      </c>
      <c r="J18" s="117">
        <v>1</v>
      </c>
      <c r="K18" s="117">
        <v>3</v>
      </c>
      <c r="L18" s="117">
        <v>1</v>
      </c>
      <c r="M18" s="117">
        <v>1</v>
      </c>
      <c r="N18" s="117">
        <v>2</v>
      </c>
      <c r="O18" s="117">
        <v>2</v>
      </c>
      <c r="P18" s="117">
        <v>2</v>
      </c>
      <c r="Q18" s="117">
        <v>2</v>
      </c>
      <c r="R18" s="117">
        <v>1</v>
      </c>
      <c r="S18" s="117">
        <v>1</v>
      </c>
      <c r="T18" s="117">
        <v>2</v>
      </c>
      <c r="U18" s="117">
        <v>2</v>
      </c>
      <c r="V18" s="124"/>
      <c r="W18" s="117">
        <v>2</v>
      </c>
      <c r="X18" s="117">
        <v>2</v>
      </c>
      <c r="Y18" s="117">
        <v>2</v>
      </c>
      <c r="Z18" s="117">
        <v>2</v>
      </c>
      <c r="AA18" s="117">
        <v>2</v>
      </c>
      <c r="AC18" s="119" t="s">
        <v>484</v>
      </c>
      <c r="AD18" s="382" t="s">
        <v>18</v>
      </c>
      <c r="AF18" s="372"/>
    </row>
    <row r="19" spans="1:32" ht="22.5" customHeight="1" x14ac:dyDescent="0.3">
      <c r="A19" s="377" t="s">
        <v>485</v>
      </c>
      <c r="B19" s="117">
        <v>1</v>
      </c>
      <c r="C19" s="117">
        <v>1</v>
      </c>
      <c r="D19" s="117">
        <v>1</v>
      </c>
      <c r="E19" s="117">
        <v>1</v>
      </c>
      <c r="F19" s="117">
        <v>1</v>
      </c>
      <c r="G19" s="117">
        <v>1</v>
      </c>
      <c r="H19" s="117">
        <v>1</v>
      </c>
      <c r="I19" s="117">
        <v>1</v>
      </c>
      <c r="J19" s="117">
        <v>1</v>
      </c>
      <c r="K19" s="117">
        <v>1</v>
      </c>
      <c r="L19" s="117">
        <v>1</v>
      </c>
      <c r="M19" s="117">
        <v>1</v>
      </c>
      <c r="N19" s="117">
        <v>1</v>
      </c>
      <c r="O19" s="117">
        <v>1</v>
      </c>
      <c r="P19" s="117">
        <v>1</v>
      </c>
      <c r="Q19" s="117">
        <v>1</v>
      </c>
      <c r="R19" s="117">
        <v>2</v>
      </c>
      <c r="S19" s="117">
        <v>1</v>
      </c>
      <c r="T19" s="117">
        <v>1</v>
      </c>
      <c r="U19" s="117">
        <v>1</v>
      </c>
      <c r="V19" s="124"/>
      <c r="W19" s="117">
        <v>1</v>
      </c>
      <c r="X19" s="117">
        <v>1</v>
      </c>
      <c r="Y19" s="117">
        <v>1</v>
      </c>
      <c r="Z19" s="117">
        <v>1</v>
      </c>
      <c r="AA19" s="117">
        <v>1</v>
      </c>
      <c r="AC19" s="119" t="s">
        <v>485</v>
      </c>
      <c r="AD19" s="382" t="s">
        <v>19</v>
      </c>
      <c r="AF19" s="372"/>
    </row>
    <row r="20" spans="1:32" ht="22.5" customHeight="1" x14ac:dyDescent="0.3">
      <c r="A20" s="373" t="s">
        <v>486</v>
      </c>
      <c r="B20" s="117">
        <v>1</v>
      </c>
      <c r="C20" s="117">
        <v>1</v>
      </c>
      <c r="D20" s="117">
        <v>1</v>
      </c>
      <c r="E20" s="117">
        <v>1</v>
      </c>
      <c r="F20" s="117">
        <v>1</v>
      </c>
      <c r="G20" s="117">
        <v>1</v>
      </c>
      <c r="H20" s="117">
        <v>1</v>
      </c>
      <c r="I20" s="117">
        <v>1</v>
      </c>
      <c r="J20" s="117">
        <v>1</v>
      </c>
      <c r="K20" s="117">
        <v>1</v>
      </c>
      <c r="L20" s="117">
        <v>1</v>
      </c>
      <c r="M20" s="117">
        <v>1</v>
      </c>
      <c r="N20" s="117">
        <v>1</v>
      </c>
      <c r="O20" s="117">
        <v>1</v>
      </c>
      <c r="P20" s="117">
        <v>1</v>
      </c>
      <c r="Q20" s="117">
        <v>1</v>
      </c>
      <c r="R20" s="117">
        <v>1</v>
      </c>
      <c r="S20" s="117">
        <v>3</v>
      </c>
      <c r="T20" s="117">
        <v>1</v>
      </c>
      <c r="U20" s="117">
        <v>1</v>
      </c>
      <c r="V20" s="124"/>
      <c r="W20" s="117">
        <v>1</v>
      </c>
      <c r="X20" s="117">
        <v>1</v>
      </c>
      <c r="Y20" s="117">
        <v>1</v>
      </c>
      <c r="Z20" s="117">
        <v>1</v>
      </c>
      <c r="AA20" s="117">
        <v>1</v>
      </c>
      <c r="AC20" s="119" t="s">
        <v>486</v>
      </c>
      <c r="AD20" s="382" t="s">
        <v>20</v>
      </c>
      <c r="AF20" s="372"/>
    </row>
    <row r="21" spans="1:32" ht="22.5" customHeight="1" x14ac:dyDescent="0.3">
      <c r="A21" s="377" t="s">
        <v>487</v>
      </c>
      <c r="B21" s="117">
        <v>1</v>
      </c>
      <c r="C21" s="117">
        <v>3</v>
      </c>
      <c r="D21" s="117">
        <v>2</v>
      </c>
      <c r="E21" s="117">
        <v>2</v>
      </c>
      <c r="F21" s="117">
        <v>3</v>
      </c>
      <c r="G21" s="117">
        <v>2</v>
      </c>
      <c r="H21" s="117">
        <v>3</v>
      </c>
      <c r="I21" s="117">
        <v>3</v>
      </c>
      <c r="J21" s="117">
        <v>1</v>
      </c>
      <c r="K21" s="117">
        <v>1</v>
      </c>
      <c r="L21" s="117">
        <v>3</v>
      </c>
      <c r="M21" s="117">
        <v>1</v>
      </c>
      <c r="N21" s="117">
        <v>2</v>
      </c>
      <c r="O21" s="117">
        <v>2</v>
      </c>
      <c r="P21" s="117">
        <v>2</v>
      </c>
      <c r="Q21" s="117">
        <v>2</v>
      </c>
      <c r="R21" s="117">
        <v>1</v>
      </c>
      <c r="S21" s="117">
        <v>1</v>
      </c>
      <c r="T21" s="117">
        <v>2</v>
      </c>
      <c r="U21" s="117">
        <v>2</v>
      </c>
      <c r="V21" s="124"/>
      <c r="W21" s="117">
        <v>2</v>
      </c>
      <c r="X21" s="117">
        <v>2</v>
      </c>
      <c r="Y21" s="117">
        <v>2</v>
      </c>
      <c r="Z21" s="117">
        <v>2</v>
      </c>
      <c r="AA21" s="117">
        <v>2</v>
      </c>
      <c r="AC21" s="119" t="s">
        <v>487</v>
      </c>
      <c r="AD21" s="382" t="s">
        <v>28</v>
      </c>
      <c r="AF21" s="372"/>
    </row>
    <row r="22" spans="1:32" ht="22.5" customHeight="1" x14ac:dyDescent="0.3">
      <c r="A22" s="373" t="s">
        <v>488</v>
      </c>
      <c r="B22" s="117">
        <v>1</v>
      </c>
      <c r="C22" s="117">
        <v>2</v>
      </c>
      <c r="D22" s="117">
        <v>2</v>
      </c>
      <c r="E22" s="117">
        <v>2</v>
      </c>
      <c r="F22" s="117">
        <v>3</v>
      </c>
      <c r="G22" s="117">
        <v>2</v>
      </c>
      <c r="H22" s="117">
        <v>3</v>
      </c>
      <c r="I22" s="117">
        <v>3</v>
      </c>
      <c r="J22" s="117">
        <v>1</v>
      </c>
      <c r="K22" s="117">
        <v>1</v>
      </c>
      <c r="L22" s="117">
        <v>3</v>
      </c>
      <c r="M22" s="117">
        <v>1</v>
      </c>
      <c r="N22" s="117">
        <v>2</v>
      </c>
      <c r="O22" s="117">
        <v>2</v>
      </c>
      <c r="P22" s="117">
        <v>2</v>
      </c>
      <c r="Q22" s="117">
        <v>2</v>
      </c>
      <c r="R22" s="117">
        <v>1</v>
      </c>
      <c r="S22" s="117">
        <v>1</v>
      </c>
      <c r="T22" s="117">
        <v>2</v>
      </c>
      <c r="U22" s="117">
        <v>2</v>
      </c>
      <c r="V22" s="124"/>
      <c r="W22" s="117">
        <v>2</v>
      </c>
      <c r="X22" s="117">
        <v>2</v>
      </c>
      <c r="Y22" s="117">
        <v>2</v>
      </c>
      <c r="Z22" s="117">
        <v>2</v>
      </c>
      <c r="AA22" s="117">
        <v>2</v>
      </c>
      <c r="AC22" s="119" t="s">
        <v>488</v>
      </c>
      <c r="AD22" s="382" t="s">
        <v>21</v>
      </c>
      <c r="AF22" s="372"/>
    </row>
    <row r="23" spans="1:32" ht="22.5" customHeight="1" x14ac:dyDescent="0.3">
      <c r="A23" s="377" t="s">
        <v>489</v>
      </c>
      <c r="B23" s="126"/>
      <c r="C23" s="127"/>
      <c r="D23" s="127"/>
      <c r="E23" s="127"/>
      <c r="F23" s="127"/>
      <c r="G23" s="127"/>
      <c r="H23" s="127"/>
      <c r="I23" s="127"/>
      <c r="J23" s="127"/>
      <c r="K23" s="127"/>
      <c r="L23" s="127"/>
      <c r="M23" s="127"/>
      <c r="N23" s="127"/>
      <c r="O23" s="127"/>
      <c r="P23" s="127"/>
      <c r="Q23" s="127"/>
      <c r="R23" s="127"/>
      <c r="S23" s="127"/>
      <c r="T23" s="127"/>
      <c r="U23" s="127"/>
      <c r="V23" s="129"/>
      <c r="W23" s="127"/>
      <c r="X23" s="127"/>
      <c r="Y23" s="127"/>
      <c r="Z23" s="127"/>
      <c r="AA23" s="128"/>
      <c r="AC23" s="119" t="s">
        <v>489</v>
      </c>
      <c r="AD23" s="382" t="s">
        <v>22</v>
      </c>
      <c r="AF23" s="372"/>
    </row>
    <row r="24" spans="1:32" ht="22.5" customHeight="1" x14ac:dyDescent="0.3">
      <c r="A24" s="373" t="s">
        <v>490</v>
      </c>
      <c r="B24" s="117">
        <v>1</v>
      </c>
      <c r="C24" s="117">
        <v>1</v>
      </c>
      <c r="D24" s="117">
        <v>2</v>
      </c>
      <c r="E24" s="117">
        <v>2</v>
      </c>
      <c r="F24" s="117">
        <v>3</v>
      </c>
      <c r="G24" s="117">
        <v>2</v>
      </c>
      <c r="H24" s="117">
        <v>3</v>
      </c>
      <c r="I24" s="117">
        <v>3</v>
      </c>
      <c r="J24" s="117">
        <v>1</v>
      </c>
      <c r="K24" s="117">
        <v>1</v>
      </c>
      <c r="L24" s="117">
        <v>3</v>
      </c>
      <c r="M24" s="117">
        <v>3</v>
      </c>
      <c r="N24" s="117">
        <v>2</v>
      </c>
      <c r="O24" s="117">
        <v>2</v>
      </c>
      <c r="P24" s="117">
        <v>2</v>
      </c>
      <c r="Q24" s="117">
        <v>2</v>
      </c>
      <c r="R24" s="117">
        <v>1</v>
      </c>
      <c r="S24" s="117">
        <v>1</v>
      </c>
      <c r="T24" s="117">
        <v>2</v>
      </c>
      <c r="U24" s="117">
        <v>2</v>
      </c>
      <c r="V24" s="124"/>
      <c r="W24" s="117">
        <v>2</v>
      </c>
      <c r="X24" s="117">
        <v>2</v>
      </c>
      <c r="Y24" s="117">
        <v>2</v>
      </c>
      <c r="Z24" s="117">
        <v>2</v>
      </c>
      <c r="AA24" s="117">
        <v>2</v>
      </c>
      <c r="AC24" s="119" t="s">
        <v>490</v>
      </c>
      <c r="AD24" s="382" t="s">
        <v>23</v>
      </c>
      <c r="AF24" s="372"/>
    </row>
    <row r="25" spans="1:32" ht="22.5" customHeight="1" x14ac:dyDescent="0.3">
      <c r="A25" s="377" t="s">
        <v>491</v>
      </c>
      <c r="B25" s="117">
        <v>1</v>
      </c>
      <c r="C25" s="117">
        <v>3</v>
      </c>
      <c r="D25" s="117">
        <v>2</v>
      </c>
      <c r="E25" s="117">
        <v>3</v>
      </c>
      <c r="F25" s="117">
        <v>3</v>
      </c>
      <c r="G25" s="117">
        <v>2</v>
      </c>
      <c r="H25" s="117">
        <v>3</v>
      </c>
      <c r="I25" s="117">
        <v>3</v>
      </c>
      <c r="J25" s="117">
        <v>1</v>
      </c>
      <c r="K25" s="117">
        <v>1</v>
      </c>
      <c r="L25" s="117">
        <v>3</v>
      </c>
      <c r="M25" s="117">
        <v>3</v>
      </c>
      <c r="N25" s="117">
        <v>3</v>
      </c>
      <c r="O25" s="117">
        <v>3</v>
      </c>
      <c r="P25" s="117">
        <v>2</v>
      </c>
      <c r="Q25" s="117">
        <v>2</v>
      </c>
      <c r="R25" s="117">
        <v>1</v>
      </c>
      <c r="S25" s="117">
        <v>1</v>
      </c>
      <c r="T25" s="117">
        <v>2</v>
      </c>
      <c r="U25" s="117">
        <v>2</v>
      </c>
      <c r="V25" s="124"/>
      <c r="W25" s="117">
        <v>2</v>
      </c>
      <c r="X25" s="117">
        <v>2</v>
      </c>
      <c r="Y25" s="117">
        <v>2</v>
      </c>
      <c r="Z25" s="117">
        <v>2</v>
      </c>
      <c r="AA25" s="117">
        <v>2</v>
      </c>
      <c r="AC25" s="119" t="s">
        <v>491</v>
      </c>
      <c r="AD25" s="382" t="s">
        <v>24</v>
      </c>
      <c r="AF25" s="372"/>
    </row>
    <row r="26" spans="1:32" ht="22.5" customHeight="1" x14ac:dyDescent="0.3">
      <c r="A26" s="373" t="s">
        <v>492</v>
      </c>
      <c r="B26" s="117">
        <v>1</v>
      </c>
      <c r="C26" s="117">
        <v>2</v>
      </c>
      <c r="D26" s="117">
        <v>2</v>
      </c>
      <c r="E26" s="117">
        <v>2</v>
      </c>
      <c r="F26" s="117">
        <v>3</v>
      </c>
      <c r="G26" s="117">
        <v>2</v>
      </c>
      <c r="H26" s="117">
        <v>2</v>
      </c>
      <c r="I26" s="117">
        <v>3</v>
      </c>
      <c r="J26" s="117">
        <v>2</v>
      </c>
      <c r="K26" s="117">
        <v>2</v>
      </c>
      <c r="L26" s="117">
        <v>3</v>
      </c>
      <c r="M26" s="117">
        <v>2</v>
      </c>
      <c r="N26" s="117">
        <v>2</v>
      </c>
      <c r="O26" s="117">
        <v>2</v>
      </c>
      <c r="P26" s="117">
        <v>2</v>
      </c>
      <c r="Q26" s="117">
        <v>2</v>
      </c>
      <c r="R26" s="117">
        <v>1</v>
      </c>
      <c r="S26" s="117">
        <v>1</v>
      </c>
      <c r="T26" s="117">
        <v>2</v>
      </c>
      <c r="U26" s="117">
        <v>2</v>
      </c>
      <c r="V26" s="124"/>
      <c r="W26" s="117">
        <v>2</v>
      </c>
      <c r="X26" s="117">
        <v>2</v>
      </c>
      <c r="Y26" s="117">
        <v>2</v>
      </c>
      <c r="Z26" s="117">
        <v>2</v>
      </c>
      <c r="AA26" s="117">
        <v>2</v>
      </c>
      <c r="AC26" s="119" t="s">
        <v>492</v>
      </c>
      <c r="AD26" s="382" t="s">
        <v>25</v>
      </c>
      <c r="AF26" s="372"/>
    </row>
    <row r="27" spans="1:32" ht="22.5" customHeight="1" x14ac:dyDescent="0.3">
      <c r="A27" s="377" t="s">
        <v>493</v>
      </c>
      <c r="B27" s="117">
        <v>1</v>
      </c>
      <c r="C27" s="117">
        <v>2</v>
      </c>
      <c r="D27" s="117">
        <v>2</v>
      </c>
      <c r="E27" s="117">
        <v>2</v>
      </c>
      <c r="F27" s="117">
        <v>3</v>
      </c>
      <c r="G27" s="117">
        <v>2</v>
      </c>
      <c r="H27" s="117">
        <v>2</v>
      </c>
      <c r="I27" s="117">
        <v>2</v>
      </c>
      <c r="J27" s="117">
        <v>2</v>
      </c>
      <c r="K27" s="117">
        <v>2</v>
      </c>
      <c r="L27" s="117">
        <v>3</v>
      </c>
      <c r="M27" s="117">
        <v>2</v>
      </c>
      <c r="N27" s="117">
        <v>2</v>
      </c>
      <c r="O27" s="117">
        <v>2</v>
      </c>
      <c r="P27" s="117">
        <v>2</v>
      </c>
      <c r="Q27" s="117">
        <v>2</v>
      </c>
      <c r="R27" s="117">
        <v>1</v>
      </c>
      <c r="S27" s="117">
        <v>1</v>
      </c>
      <c r="T27" s="117">
        <v>2</v>
      </c>
      <c r="U27" s="117">
        <v>2</v>
      </c>
      <c r="V27" s="124"/>
      <c r="W27" s="117">
        <v>2</v>
      </c>
      <c r="X27" s="117">
        <v>2</v>
      </c>
      <c r="Y27" s="117">
        <v>2</v>
      </c>
      <c r="Z27" s="117">
        <v>2</v>
      </c>
      <c r="AA27" s="117">
        <v>2</v>
      </c>
      <c r="AC27" s="119" t="s">
        <v>493</v>
      </c>
      <c r="AD27" s="382" t="s">
        <v>26</v>
      </c>
      <c r="AF27" s="372"/>
    </row>
    <row r="28" spans="1:32" ht="22.5" customHeight="1" x14ac:dyDescent="0.3">
      <c r="A28" s="379" t="s">
        <v>494</v>
      </c>
      <c r="B28" s="117">
        <v>1</v>
      </c>
      <c r="C28" s="117">
        <v>3</v>
      </c>
      <c r="D28" s="117">
        <v>2</v>
      </c>
      <c r="E28" s="117">
        <v>3</v>
      </c>
      <c r="F28" s="117">
        <v>3</v>
      </c>
      <c r="G28" s="117">
        <v>2</v>
      </c>
      <c r="H28" s="117">
        <v>3</v>
      </c>
      <c r="I28" s="117">
        <v>3</v>
      </c>
      <c r="J28" s="117">
        <v>1</v>
      </c>
      <c r="K28" s="117">
        <v>3</v>
      </c>
      <c r="L28" s="117">
        <v>3</v>
      </c>
      <c r="M28" s="117">
        <v>3</v>
      </c>
      <c r="N28" s="117">
        <v>3</v>
      </c>
      <c r="O28" s="117">
        <v>3</v>
      </c>
      <c r="P28" s="117">
        <v>2</v>
      </c>
      <c r="Q28" s="117">
        <v>2</v>
      </c>
      <c r="R28" s="117">
        <v>1</v>
      </c>
      <c r="S28" s="117">
        <v>1</v>
      </c>
      <c r="T28" s="117">
        <v>2</v>
      </c>
      <c r="U28" s="117">
        <v>2</v>
      </c>
      <c r="V28" s="125"/>
      <c r="W28" s="117">
        <v>2</v>
      </c>
      <c r="X28" s="117">
        <v>2</v>
      </c>
      <c r="Y28" s="117">
        <v>2</v>
      </c>
      <c r="Z28" s="117">
        <v>2</v>
      </c>
      <c r="AA28" s="117">
        <v>2</v>
      </c>
      <c r="AC28" s="119" t="s">
        <v>494</v>
      </c>
      <c r="AD28" s="382" t="s">
        <v>496</v>
      </c>
      <c r="AF28" s="372"/>
    </row>
  </sheetData>
  <mergeCells count="1">
    <mergeCell ref="AF2:AF3"/>
  </mergeCells>
  <conditionalFormatting sqref="B3:AA28">
    <cfRule type="cellIs" dxfId="2" priority="1" operator="equal">
      <formula>$AB$4</formula>
    </cfRule>
    <cfRule type="cellIs" dxfId="1" priority="2" operator="equal">
      <formula>$AB$3</formula>
    </cfRule>
    <cfRule type="cellIs" dxfId="0" priority="3" operator="equal">
      <formula>$AB$2</formula>
    </cfRule>
  </conditionalFormatting>
  <hyperlinks>
    <hyperlink ref="AF2" location="Gefahrstoffverzeichnis!A9" display="zurück" xr:uid="{224A540C-3EF2-488C-880A-9C4C14AB0A6E}"/>
    <hyperlink ref="AF2:AF3" location="Gefahrstoffverzeichnis!AU6" display="Û" xr:uid="{37054DF5-E01B-4B02-B619-1368A9282E38}"/>
  </hyperlinks>
  <pageMargins left="0.39370078740157483" right="0.39370078740157483" top="0.39370078740157483" bottom="0.39370078740157483" header="0.19685039370078741" footer="0.19685039370078741"/>
  <pageSetup paperSize="9" scale="68" pageOrder="overThenDown" orientation="landscape" r:id="rId1"/>
  <headerFooter>
    <oddFooter>&amp;L&amp;G&amp;R&amp;"Arial,Standard"&amp;9Seite &amp;P / &amp;N</oddFooter>
  </headerFooter>
  <colBreaks count="1" manualBreakCount="1">
    <brk id="30"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8"/>
  <dimension ref="A1:C120"/>
  <sheetViews>
    <sheetView showGridLines="0" zoomScaleNormal="100" workbookViewId="0">
      <selection activeCell="F19" sqref="F19"/>
    </sheetView>
  </sheetViews>
  <sheetFormatPr baseColWidth="10" defaultRowHeight="14.4" x14ac:dyDescent="0.3"/>
  <cols>
    <col min="1" max="1" width="17.5546875" style="150" bestFit="1" customWidth="1"/>
    <col min="2" max="2" width="137.6640625" style="150" bestFit="1" customWidth="1"/>
    <col min="3" max="3" width="11.44140625" style="388"/>
  </cols>
  <sheetData>
    <row r="1" spans="1:2" ht="22.5" customHeight="1" x14ac:dyDescent="0.3">
      <c r="A1" s="515" t="s">
        <v>33</v>
      </c>
      <c r="B1" s="516"/>
    </row>
    <row r="2" spans="1:2" x14ac:dyDescent="0.3">
      <c r="A2" s="149" t="s">
        <v>64</v>
      </c>
      <c r="B2" s="149" t="s">
        <v>65</v>
      </c>
    </row>
    <row r="3" spans="1:2" x14ac:dyDescent="0.3">
      <c r="A3" s="149" t="s">
        <v>34</v>
      </c>
      <c r="B3" s="149" t="s">
        <v>66</v>
      </c>
    </row>
    <row r="4" spans="1:2" x14ac:dyDescent="0.3">
      <c r="A4" s="149" t="s">
        <v>35</v>
      </c>
      <c r="B4" s="149" t="s">
        <v>67</v>
      </c>
    </row>
    <row r="5" spans="1:2" x14ac:dyDescent="0.3">
      <c r="A5" s="149" t="s">
        <v>36</v>
      </c>
      <c r="B5" s="149" t="s">
        <v>68</v>
      </c>
    </row>
    <row r="6" spans="1:2" x14ac:dyDescent="0.3">
      <c r="A6" s="149" t="s">
        <v>37</v>
      </c>
      <c r="B6" s="149" t="s">
        <v>69</v>
      </c>
    </row>
    <row r="7" spans="1:2" x14ac:dyDescent="0.3">
      <c r="A7" s="149" t="s">
        <v>38</v>
      </c>
      <c r="B7" s="149" t="s">
        <v>70</v>
      </c>
    </row>
    <row r="8" spans="1:2" x14ac:dyDescent="0.3">
      <c r="A8" s="149" t="s">
        <v>39</v>
      </c>
      <c r="B8" s="149" t="s">
        <v>71</v>
      </c>
    </row>
    <row r="9" spans="1:2" x14ac:dyDescent="0.3">
      <c r="A9" s="149" t="s">
        <v>40</v>
      </c>
      <c r="B9" s="149" t="s">
        <v>72</v>
      </c>
    </row>
    <row r="10" spans="1:2" x14ac:dyDescent="0.3">
      <c r="A10" s="149" t="s">
        <v>41</v>
      </c>
      <c r="B10" s="149" t="s">
        <v>73</v>
      </c>
    </row>
    <row r="11" spans="1:2" x14ac:dyDescent="0.3">
      <c r="A11" s="149" t="s">
        <v>42</v>
      </c>
      <c r="B11" s="149" t="s">
        <v>74</v>
      </c>
    </row>
    <row r="12" spans="1:2" x14ac:dyDescent="0.3">
      <c r="A12" s="149" t="s">
        <v>43</v>
      </c>
      <c r="B12" s="149" t="s">
        <v>75</v>
      </c>
    </row>
    <row r="13" spans="1:2" x14ac:dyDescent="0.3">
      <c r="A13" s="149" t="s">
        <v>44</v>
      </c>
      <c r="B13" s="149" t="s">
        <v>76</v>
      </c>
    </row>
    <row r="14" spans="1:2" x14ac:dyDescent="0.3">
      <c r="A14" s="149" t="s">
        <v>45</v>
      </c>
      <c r="B14" s="149" t="s">
        <v>77</v>
      </c>
    </row>
    <row r="15" spans="1:2" x14ac:dyDescent="0.3">
      <c r="A15" s="149" t="s">
        <v>46</v>
      </c>
      <c r="B15" s="149" t="s">
        <v>78</v>
      </c>
    </row>
    <row r="16" spans="1:2" x14ac:dyDescent="0.3">
      <c r="A16" s="149" t="s">
        <v>47</v>
      </c>
      <c r="B16" s="149" t="s">
        <v>79</v>
      </c>
    </row>
    <row r="17" spans="1:2" x14ac:dyDescent="0.3">
      <c r="A17" s="149" t="s">
        <v>48</v>
      </c>
      <c r="B17" s="149" t="s">
        <v>80</v>
      </c>
    </row>
    <row r="18" spans="1:2" x14ac:dyDescent="0.3">
      <c r="A18" s="149" t="s">
        <v>49</v>
      </c>
      <c r="B18" s="149" t="s">
        <v>81</v>
      </c>
    </row>
    <row r="19" spans="1:2" x14ac:dyDescent="0.3">
      <c r="A19" s="149" t="s">
        <v>50</v>
      </c>
      <c r="B19" s="149" t="s">
        <v>82</v>
      </c>
    </row>
    <row r="20" spans="1:2" x14ac:dyDescent="0.3">
      <c r="A20" s="149" t="s">
        <v>51</v>
      </c>
      <c r="B20" s="149" t="s">
        <v>83</v>
      </c>
    </row>
    <row r="21" spans="1:2" x14ac:dyDescent="0.3">
      <c r="A21" s="149" t="s">
        <v>52</v>
      </c>
      <c r="B21" s="149" t="s">
        <v>84</v>
      </c>
    </row>
    <row r="22" spans="1:2" x14ac:dyDescent="0.3">
      <c r="A22" s="149" t="s">
        <v>53</v>
      </c>
      <c r="B22" s="149" t="s">
        <v>85</v>
      </c>
    </row>
    <row r="23" spans="1:2" x14ac:dyDescent="0.3">
      <c r="A23" s="149" t="s">
        <v>54</v>
      </c>
      <c r="B23" s="149" t="s">
        <v>86</v>
      </c>
    </row>
    <row r="24" spans="1:2" x14ac:dyDescent="0.3">
      <c r="A24" s="149" t="s">
        <v>55</v>
      </c>
      <c r="B24" s="149" t="s">
        <v>87</v>
      </c>
    </row>
    <row r="25" spans="1:2" x14ac:dyDescent="0.3">
      <c r="A25" s="149" t="s">
        <v>56</v>
      </c>
      <c r="B25" s="149" t="s">
        <v>88</v>
      </c>
    </row>
    <row r="26" spans="1:2" x14ac:dyDescent="0.3">
      <c r="A26" s="149" t="s">
        <v>57</v>
      </c>
      <c r="B26" s="149" t="s">
        <v>89</v>
      </c>
    </row>
    <row r="27" spans="1:2" x14ac:dyDescent="0.3">
      <c r="A27" s="149" t="s">
        <v>58</v>
      </c>
      <c r="B27" s="149" t="s">
        <v>90</v>
      </c>
    </row>
    <row r="28" spans="1:2" x14ac:dyDescent="0.3">
      <c r="A28" s="149" t="s">
        <v>59</v>
      </c>
      <c r="B28" s="149" t="s">
        <v>91</v>
      </c>
    </row>
    <row r="29" spans="1:2" x14ac:dyDescent="0.3">
      <c r="A29" s="149" t="s">
        <v>60</v>
      </c>
      <c r="B29" s="149" t="s">
        <v>92</v>
      </c>
    </row>
    <row r="30" spans="1:2" x14ac:dyDescent="0.3">
      <c r="A30" s="149" t="s">
        <v>61</v>
      </c>
      <c r="B30" s="149" t="s">
        <v>93</v>
      </c>
    </row>
    <row r="31" spans="1:2" x14ac:dyDescent="0.3">
      <c r="A31" s="149" t="s">
        <v>62</v>
      </c>
      <c r="B31" s="149" t="s">
        <v>94</v>
      </c>
    </row>
    <row r="32" spans="1:2" x14ac:dyDescent="0.3">
      <c r="A32" s="149" t="s">
        <v>63</v>
      </c>
      <c r="B32" s="149" t="s">
        <v>95</v>
      </c>
    </row>
    <row r="34" spans="1:2" ht="22.5" customHeight="1" x14ac:dyDescent="0.3">
      <c r="A34" s="515" t="s">
        <v>96</v>
      </c>
      <c r="B34" s="516"/>
    </row>
    <row r="35" spans="1:2" x14ac:dyDescent="0.3">
      <c r="A35" s="149" t="s">
        <v>308</v>
      </c>
      <c r="B35" s="149" t="s">
        <v>337</v>
      </c>
    </row>
    <row r="36" spans="1:2" x14ac:dyDescent="0.3">
      <c r="A36" s="149" t="s">
        <v>309</v>
      </c>
      <c r="B36" s="149" t="s">
        <v>338</v>
      </c>
    </row>
    <row r="37" spans="1:2" x14ac:dyDescent="0.3">
      <c r="A37" s="149" t="s">
        <v>300</v>
      </c>
      <c r="B37" s="149" t="s">
        <v>339</v>
      </c>
    </row>
    <row r="38" spans="1:2" x14ac:dyDescent="0.3">
      <c r="A38" s="149" t="s">
        <v>306</v>
      </c>
      <c r="B38" s="149" t="s">
        <v>340</v>
      </c>
    </row>
    <row r="39" spans="1:2" x14ac:dyDescent="0.3">
      <c r="A39" s="149" t="s">
        <v>310</v>
      </c>
      <c r="B39" s="149" t="s">
        <v>341</v>
      </c>
    </row>
    <row r="40" spans="1:2" x14ac:dyDescent="0.3">
      <c r="A40" s="149" t="s">
        <v>311</v>
      </c>
      <c r="B40" s="149" t="s">
        <v>342</v>
      </c>
    </row>
    <row r="41" spans="1:2" x14ac:dyDescent="0.3">
      <c r="A41" s="149" t="s">
        <v>312</v>
      </c>
      <c r="B41" s="149" t="s">
        <v>343</v>
      </c>
    </row>
    <row r="42" spans="1:2" x14ac:dyDescent="0.3">
      <c r="A42" s="149" t="s">
        <v>313</v>
      </c>
      <c r="B42" s="149" t="s">
        <v>344</v>
      </c>
    </row>
    <row r="43" spans="1:2" x14ac:dyDescent="0.3">
      <c r="A43" s="149" t="s">
        <v>151</v>
      </c>
      <c r="B43" s="149" t="s">
        <v>345</v>
      </c>
    </row>
    <row r="44" spans="1:2" x14ac:dyDescent="0.3">
      <c r="A44" s="149" t="s">
        <v>294</v>
      </c>
      <c r="B44" s="149" t="s">
        <v>346</v>
      </c>
    </row>
    <row r="45" spans="1:2" x14ac:dyDescent="0.3">
      <c r="A45" s="149" t="s">
        <v>304</v>
      </c>
      <c r="B45" s="149" t="s">
        <v>347</v>
      </c>
    </row>
    <row r="46" spans="1:2" x14ac:dyDescent="0.3">
      <c r="A46" s="149" t="s">
        <v>299</v>
      </c>
      <c r="B46" s="149" t="s">
        <v>348</v>
      </c>
    </row>
    <row r="47" spans="1:2" x14ac:dyDescent="0.3">
      <c r="A47" s="149" t="s">
        <v>314</v>
      </c>
      <c r="B47" s="149" t="s">
        <v>349</v>
      </c>
    </row>
    <row r="48" spans="1:2" x14ac:dyDescent="0.3">
      <c r="A48" s="149" t="s">
        <v>315</v>
      </c>
      <c r="B48" s="149" t="s">
        <v>350</v>
      </c>
    </row>
    <row r="49" spans="1:3" x14ac:dyDescent="0.3">
      <c r="A49" s="149" t="s">
        <v>316</v>
      </c>
      <c r="B49" s="149" t="s">
        <v>351</v>
      </c>
    </row>
    <row r="50" spans="1:3" x14ac:dyDescent="0.3">
      <c r="A50" s="149" t="s">
        <v>317</v>
      </c>
      <c r="B50" s="149" t="s">
        <v>352</v>
      </c>
    </row>
    <row r="51" spans="1:3" x14ac:dyDescent="0.3">
      <c r="A51" s="149" t="s">
        <v>307</v>
      </c>
      <c r="B51" s="149" t="s">
        <v>353</v>
      </c>
    </row>
    <row r="52" spans="1:3" x14ac:dyDescent="0.3">
      <c r="A52" s="149" t="s">
        <v>197</v>
      </c>
      <c r="B52" s="149" t="s">
        <v>354</v>
      </c>
    </row>
    <row r="53" spans="1:3" x14ac:dyDescent="0.3">
      <c r="A53" s="149" t="s">
        <v>318</v>
      </c>
      <c r="B53" s="149" t="s">
        <v>422</v>
      </c>
      <c r="C53" s="388" t="s">
        <v>420</v>
      </c>
    </row>
    <row r="54" spans="1:3" x14ac:dyDescent="0.3">
      <c r="A54" s="149" t="s">
        <v>319</v>
      </c>
      <c r="B54" s="149" t="s">
        <v>423</v>
      </c>
      <c r="C54" s="388" t="s">
        <v>420</v>
      </c>
    </row>
    <row r="55" spans="1:3" x14ac:dyDescent="0.3">
      <c r="A55" s="149" t="s">
        <v>320</v>
      </c>
      <c r="B55" s="149" t="s">
        <v>424</v>
      </c>
      <c r="C55" s="388" t="s">
        <v>420</v>
      </c>
    </row>
    <row r="56" spans="1:3" x14ac:dyDescent="0.3">
      <c r="A56" s="149" t="s">
        <v>321</v>
      </c>
      <c r="B56" s="149" t="s">
        <v>355</v>
      </c>
    </row>
    <row r="57" spans="1:3" x14ac:dyDescent="0.3">
      <c r="A57" s="149" t="s">
        <v>322</v>
      </c>
      <c r="B57" s="149" t="s">
        <v>425</v>
      </c>
      <c r="C57" s="388" t="s">
        <v>420</v>
      </c>
    </row>
    <row r="58" spans="1:3" x14ac:dyDescent="0.3">
      <c r="A58" s="149" t="s">
        <v>323</v>
      </c>
      <c r="B58" s="149" t="s">
        <v>426</v>
      </c>
      <c r="C58" s="388" t="s">
        <v>421</v>
      </c>
    </row>
    <row r="59" spans="1:3" x14ac:dyDescent="0.3">
      <c r="A59" s="149" t="s">
        <v>324</v>
      </c>
      <c r="B59" s="149" t="s">
        <v>356</v>
      </c>
    </row>
    <row r="60" spans="1:3" x14ac:dyDescent="0.3">
      <c r="A60" s="149" t="s">
        <v>325</v>
      </c>
      <c r="B60" s="149" t="s">
        <v>357</v>
      </c>
    </row>
    <row r="61" spans="1:3" x14ac:dyDescent="0.3">
      <c r="A61" s="149" t="s">
        <v>326</v>
      </c>
      <c r="B61" s="149" t="s">
        <v>358</v>
      </c>
    </row>
    <row r="62" spans="1:3" x14ac:dyDescent="0.3">
      <c r="A62" s="149" t="s">
        <v>327</v>
      </c>
      <c r="B62" s="149" t="s">
        <v>359</v>
      </c>
    </row>
    <row r="63" spans="1:3" x14ac:dyDescent="0.3">
      <c r="A63" s="149" t="s">
        <v>303</v>
      </c>
      <c r="B63" s="149" t="s">
        <v>360</v>
      </c>
    </row>
    <row r="64" spans="1:3" x14ac:dyDescent="0.3">
      <c r="A64" s="149" t="s">
        <v>328</v>
      </c>
      <c r="B64" s="149" t="s">
        <v>427</v>
      </c>
      <c r="C64" s="388" t="s">
        <v>421</v>
      </c>
    </row>
    <row r="65" spans="1:3" x14ac:dyDescent="0.3">
      <c r="A65" s="149" t="s">
        <v>334</v>
      </c>
      <c r="B65" s="149" t="s">
        <v>361</v>
      </c>
    </row>
    <row r="66" spans="1:3" x14ac:dyDescent="0.3">
      <c r="A66" s="149" t="s">
        <v>335</v>
      </c>
      <c r="B66" s="149" t="s">
        <v>362</v>
      </c>
    </row>
    <row r="67" spans="1:3" x14ac:dyDescent="0.3">
      <c r="A67" s="149" t="s">
        <v>336</v>
      </c>
      <c r="B67" s="149" t="s">
        <v>363</v>
      </c>
    </row>
    <row r="68" spans="1:3" x14ac:dyDescent="0.3">
      <c r="A68" s="149" t="s">
        <v>329</v>
      </c>
      <c r="B68" s="149" t="s">
        <v>364</v>
      </c>
    </row>
    <row r="69" spans="1:3" x14ac:dyDescent="0.3">
      <c r="A69" s="149" t="s">
        <v>330</v>
      </c>
      <c r="B69" s="149" t="s">
        <v>428</v>
      </c>
      <c r="C69" s="388" t="s">
        <v>429</v>
      </c>
    </row>
    <row r="70" spans="1:3" x14ac:dyDescent="0.3">
      <c r="A70" s="149" t="s">
        <v>331</v>
      </c>
      <c r="B70" s="149" t="s">
        <v>430</v>
      </c>
      <c r="C70" s="388" t="s">
        <v>429</v>
      </c>
    </row>
    <row r="71" spans="1:3" x14ac:dyDescent="0.3">
      <c r="A71" s="149" t="s">
        <v>332</v>
      </c>
      <c r="B71" s="149" t="s">
        <v>431</v>
      </c>
      <c r="C71" s="388" t="s">
        <v>432</v>
      </c>
    </row>
    <row r="72" spans="1:3" x14ac:dyDescent="0.3">
      <c r="A72" s="149" t="s">
        <v>333</v>
      </c>
      <c r="B72" s="149" t="s">
        <v>7399</v>
      </c>
      <c r="C72" s="388" t="s">
        <v>432</v>
      </c>
    </row>
    <row r="73" spans="1:3" x14ac:dyDescent="0.3">
      <c r="A73" s="149" t="s">
        <v>433</v>
      </c>
      <c r="B73" s="149" t="s">
        <v>445</v>
      </c>
    </row>
    <row r="74" spans="1:3" x14ac:dyDescent="0.3">
      <c r="A74" s="149" t="s">
        <v>434</v>
      </c>
      <c r="B74" s="149" t="s">
        <v>446</v>
      </c>
    </row>
    <row r="75" spans="1:3" x14ac:dyDescent="0.3">
      <c r="A75" s="149" t="s">
        <v>435</v>
      </c>
      <c r="B75" s="149" t="s">
        <v>447</v>
      </c>
    </row>
    <row r="76" spans="1:3" x14ac:dyDescent="0.3">
      <c r="A76" s="149" t="s">
        <v>436</v>
      </c>
      <c r="B76" s="149" t="s">
        <v>448</v>
      </c>
    </row>
    <row r="77" spans="1:3" x14ac:dyDescent="0.3">
      <c r="A77" s="149" t="s">
        <v>437</v>
      </c>
      <c r="B77" s="149" t="s">
        <v>450</v>
      </c>
    </row>
    <row r="78" spans="1:3" x14ac:dyDescent="0.3">
      <c r="A78" s="149" t="s">
        <v>438</v>
      </c>
      <c r="B78" s="149" t="s">
        <v>449</v>
      </c>
    </row>
    <row r="79" spans="1:3" x14ac:dyDescent="0.3">
      <c r="A79" s="149" t="s">
        <v>439</v>
      </c>
      <c r="B79" s="149" t="s">
        <v>451</v>
      </c>
    </row>
    <row r="80" spans="1:3" x14ac:dyDescent="0.3">
      <c r="A80" s="149" t="s">
        <v>440</v>
      </c>
      <c r="B80" s="149" t="s">
        <v>452</v>
      </c>
    </row>
    <row r="81" spans="1:2" x14ac:dyDescent="0.3">
      <c r="A81" s="149" t="s">
        <v>441</v>
      </c>
      <c r="B81" s="149" t="s">
        <v>453</v>
      </c>
    </row>
    <row r="82" spans="1:2" x14ac:dyDescent="0.3">
      <c r="A82" s="149" t="s">
        <v>442</v>
      </c>
      <c r="B82" s="149" t="s">
        <v>454</v>
      </c>
    </row>
    <row r="83" spans="1:2" x14ac:dyDescent="0.3">
      <c r="A83" s="149" t="s">
        <v>443</v>
      </c>
      <c r="B83" s="149" t="s">
        <v>455</v>
      </c>
    </row>
    <row r="84" spans="1:2" x14ac:dyDescent="0.3">
      <c r="A84" s="149" t="s">
        <v>444</v>
      </c>
      <c r="B84" s="149" t="s">
        <v>456</v>
      </c>
    </row>
    <row r="86" spans="1:2" ht="22.5" customHeight="1" x14ac:dyDescent="0.3">
      <c r="A86" s="515" t="s">
        <v>116</v>
      </c>
      <c r="B86" s="516"/>
    </row>
    <row r="87" spans="1:2" x14ac:dyDescent="0.3">
      <c r="A87" s="149" t="s">
        <v>305</v>
      </c>
      <c r="B87" s="149" t="s">
        <v>367</v>
      </c>
    </row>
    <row r="88" spans="1:2" x14ac:dyDescent="0.3">
      <c r="A88" s="149" t="s">
        <v>302</v>
      </c>
      <c r="B88" s="149" t="s">
        <v>366</v>
      </c>
    </row>
    <row r="89" spans="1:2" x14ac:dyDescent="0.3">
      <c r="A89" s="149" t="s">
        <v>298</v>
      </c>
      <c r="B89" s="149" t="s">
        <v>368</v>
      </c>
    </row>
    <row r="90" spans="1:2" x14ac:dyDescent="0.3">
      <c r="A90" s="149" t="s">
        <v>196</v>
      </c>
      <c r="B90" s="149" t="s">
        <v>369</v>
      </c>
    </row>
    <row r="91" spans="1:2" x14ac:dyDescent="0.3">
      <c r="A91" s="149" t="s">
        <v>301</v>
      </c>
      <c r="B91" s="149" t="s">
        <v>370</v>
      </c>
    </row>
    <row r="92" spans="1:2" x14ac:dyDescent="0.3">
      <c r="A92" s="149" t="s">
        <v>365</v>
      </c>
      <c r="B92" s="149" t="s">
        <v>371</v>
      </c>
    </row>
    <row r="94" spans="1:2" ht="22.5" customHeight="1" x14ac:dyDescent="0.3">
      <c r="A94" s="515" t="s">
        <v>97</v>
      </c>
      <c r="B94" s="516"/>
    </row>
    <row r="95" spans="1:2" x14ac:dyDescent="0.3">
      <c r="A95" s="149" t="s">
        <v>372</v>
      </c>
      <c r="B95" s="149" t="s">
        <v>395</v>
      </c>
    </row>
    <row r="96" spans="1:2" x14ac:dyDescent="0.3">
      <c r="A96" s="149" t="s">
        <v>373</v>
      </c>
      <c r="B96" s="149" t="s">
        <v>394</v>
      </c>
    </row>
    <row r="97" spans="1:2" x14ac:dyDescent="0.3">
      <c r="A97" s="149" t="s">
        <v>374</v>
      </c>
      <c r="B97" s="149" t="s">
        <v>396</v>
      </c>
    </row>
    <row r="98" spans="1:2" x14ac:dyDescent="0.3">
      <c r="A98" s="149" t="s">
        <v>375</v>
      </c>
      <c r="B98" s="149" t="s">
        <v>397</v>
      </c>
    </row>
    <row r="99" spans="1:2" x14ac:dyDescent="0.3">
      <c r="A99" s="149" t="s">
        <v>376</v>
      </c>
      <c r="B99" s="149" t="s">
        <v>398</v>
      </c>
    </row>
    <row r="100" spans="1:2" x14ac:dyDescent="0.3">
      <c r="A100" s="149" t="s">
        <v>377</v>
      </c>
      <c r="B100" s="149" t="s">
        <v>399</v>
      </c>
    </row>
    <row r="101" spans="1:2" x14ac:dyDescent="0.3">
      <c r="A101" s="149" t="s">
        <v>378</v>
      </c>
      <c r="B101" s="149" t="s">
        <v>400</v>
      </c>
    </row>
    <row r="102" spans="1:2" x14ac:dyDescent="0.3">
      <c r="A102" s="149" t="s">
        <v>379</v>
      </c>
      <c r="B102" s="149" t="s">
        <v>401</v>
      </c>
    </row>
    <row r="103" spans="1:2" x14ac:dyDescent="0.3">
      <c r="A103" s="149" t="s">
        <v>380</v>
      </c>
      <c r="B103" s="149" t="s">
        <v>402</v>
      </c>
    </row>
    <row r="104" spans="1:2" x14ac:dyDescent="0.3">
      <c r="A104" s="149" t="s">
        <v>381</v>
      </c>
      <c r="B104" s="149" t="s">
        <v>7400</v>
      </c>
    </row>
    <row r="105" spans="1:2" x14ac:dyDescent="0.3">
      <c r="A105" s="149" t="s">
        <v>150</v>
      </c>
      <c r="B105" s="149" t="s">
        <v>403</v>
      </c>
    </row>
    <row r="106" spans="1:2" x14ac:dyDescent="0.3">
      <c r="A106" s="149" t="s">
        <v>382</v>
      </c>
      <c r="B106" s="149" t="s">
        <v>404</v>
      </c>
    </row>
    <row r="107" spans="1:2" x14ac:dyDescent="0.3">
      <c r="A107" s="149" t="s">
        <v>383</v>
      </c>
      <c r="B107" s="149" t="s">
        <v>405</v>
      </c>
    </row>
    <row r="108" spans="1:2" x14ac:dyDescent="0.3">
      <c r="A108" s="149" t="s">
        <v>384</v>
      </c>
      <c r="B108" s="149" t="s">
        <v>406</v>
      </c>
    </row>
    <row r="109" spans="1:2" x14ac:dyDescent="0.3">
      <c r="A109" s="149" t="s">
        <v>385</v>
      </c>
      <c r="B109" s="149" t="s">
        <v>407</v>
      </c>
    </row>
    <row r="110" spans="1:2" x14ac:dyDescent="0.3">
      <c r="A110" s="149" t="s">
        <v>386</v>
      </c>
      <c r="B110" s="149" t="s">
        <v>408</v>
      </c>
    </row>
    <row r="111" spans="1:2" x14ac:dyDescent="0.3">
      <c r="A111" s="149" t="s">
        <v>387</v>
      </c>
      <c r="B111" s="149" t="s">
        <v>409</v>
      </c>
    </row>
    <row r="112" spans="1:2" x14ac:dyDescent="0.3">
      <c r="A112" s="149" t="s">
        <v>194</v>
      </c>
      <c r="B112" s="149" t="s">
        <v>410</v>
      </c>
    </row>
    <row r="113" spans="1:2" x14ac:dyDescent="0.3">
      <c r="A113" s="149" t="s">
        <v>388</v>
      </c>
      <c r="B113" s="149" t="s">
        <v>411</v>
      </c>
    </row>
    <row r="114" spans="1:2" x14ac:dyDescent="0.3">
      <c r="A114" s="149" t="s">
        <v>389</v>
      </c>
      <c r="B114" s="149" t="s">
        <v>412</v>
      </c>
    </row>
    <row r="115" spans="1:2" x14ac:dyDescent="0.3">
      <c r="A115" s="149" t="s">
        <v>390</v>
      </c>
      <c r="B115" s="149" t="s">
        <v>413</v>
      </c>
    </row>
    <row r="116" spans="1:2" x14ac:dyDescent="0.3">
      <c r="A116" s="149" t="s">
        <v>195</v>
      </c>
      <c r="B116" s="149" t="s">
        <v>414</v>
      </c>
    </row>
    <row r="117" spans="1:2" x14ac:dyDescent="0.3">
      <c r="A117" s="149" t="s">
        <v>391</v>
      </c>
      <c r="B117" s="149" t="s">
        <v>415</v>
      </c>
    </row>
    <row r="118" spans="1:2" x14ac:dyDescent="0.3">
      <c r="A118" s="149" t="s">
        <v>392</v>
      </c>
      <c r="B118" s="149" t="s">
        <v>416</v>
      </c>
    </row>
    <row r="119" spans="1:2" x14ac:dyDescent="0.3">
      <c r="A119" s="149" t="s">
        <v>192</v>
      </c>
      <c r="B119" s="149" t="s">
        <v>417</v>
      </c>
    </row>
    <row r="120" spans="1:2" x14ac:dyDescent="0.3">
      <c r="A120" s="149" t="s">
        <v>393</v>
      </c>
      <c r="B120" s="149" t="s">
        <v>418</v>
      </c>
    </row>
  </sheetData>
  <mergeCells count="4">
    <mergeCell ref="A34:B34"/>
    <mergeCell ref="A86:B86"/>
    <mergeCell ref="A94:B94"/>
    <mergeCell ref="A1:B1"/>
  </mergeCells>
  <pageMargins left="0.39370078740157483" right="0.39370078740157483" top="0.39370078740157483" bottom="0.39370078740157483" header="0.19685039370078741" footer="0.19685039370078741"/>
  <pageSetup paperSize="9" scale="68" pageOrder="overThenDown" orientation="landscape" verticalDpi="1200" r:id="rId1"/>
  <headerFooter>
    <oddFooter>&amp;L&amp;G&amp;R&amp;"Arial,Standard"&amp;9Seite &amp;P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3"/>
  <dimension ref="A1:U155"/>
  <sheetViews>
    <sheetView showGridLines="0" zoomScaleNormal="100" zoomScaleSheetLayoutView="80" workbookViewId="0">
      <selection activeCell="F19" sqref="F19"/>
    </sheetView>
  </sheetViews>
  <sheetFormatPr baseColWidth="10" defaultColWidth="11.44140625" defaultRowHeight="13.2" x14ac:dyDescent="0.25"/>
  <cols>
    <col min="1" max="1" width="18.109375" style="148" bestFit="1" customWidth="1"/>
    <col min="2" max="2" width="128.6640625" style="148" bestFit="1" customWidth="1"/>
    <col min="3" max="3" width="11.44140625" style="388"/>
    <col min="4" max="16384" width="11.44140625" style="4"/>
  </cols>
  <sheetData>
    <row r="1" spans="1:3" ht="22.5" customHeight="1" x14ac:dyDescent="0.25">
      <c r="A1" s="517" t="s">
        <v>98</v>
      </c>
      <c r="B1" s="517"/>
    </row>
    <row r="2" spans="1:3" ht="15" customHeight="1" x14ac:dyDescent="0.25">
      <c r="A2" s="149" t="s">
        <v>534</v>
      </c>
      <c r="B2" s="149" t="s">
        <v>537</v>
      </c>
    </row>
    <row r="3" spans="1:3" ht="15" customHeight="1" x14ac:dyDescent="0.25">
      <c r="A3" s="149" t="s">
        <v>535</v>
      </c>
      <c r="B3" s="149" t="s">
        <v>538</v>
      </c>
    </row>
    <row r="4" spans="1:3" ht="15" customHeight="1" x14ac:dyDescent="0.25">
      <c r="A4" s="149" t="s">
        <v>536</v>
      </c>
      <c r="B4" s="149" t="s">
        <v>539</v>
      </c>
    </row>
    <row r="5" spans="1:3" ht="15" customHeight="1" x14ac:dyDescent="0.25">
      <c r="A5" s="151"/>
      <c r="B5" s="152"/>
    </row>
    <row r="6" spans="1:3" ht="22.5" customHeight="1" x14ac:dyDescent="0.25">
      <c r="A6" s="517" t="s">
        <v>99</v>
      </c>
      <c r="B6" s="517"/>
    </row>
    <row r="7" spans="1:3" ht="15" customHeight="1" x14ac:dyDescent="0.25">
      <c r="A7" s="149" t="s">
        <v>540</v>
      </c>
      <c r="B7" s="149" t="s">
        <v>630</v>
      </c>
    </row>
    <row r="8" spans="1:3" ht="15" customHeight="1" x14ac:dyDescent="0.25">
      <c r="A8" s="149" t="s">
        <v>541</v>
      </c>
      <c r="B8" s="149" t="s">
        <v>631</v>
      </c>
    </row>
    <row r="9" spans="1:3" ht="15" customHeight="1" x14ac:dyDescent="0.25">
      <c r="A9" s="149" t="s">
        <v>542</v>
      </c>
      <c r="B9" s="149" t="s">
        <v>632</v>
      </c>
    </row>
    <row r="10" spans="1:3" ht="15" customHeight="1" x14ac:dyDescent="0.25">
      <c r="A10" s="149" t="s">
        <v>543</v>
      </c>
      <c r="B10" s="149" t="s">
        <v>633</v>
      </c>
    </row>
    <row r="11" spans="1:3" ht="15" customHeight="1" x14ac:dyDescent="0.25">
      <c r="A11" s="149" t="s">
        <v>544</v>
      </c>
      <c r="B11" s="149" t="s">
        <v>770</v>
      </c>
      <c r="C11" s="389" t="s">
        <v>762</v>
      </c>
    </row>
    <row r="12" spans="1:3" ht="15" customHeight="1" x14ac:dyDescent="0.25">
      <c r="A12" s="149" t="s">
        <v>545</v>
      </c>
      <c r="B12" s="149" t="s">
        <v>771</v>
      </c>
      <c r="C12" s="389" t="s">
        <v>762</v>
      </c>
    </row>
    <row r="13" spans="1:3" ht="15" customHeight="1" x14ac:dyDescent="0.25">
      <c r="A13" s="149" t="s">
        <v>546</v>
      </c>
      <c r="B13" s="149" t="s">
        <v>634</v>
      </c>
    </row>
    <row r="14" spans="1:3" ht="15" customHeight="1" x14ac:dyDescent="0.25">
      <c r="A14" s="149" t="s">
        <v>547</v>
      </c>
      <c r="B14" s="149" t="s">
        <v>772</v>
      </c>
    </row>
    <row r="15" spans="1:3" ht="15" customHeight="1" x14ac:dyDescent="0.25">
      <c r="A15" s="149" t="s">
        <v>548</v>
      </c>
      <c r="B15" s="149" t="s">
        <v>773</v>
      </c>
      <c r="C15" s="389" t="s">
        <v>762</v>
      </c>
    </row>
    <row r="16" spans="1:3" ht="15" customHeight="1" x14ac:dyDescent="0.25">
      <c r="A16" s="149" t="s">
        <v>549</v>
      </c>
      <c r="B16" s="149" t="s">
        <v>635</v>
      </c>
    </row>
    <row r="17" spans="1:21" ht="15" customHeight="1" x14ac:dyDescent="0.25">
      <c r="A17" s="149" t="s">
        <v>550</v>
      </c>
      <c r="B17" s="149" t="s">
        <v>636</v>
      </c>
    </row>
    <row r="18" spans="1:21" ht="15" customHeight="1" x14ac:dyDescent="0.25">
      <c r="A18" s="149" t="s">
        <v>551</v>
      </c>
      <c r="B18" s="149" t="s">
        <v>637</v>
      </c>
    </row>
    <row r="19" spans="1:21" ht="15" customHeight="1" x14ac:dyDescent="0.25">
      <c r="A19" s="149" t="s">
        <v>552</v>
      </c>
      <c r="B19" s="149" t="s">
        <v>638</v>
      </c>
    </row>
    <row r="20" spans="1:21" ht="15" customHeight="1" x14ac:dyDescent="0.25">
      <c r="A20" s="149" t="s">
        <v>553</v>
      </c>
      <c r="B20" s="149" t="s">
        <v>639</v>
      </c>
    </row>
    <row r="21" spans="1:21" ht="15" customHeight="1" x14ac:dyDescent="0.25">
      <c r="A21" s="149" t="s">
        <v>554</v>
      </c>
      <c r="B21" s="149" t="s">
        <v>640</v>
      </c>
    </row>
    <row r="22" spans="1:21" ht="15" customHeight="1" x14ac:dyDescent="0.25">
      <c r="A22" s="149" t="s">
        <v>555</v>
      </c>
      <c r="B22" s="149" t="s">
        <v>761</v>
      </c>
      <c r="C22" s="389" t="s">
        <v>762</v>
      </c>
    </row>
    <row r="23" spans="1:21" ht="15" customHeight="1" x14ac:dyDescent="0.25">
      <c r="A23" s="149" t="s">
        <v>556</v>
      </c>
      <c r="B23" s="149" t="s">
        <v>648</v>
      </c>
    </row>
    <row r="24" spans="1:21" ht="15" customHeight="1" x14ac:dyDescent="0.25">
      <c r="A24" s="149" t="s">
        <v>557</v>
      </c>
      <c r="B24" s="149" t="s">
        <v>649</v>
      </c>
    </row>
    <row r="25" spans="1:21" ht="15" customHeight="1" x14ac:dyDescent="0.25">
      <c r="A25" s="149" t="s">
        <v>558</v>
      </c>
      <c r="B25" s="149" t="s">
        <v>650</v>
      </c>
    </row>
    <row r="26" spans="1:21" ht="15" customHeight="1" x14ac:dyDescent="0.25">
      <c r="A26" s="149" t="s">
        <v>559</v>
      </c>
      <c r="B26" s="149" t="s">
        <v>769</v>
      </c>
      <c r="C26" s="389" t="s">
        <v>762</v>
      </c>
    </row>
    <row r="27" spans="1:21" ht="15" customHeight="1" x14ac:dyDescent="0.25">
      <c r="A27" s="149" t="s">
        <v>560</v>
      </c>
      <c r="B27" s="149" t="s">
        <v>651</v>
      </c>
    </row>
    <row r="28" spans="1:21" ht="15" customHeight="1" x14ac:dyDescent="0.25">
      <c r="A28" s="149" t="s">
        <v>561</v>
      </c>
      <c r="B28" s="149" t="s">
        <v>652</v>
      </c>
    </row>
    <row r="29" spans="1:21" ht="15" customHeight="1" x14ac:dyDescent="0.25">
      <c r="A29" s="149" t="s">
        <v>562</v>
      </c>
      <c r="B29" s="149" t="s">
        <v>653</v>
      </c>
    </row>
    <row r="30" spans="1:21" ht="15" customHeight="1" x14ac:dyDescent="0.25">
      <c r="A30" s="149" t="s">
        <v>563</v>
      </c>
      <c r="B30" s="149" t="s">
        <v>654</v>
      </c>
    </row>
    <row r="31" spans="1:21" ht="15" customHeight="1" x14ac:dyDescent="0.25">
      <c r="A31" s="149" t="s">
        <v>564</v>
      </c>
      <c r="B31" s="149" t="s">
        <v>655</v>
      </c>
    </row>
    <row r="32" spans="1:21" ht="15" customHeight="1" x14ac:dyDescent="0.25">
      <c r="A32" s="149" t="s">
        <v>565</v>
      </c>
      <c r="B32" s="149" t="s">
        <v>768</v>
      </c>
      <c r="C32" s="389" t="s">
        <v>762</v>
      </c>
      <c r="U32" s="148"/>
    </row>
    <row r="33" spans="1:21" ht="15" customHeight="1" x14ac:dyDescent="0.25">
      <c r="A33" s="149" t="s">
        <v>566</v>
      </c>
      <c r="B33" s="149" t="s">
        <v>646</v>
      </c>
      <c r="U33" s="148"/>
    </row>
    <row r="34" spans="1:21" ht="15" customHeight="1" x14ac:dyDescent="0.25">
      <c r="A34" s="149" t="s">
        <v>567</v>
      </c>
      <c r="B34" s="149" t="s">
        <v>647</v>
      </c>
      <c r="U34" s="148"/>
    </row>
    <row r="35" spans="1:21" ht="15" customHeight="1" x14ac:dyDescent="0.25">
      <c r="A35" s="149" t="s">
        <v>568</v>
      </c>
      <c r="B35" s="149" t="s">
        <v>645</v>
      </c>
      <c r="U35" s="148"/>
    </row>
    <row r="36" spans="1:21" ht="15" customHeight="1" x14ac:dyDescent="0.25">
      <c r="A36" s="149" t="s">
        <v>569</v>
      </c>
      <c r="B36" s="149" t="s">
        <v>644</v>
      </c>
      <c r="U36" s="148"/>
    </row>
    <row r="37" spans="1:21" ht="15" customHeight="1" x14ac:dyDescent="0.25">
      <c r="A37" s="149" t="s">
        <v>570</v>
      </c>
      <c r="B37" s="149" t="s">
        <v>643</v>
      </c>
      <c r="U37" s="148"/>
    </row>
    <row r="38" spans="1:21" ht="15" customHeight="1" x14ac:dyDescent="0.25">
      <c r="A38" s="149" t="s">
        <v>517</v>
      </c>
      <c r="B38" s="153" t="s">
        <v>515</v>
      </c>
      <c r="U38" s="148"/>
    </row>
    <row r="39" spans="1:21" ht="15" customHeight="1" x14ac:dyDescent="0.25">
      <c r="A39" s="149" t="s">
        <v>571</v>
      </c>
      <c r="B39" s="149" t="s">
        <v>656</v>
      </c>
      <c r="U39" s="148"/>
    </row>
    <row r="40" spans="1:21" ht="15" customHeight="1" x14ac:dyDescent="0.25">
      <c r="A40" s="149" t="s">
        <v>572</v>
      </c>
      <c r="B40" s="149" t="s">
        <v>641</v>
      </c>
      <c r="U40" s="148"/>
    </row>
    <row r="41" spans="1:21" ht="15" customHeight="1" x14ac:dyDescent="0.25">
      <c r="A41" s="149" t="s">
        <v>573</v>
      </c>
      <c r="B41" s="149" t="s">
        <v>642</v>
      </c>
      <c r="U41" s="148"/>
    </row>
    <row r="42" spans="1:21" ht="15" customHeight="1" x14ac:dyDescent="0.25">
      <c r="A42" s="149" t="s">
        <v>516</v>
      </c>
      <c r="B42" s="153" t="s">
        <v>515</v>
      </c>
      <c r="U42" s="148"/>
    </row>
    <row r="43" spans="1:21" ht="15" customHeight="1" x14ac:dyDescent="0.25">
      <c r="A43" s="149" t="s">
        <v>574</v>
      </c>
      <c r="B43" s="149" t="s">
        <v>576</v>
      </c>
      <c r="U43" s="148"/>
    </row>
    <row r="44" spans="1:21" ht="15" customHeight="1" x14ac:dyDescent="0.25">
      <c r="A44" s="149" t="s">
        <v>575</v>
      </c>
      <c r="B44" s="149" t="s">
        <v>577</v>
      </c>
      <c r="U44" s="148"/>
    </row>
    <row r="45" spans="1:21" ht="15" customHeight="1" x14ac:dyDescent="0.25">
      <c r="A45" s="151"/>
      <c r="B45" s="152"/>
    </row>
    <row r="46" spans="1:21" ht="22.5" customHeight="1" x14ac:dyDescent="0.25">
      <c r="A46" s="517" t="s">
        <v>100</v>
      </c>
      <c r="B46" s="517"/>
    </row>
    <row r="47" spans="1:21" ht="15" customHeight="1" x14ac:dyDescent="0.25">
      <c r="A47" s="149" t="s">
        <v>578</v>
      </c>
      <c r="B47" s="149" t="s">
        <v>657</v>
      </c>
      <c r="U47" s="148"/>
    </row>
    <row r="48" spans="1:21" ht="15" customHeight="1" x14ac:dyDescent="0.25">
      <c r="A48" s="149" t="s">
        <v>579</v>
      </c>
      <c r="B48" s="149" t="s">
        <v>658</v>
      </c>
      <c r="U48" s="148"/>
    </row>
    <row r="49" spans="1:21" ht="15" customHeight="1" x14ac:dyDescent="0.25">
      <c r="A49" s="149" t="s">
        <v>580</v>
      </c>
      <c r="B49" s="149" t="s">
        <v>659</v>
      </c>
      <c r="U49" s="148"/>
    </row>
    <row r="50" spans="1:21" ht="15" customHeight="1" x14ac:dyDescent="0.25">
      <c r="A50" s="149" t="s">
        <v>581</v>
      </c>
      <c r="B50" s="149" t="s">
        <v>660</v>
      </c>
      <c r="U50" s="148"/>
    </row>
    <row r="51" spans="1:21" ht="15" customHeight="1" x14ac:dyDescent="0.25">
      <c r="A51" s="149" t="s">
        <v>582</v>
      </c>
      <c r="B51" s="149" t="s">
        <v>661</v>
      </c>
      <c r="U51" s="148"/>
    </row>
    <row r="52" spans="1:21" ht="15" customHeight="1" x14ac:dyDescent="0.25">
      <c r="A52" s="149" t="s">
        <v>583</v>
      </c>
      <c r="B52" s="149" t="s">
        <v>662</v>
      </c>
      <c r="U52" s="148"/>
    </row>
    <row r="53" spans="1:21" ht="15" customHeight="1" x14ac:dyDescent="0.25">
      <c r="A53" s="149" t="s">
        <v>513</v>
      </c>
      <c r="B53" s="153" t="s">
        <v>515</v>
      </c>
      <c r="U53" s="148"/>
    </row>
    <row r="54" spans="1:21" ht="15" customHeight="1" x14ac:dyDescent="0.25">
      <c r="A54" s="149" t="s">
        <v>584</v>
      </c>
      <c r="B54" s="149" t="s">
        <v>663</v>
      </c>
      <c r="U54" s="148"/>
    </row>
    <row r="55" spans="1:21" ht="15" customHeight="1" x14ac:dyDescent="0.25">
      <c r="A55" s="149" t="s">
        <v>514</v>
      </c>
      <c r="B55" s="153" t="s">
        <v>515</v>
      </c>
      <c r="U55" s="148"/>
    </row>
    <row r="56" spans="1:21" ht="15" customHeight="1" x14ac:dyDescent="0.25">
      <c r="A56" s="149" t="s">
        <v>585</v>
      </c>
      <c r="B56" s="149" t="s">
        <v>664</v>
      </c>
      <c r="U56" s="148"/>
    </row>
    <row r="57" spans="1:21" ht="15" customHeight="1" x14ac:dyDescent="0.25">
      <c r="A57" s="149" t="s">
        <v>586</v>
      </c>
      <c r="B57" s="149" t="s">
        <v>665</v>
      </c>
      <c r="U57" s="148"/>
    </row>
    <row r="58" spans="1:21" ht="15" customHeight="1" x14ac:dyDescent="0.25">
      <c r="A58" s="149" t="s">
        <v>587</v>
      </c>
      <c r="B58" s="149" t="s">
        <v>666</v>
      </c>
      <c r="U58" s="148"/>
    </row>
    <row r="59" spans="1:21" ht="15" customHeight="1" x14ac:dyDescent="0.25">
      <c r="A59" s="149" t="s">
        <v>588</v>
      </c>
      <c r="B59" s="149" t="s">
        <v>667</v>
      </c>
      <c r="U59" s="148"/>
    </row>
    <row r="60" spans="1:21" ht="15" customHeight="1" x14ac:dyDescent="0.25">
      <c r="A60" s="149" t="s">
        <v>589</v>
      </c>
      <c r="B60" s="149" t="s">
        <v>714</v>
      </c>
      <c r="U60" s="148"/>
    </row>
    <row r="61" spans="1:21" ht="15" customHeight="1" x14ac:dyDescent="0.25">
      <c r="A61" s="149" t="s">
        <v>590</v>
      </c>
      <c r="B61" s="149" t="s">
        <v>713</v>
      </c>
      <c r="U61" s="148"/>
    </row>
    <row r="62" spans="1:21" ht="15" customHeight="1" x14ac:dyDescent="0.25">
      <c r="A62" s="149" t="s">
        <v>591</v>
      </c>
      <c r="B62" s="149" t="s">
        <v>766</v>
      </c>
      <c r="C62" s="389" t="s">
        <v>762</v>
      </c>
      <c r="U62" s="148"/>
    </row>
    <row r="63" spans="1:21" ht="15" customHeight="1" x14ac:dyDescent="0.25">
      <c r="A63" s="149" t="s">
        <v>592</v>
      </c>
      <c r="B63" s="149" t="s">
        <v>767</v>
      </c>
      <c r="C63" s="389" t="s">
        <v>762</v>
      </c>
      <c r="U63" s="148"/>
    </row>
    <row r="64" spans="1:21" ht="15" customHeight="1" x14ac:dyDescent="0.25">
      <c r="A64" s="149" t="s">
        <v>518</v>
      </c>
      <c r="B64" s="153" t="s">
        <v>515</v>
      </c>
      <c r="U64" s="148"/>
    </row>
    <row r="65" spans="1:21" ht="15" customHeight="1" x14ac:dyDescent="0.25">
      <c r="A65" s="149" t="s">
        <v>593</v>
      </c>
      <c r="B65" s="149" t="s">
        <v>703</v>
      </c>
      <c r="U65" s="148"/>
    </row>
    <row r="66" spans="1:21" ht="15" customHeight="1" x14ac:dyDescent="0.25">
      <c r="A66" s="149" t="s">
        <v>594</v>
      </c>
      <c r="B66" s="149" t="s">
        <v>704</v>
      </c>
      <c r="U66" s="148"/>
    </row>
    <row r="67" spans="1:21" ht="15" customHeight="1" x14ac:dyDescent="0.25">
      <c r="A67" s="149" t="s">
        <v>595</v>
      </c>
      <c r="B67" s="149" t="s">
        <v>705</v>
      </c>
      <c r="U67" s="148"/>
    </row>
    <row r="68" spans="1:21" ht="15" customHeight="1" x14ac:dyDescent="0.25">
      <c r="A68" s="149" t="s">
        <v>596</v>
      </c>
      <c r="B68" s="149" t="s">
        <v>706</v>
      </c>
      <c r="U68" s="148"/>
    </row>
    <row r="69" spans="1:21" ht="15" customHeight="1" x14ac:dyDescent="0.25">
      <c r="A69" s="149" t="s">
        <v>597</v>
      </c>
      <c r="B69" s="149" t="s">
        <v>707</v>
      </c>
      <c r="U69" s="148"/>
    </row>
    <row r="70" spans="1:21" ht="15" customHeight="1" x14ac:dyDescent="0.25">
      <c r="A70" s="149" t="s">
        <v>598</v>
      </c>
      <c r="B70" s="149" t="s">
        <v>708</v>
      </c>
      <c r="U70" s="148"/>
    </row>
    <row r="71" spans="1:21" ht="15" customHeight="1" x14ac:dyDescent="0.25">
      <c r="A71" s="149" t="s">
        <v>599</v>
      </c>
      <c r="B71" s="149" t="s">
        <v>709</v>
      </c>
      <c r="U71" s="148"/>
    </row>
    <row r="72" spans="1:21" ht="15" customHeight="1" x14ac:dyDescent="0.25">
      <c r="A72" s="149" t="s">
        <v>600</v>
      </c>
      <c r="B72" s="149" t="s">
        <v>710</v>
      </c>
      <c r="U72" s="148"/>
    </row>
    <row r="73" spans="1:21" ht="15" customHeight="1" x14ac:dyDescent="0.25">
      <c r="A73" s="149" t="s">
        <v>601</v>
      </c>
      <c r="B73" s="149" t="s">
        <v>711</v>
      </c>
      <c r="U73" s="148"/>
    </row>
    <row r="74" spans="1:21" ht="15" customHeight="1" x14ac:dyDescent="0.25">
      <c r="A74" s="149" t="s">
        <v>602</v>
      </c>
      <c r="B74" s="149" t="s">
        <v>712</v>
      </c>
      <c r="U74" s="148"/>
    </row>
    <row r="75" spans="1:21" ht="15" customHeight="1" x14ac:dyDescent="0.25">
      <c r="A75" s="149" t="s">
        <v>519</v>
      </c>
      <c r="B75" s="153" t="s">
        <v>515</v>
      </c>
      <c r="U75" s="148"/>
    </row>
    <row r="76" spans="1:21" ht="15" customHeight="1" x14ac:dyDescent="0.25">
      <c r="A76" s="149" t="s">
        <v>603</v>
      </c>
      <c r="B76" s="149" t="s">
        <v>677</v>
      </c>
      <c r="U76" s="148"/>
    </row>
    <row r="77" spans="1:21" ht="15" customHeight="1" x14ac:dyDescent="0.25">
      <c r="A77" s="149" t="s">
        <v>520</v>
      </c>
      <c r="B77" s="153" t="s">
        <v>515</v>
      </c>
      <c r="U77" s="148"/>
    </row>
    <row r="78" spans="1:21" ht="15" customHeight="1" x14ac:dyDescent="0.25">
      <c r="A78" s="149" t="s">
        <v>522</v>
      </c>
      <c r="B78" s="149" t="s">
        <v>678</v>
      </c>
    </row>
    <row r="79" spans="1:21" ht="15" customHeight="1" x14ac:dyDescent="0.25">
      <c r="A79" s="149" t="s">
        <v>523</v>
      </c>
      <c r="B79" s="149" t="s">
        <v>521</v>
      </c>
    </row>
    <row r="80" spans="1:21" ht="15" customHeight="1" x14ac:dyDescent="0.25">
      <c r="A80" s="149" t="s">
        <v>524</v>
      </c>
      <c r="B80" s="149" t="s">
        <v>679</v>
      </c>
    </row>
    <row r="81" spans="1:3" ht="15" customHeight="1" x14ac:dyDescent="0.25">
      <c r="A81" s="149" t="s">
        <v>525</v>
      </c>
      <c r="B81" s="149" t="s">
        <v>680</v>
      </c>
    </row>
    <row r="82" spans="1:3" ht="15" customHeight="1" x14ac:dyDescent="0.25">
      <c r="A82" s="149" t="s">
        <v>526</v>
      </c>
      <c r="B82" s="149" t="s">
        <v>681</v>
      </c>
    </row>
    <row r="83" spans="1:3" ht="15" customHeight="1" x14ac:dyDescent="0.25">
      <c r="A83" s="149" t="s">
        <v>527</v>
      </c>
      <c r="B83" s="149" t="s">
        <v>682</v>
      </c>
    </row>
    <row r="84" spans="1:3" ht="15" customHeight="1" x14ac:dyDescent="0.25">
      <c r="A84" s="149" t="s">
        <v>528</v>
      </c>
      <c r="B84" s="149" t="s">
        <v>683</v>
      </c>
    </row>
    <row r="85" spans="1:3" ht="15" customHeight="1" x14ac:dyDescent="0.25">
      <c r="A85" s="149" t="s">
        <v>529</v>
      </c>
      <c r="B85" s="149" t="s">
        <v>684</v>
      </c>
    </row>
    <row r="86" spans="1:3" ht="15" customHeight="1" x14ac:dyDescent="0.25">
      <c r="A86" s="149" t="s">
        <v>604</v>
      </c>
      <c r="B86" s="149" t="s">
        <v>685</v>
      </c>
    </row>
    <row r="87" spans="1:3" ht="15" customHeight="1" x14ac:dyDescent="0.25">
      <c r="A87" s="149" t="s">
        <v>605</v>
      </c>
      <c r="B87" s="149" t="s">
        <v>686</v>
      </c>
    </row>
    <row r="88" spans="1:3" ht="15" customHeight="1" x14ac:dyDescent="0.25">
      <c r="A88" s="149" t="s">
        <v>606</v>
      </c>
      <c r="B88" s="149" t="s">
        <v>687</v>
      </c>
    </row>
    <row r="89" spans="1:3" ht="15" customHeight="1" x14ac:dyDescent="0.25">
      <c r="A89" s="149" t="s">
        <v>607</v>
      </c>
      <c r="B89" s="149" t="s">
        <v>688</v>
      </c>
    </row>
    <row r="90" spans="1:3" ht="15" customHeight="1" x14ac:dyDescent="0.25">
      <c r="A90" s="149" t="s">
        <v>608</v>
      </c>
      <c r="B90" s="149" t="s">
        <v>689</v>
      </c>
    </row>
    <row r="91" spans="1:3" ht="15" customHeight="1" x14ac:dyDescent="0.25">
      <c r="A91" s="149" t="s">
        <v>609</v>
      </c>
      <c r="B91" s="149" t="s">
        <v>690</v>
      </c>
    </row>
    <row r="92" spans="1:3" ht="15" customHeight="1" x14ac:dyDescent="0.25">
      <c r="A92" s="149" t="s">
        <v>610</v>
      </c>
      <c r="B92" s="149" t="s">
        <v>691</v>
      </c>
    </row>
    <row r="93" spans="1:3" ht="15" customHeight="1" x14ac:dyDescent="0.25">
      <c r="A93" s="149" t="s">
        <v>611</v>
      </c>
      <c r="B93" s="149" t="s">
        <v>692</v>
      </c>
    </row>
    <row r="94" spans="1:3" ht="15" customHeight="1" x14ac:dyDescent="0.25">
      <c r="A94" s="149" t="s">
        <v>612</v>
      </c>
      <c r="B94" s="149" t="s">
        <v>765</v>
      </c>
      <c r="C94" s="389" t="s">
        <v>762</v>
      </c>
    </row>
    <row r="95" spans="1:3" ht="15" customHeight="1" x14ac:dyDescent="0.25">
      <c r="A95" s="149" t="s">
        <v>613</v>
      </c>
      <c r="B95" s="149" t="s">
        <v>693</v>
      </c>
    </row>
    <row r="96" spans="1:3" ht="15" customHeight="1" x14ac:dyDescent="0.25">
      <c r="A96" s="149" t="s">
        <v>614</v>
      </c>
      <c r="B96" s="149" t="s">
        <v>694</v>
      </c>
    </row>
    <row r="97" spans="1:2" ht="15" customHeight="1" x14ac:dyDescent="0.25">
      <c r="A97" s="149" t="s">
        <v>615</v>
      </c>
      <c r="B97" s="149" t="s">
        <v>695</v>
      </c>
    </row>
    <row r="98" spans="1:2" ht="15" customHeight="1" x14ac:dyDescent="0.25">
      <c r="A98" s="149" t="s">
        <v>616</v>
      </c>
      <c r="B98" s="149" t="s">
        <v>696</v>
      </c>
    </row>
    <row r="99" spans="1:2" ht="15" customHeight="1" x14ac:dyDescent="0.25">
      <c r="A99" s="149" t="s">
        <v>618</v>
      </c>
      <c r="B99" s="149" t="s">
        <v>617</v>
      </c>
    </row>
    <row r="100" spans="1:2" ht="15" customHeight="1" x14ac:dyDescent="0.25">
      <c r="A100" s="149" t="s">
        <v>620</v>
      </c>
      <c r="B100" s="149" t="s">
        <v>619</v>
      </c>
    </row>
    <row r="101" spans="1:2" ht="15" customHeight="1" x14ac:dyDescent="0.25">
      <c r="A101" s="149" t="s">
        <v>622</v>
      </c>
      <c r="B101" s="149" t="s">
        <v>621</v>
      </c>
    </row>
    <row r="102" spans="1:2" ht="15" customHeight="1" x14ac:dyDescent="0.25">
      <c r="A102" s="149" t="s">
        <v>624</v>
      </c>
      <c r="B102" s="149" t="s">
        <v>623</v>
      </c>
    </row>
    <row r="103" spans="1:2" ht="15" customHeight="1" x14ac:dyDescent="0.25">
      <c r="A103" s="149" t="s">
        <v>530</v>
      </c>
      <c r="B103" s="153" t="s">
        <v>515</v>
      </c>
    </row>
    <row r="104" spans="1:2" ht="15" customHeight="1" x14ac:dyDescent="0.25">
      <c r="A104" s="149" t="s">
        <v>625</v>
      </c>
      <c r="B104" s="149" t="s">
        <v>760</v>
      </c>
    </row>
    <row r="105" spans="1:2" ht="15" customHeight="1" x14ac:dyDescent="0.25">
      <c r="A105" s="149" t="s">
        <v>627</v>
      </c>
      <c r="B105" s="149" t="s">
        <v>626</v>
      </c>
    </row>
    <row r="106" spans="1:2" ht="15" customHeight="1" x14ac:dyDescent="0.25">
      <c r="A106" s="149" t="s">
        <v>629</v>
      </c>
      <c r="B106" s="149" t="s">
        <v>628</v>
      </c>
    </row>
    <row r="107" spans="1:2" ht="15" customHeight="1" x14ac:dyDescent="0.25">
      <c r="A107" s="149" t="s">
        <v>531</v>
      </c>
      <c r="B107" s="153" t="s">
        <v>515</v>
      </c>
    </row>
    <row r="108" spans="1:2" ht="15" customHeight="1" x14ac:dyDescent="0.25">
      <c r="A108" s="149" t="s">
        <v>698</v>
      </c>
      <c r="B108" s="149" t="s">
        <v>697</v>
      </c>
    </row>
    <row r="109" spans="1:2" ht="15" customHeight="1" x14ac:dyDescent="0.25">
      <c r="A109" s="149" t="s">
        <v>700</v>
      </c>
      <c r="B109" s="149" t="s">
        <v>699</v>
      </c>
    </row>
    <row r="110" spans="1:2" ht="15" customHeight="1" x14ac:dyDescent="0.25">
      <c r="A110" s="149" t="s">
        <v>716</v>
      </c>
      <c r="B110" s="149" t="s">
        <v>701</v>
      </c>
    </row>
    <row r="111" spans="1:2" ht="15" customHeight="1" x14ac:dyDescent="0.25">
      <c r="A111" s="149" t="s">
        <v>717</v>
      </c>
      <c r="B111" s="149" t="s">
        <v>702</v>
      </c>
    </row>
    <row r="112" spans="1:2" ht="15" customHeight="1" x14ac:dyDescent="0.25">
      <c r="A112" s="149" t="s">
        <v>718</v>
      </c>
      <c r="B112" s="149" t="s">
        <v>715</v>
      </c>
    </row>
    <row r="113" spans="1:3" ht="15" customHeight="1" x14ac:dyDescent="0.25">
      <c r="A113" s="149" t="s">
        <v>532</v>
      </c>
      <c r="B113" s="153" t="s">
        <v>515</v>
      </c>
    </row>
    <row r="114" spans="1:3" ht="15" customHeight="1" x14ac:dyDescent="0.25">
      <c r="A114" s="149" t="s">
        <v>533</v>
      </c>
      <c r="B114" s="153" t="s">
        <v>515</v>
      </c>
    </row>
    <row r="115" spans="1:3" ht="15" customHeight="1" x14ac:dyDescent="0.25">
      <c r="A115" s="149" t="s">
        <v>719</v>
      </c>
      <c r="B115" s="149" t="s">
        <v>725</v>
      </c>
    </row>
    <row r="116" spans="1:3" ht="15" customHeight="1" x14ac:dyDescent="0.25">
      <c r="A116" s="149" t="s">
        <v>720</v>
      </c>
      <c r="B116" s="149" t="s">
        <v>726</v>
      </c>
    </row>
    <row r="117" spans="1:3" ht="15" customHeight="1" x14ac:dyDescent="0.25">
      <c r="A117" s="149" t="s">
        <v>721</v>
      </c>
      <c r="B117" s="149" t="s">
        <v>727</v>
      </c>
    </row>
    <row r="118" spans="1:3" ht="15" customHeight="1" x14ac:dyDescent="0.25">
      <c r="A118" s="149" t="s">
        <v>722</v>
      </c>
      <c r="B118" s="149" t="s">
        <v>728</v>
      </c>
    </row>
    <row r="119" spans="1:3" ht="15" customHeight="1" x14ac:dyDescent="0.25">
      <c r="A119" s="149" t="s">
        <v>723</v>
      </c>
      <c r="B119" s="149" t="s">
        <v>724</v>
      </c>
    </row>
    <row r="120" spans="1:3" ht="15" customHeight="1" x14ac:dyDescent="0.25">
      <c r="A120" s="149" t="s">
        <v>731</v>
      </c>
      <c r="B120" s="149" t="s">
        <v>729</v>
      </c>
    </row>
    <row r="121" spans="1:3" ht="15" customHeight="1" x14ac:dyDescent="0.25">
      <c r="A121" s="149" t="s">
        <v>732</v>
      </c>
      <c r="B121" s="149" t="s">
        <v>730</v>
      </c>
    </row>
    <row r="122" spans="1:3" ht="15" customHeight="1" x14ac:dyDescent="0.25">
      <c r="A122" s="149" t="s">
        <v>675</v>
      </c>
      <c r="B122" s="149" t="s">
        <v>674</v>
      </c>
    </row>
    <row r="123" spans="1:3" ht="15" customHeight="1" x14ac:dyDescent="0.25">
      <c r="A123" s="149" t="s">
        <v>676</v>
      </c>
      <c r="B123" s="149" t="s">
        <v>764</v>
      </c>
      <c r="C123" s="389" t="s">
        <v>762</v>
      </c>
    </row>
    <row r="124" spans="1:3" ht="15" customHeight="1" x14ac:dyDescent="0.25">
      <c r="A124" s="149" t="s">
        <v>672</v>
      </c>
      <c r="B124" s="149" t="s">
        <v>673</v>
      </c>
    </row>
    <row r="125" spans="1:3" ht="15" customHeight="1" x14ac:dyDescent="0.25">
      <c r="A125" s="149" t="s">
        <v>671</v>
      </c>
      <c r="B125" s="149" t="s">
        <v>670</v>
      </c>
    </row>
    <row r="126" spans="1:3" ht="15" customHeight="1" x14ac:dyDescent="0.25">
      <c r="A126" s="149" t="s">
        <v>669</v>
      </c>
      <c r="B126" s="149" t="s">
        <v>668</v>
      </c>
    </row>
    <row r="127" spans="1:3" ht="15" customHeight="1" x14ac:dyDescent="0.25">
      <c r="A127" s="151"/>
      <c r="B127" s="152"/>
    </row>
    <row r="128" spans="1:3" ht="22.5" customHeight="1" x14ac:dyDescent="0.25">
      <c r="A128" s="517" t="s">
        <v>101</v>
      </c>
      <c r="B128" s="517"/>
    </row>
    <row r="129" spans="1:3" ht="15" customHeight="1" x14ac:dyDescent="0.25">
      <c r="A129" s="149" t="s">
        <v>733</v>
      </c>
      <c r="B129" s="149" t="s">
        <v>777</v>
      </c>
    </row>
    <row r="130" spans="1:3" ht="15" customHeight="1" x14ac:dyDescent="0.25">
      <c r="A130" s="149" t="s">
        <v>734</v>
      </c>
      <c r="B130" s="149" t="s">
        <v>778</v>
      </c>
    </row>
    <row r="131" spans="1:3" ht="15" customHeight="1" x14ac:dyDescent="0.25">
      <c r="A131" s="149" t="s">
        <v>735</v>
      </c>
      <c r="B131" s="149" t="s">
        <v>779</v>
      </c>
    </row>
    <row r="132" spans="1:3" ht="15" customHeight="1" x14ac:dyDescent="0.25">
      <c r="A132" s="149" t="s">
        <v>736</v>
      </c>
      <c r="B132" s="149" t="s">
        <v>780</v>
      </c>
    </row>
    <row r="133" spans="1:3" ht="15" customHeight="1" x14ac:dyDescent="0.25">
      <c r="A133" s="149" t="s">
        <v>737</v>
      </c>
      <c r="B133" s="149" t="s">
        <v>781</v>
      </c>
    </row>
    <row r="134" spans="1:3" ht="15" customHeight="1" x14ac:dyDescent="0.25">
      <c r="A134" s="149" t="s">
        <v>738</v>
      </c>
      <c r="B134" s="149" t="s">
        <v>782</v>
      </c>
      <c r="C134" s="389" t="s">
        <v>762</v>
      </c>
    </row>
    <row r="135" spans="1:3" ht="15" customHeight="1" x14ac:dyDescent="0.25">
      <c r="A135" s="149" t="s">
        <v>739</v>
      </c>
      <c r="B135" s="149" t="s">
        <v>783</v>
      </c>
    </row>
    <row r="136" spans="1:3" ht="15" customHeight="1" x14ac:dyDescent="0.25">
      <c r="A136" s="149" t="s">
        <v>740</v>
      </c>
      <c r="B136" s="149" t="s">
        <v>784</v>
      </c>
    </row>
    <row r="137" spans="1:3" ht="15" customHeight="1" x14ac:dyDescent="0.25">
      <c r="A137" s="149" t="s">
        <v>741</v>
      </c>
      <c r="B137" s="149" t="s">
        <v>785</v>
      </c>
      <c r="C137" s="389" t="s">
        <v>762</v>
      </c>
    </row>
    <row r="138" spans="1:3" ht="15" customHeight="1" x14ac:dyDescent="0.25">
      <c r="A138" s="149" t="s">
        <v>742</v>
      </c>
      <c r="B138" s="149" t="s">
        <v>786</v>
      </c>
    </row>
    <row r="139" spans="1:3" ht="15" customHeight="1" x14ac:dyDescent="0.25">
      <c r="A139" s="149" t="s">
        <v>743</v>
      </c>
      <c r="B139" s="149" t="s">
        <v>787</v>
      </c>
      <c r="C139" s="389" t="s">
        <v>762</v>
      </c>
    </row>
    <row r="140" spans="1:3" ht="15" customHeight="1" x14ac:dyDescent="0.25">
      <c r="A140" s="149" t="s">
        <v>744</v>
      </c>
      <c r="B140" s="149" t="s">
        <v>788</v>
      </c>
    </row>
    <row r="141" spans="1:3" ht="15" customHeight="1" x14ac:dyDescent="0.25">
      <c r="A141" s="149" t="s">
        <v>745</v>
      </c>
      <c r="B141" s="149" t="s">
        <v>789</v>
      </c>
      <c r="C141" s="389" t="s">
        <v>762</v>
      </c>
    </row>
    <row r="142" spans="1:3" ht="15" customHeight="1" x14ac:dyDescent="0.25">
      <c r="A142" s="149" t="s">
        <v>747</v>
      </c>
      <c r="B142" s="149" t="s">
        <v>746</v>
      </c>
    </row>
    <row r="143" spans="1:3" ht="15" customHeight="1" x14ac:dyDescent="0.25">
      <c r="A143" s="149" t="s">
        <v>748</v>
      </c>
      <c r="B143" s="149" t="s">
        <v>753</v>
      </c>
    </row>
    <row r="144" spans="1:3" ht="15" customHeight="1" x14ac:dyDescent="0.25">
      <c r="A144" s="149" t="s">
        <v>749</v>
      </c>
      <c r="B144" s="149" t="s">
        <v>754</v>
      </c>
    </row>
    <row r="145" spans="1:3" ht="15" customHeight="1" x14ac:dyDescent="0.25">
      <c r="A145" s="149" t="s">
        <v>750</v>
      </c>
      <c r="B145" s="149" t="s">
        <v>755</v>
      </c>
    </row>
    <row r="146" spans="1:3" ht="15" customHeight="1" x14ac:dyDescent="0.25">
      <c r="A146" s="149" t="s">
        <v>751</v>
      </c>
      <c r="B146" s="149" t="s">
        <v>756</v>
      </c>
    </row>
    <row r="147" spans="1:3" ht="15" customHeight="1" x14ac:dyDescent="0.25">
      <c r="A147" s="149" t="s">
        <v>752</v>
      </c>
      <c r="B147" s="149" t="s">
        <v>763</v>
      </c>
      <c r="C147" s="389" t="s">
        <v>762</v>
      </c>
    </row>
    <row r="148" spans="1:3" ht="15" customHeight="1" x14ac:dyDescent="0.25">
      <c r="A148" s="151"/>
      <c r="B148" s="152"/>
    </row>
    <row r="149" spans="1:3" ht="22.5" customHeight="1" x14ac:dyDescent="0.25">
      <c r="A149" s="517" t="s">
        <v>102</v>
      </c>
      <c r="B149" s="517"/>
    </row>
    <row r="150" spans="1:3" ht="15" customHeight="1" x14ac:dyDescent="0.25">
      <c r="A150" s="149" t="s">
        <v>757</v>
      </c>
      <c r="B150" s="149" t="s">
        <v>774</v>
      </c>
      <c r="C150" s="389" t="s">
        <v>762</v>
      </c>
    </row>
    <row r="151" spans="1:3" ht="15" customHeight="1" x14ac:dyDescent="0.25">
      <c r="A151" s="149" t="s">
        <v>758</v>
      </c>
      <c r="B151" s="149" t="s">
        <v>759</v>
      </c>
    </row>
    <row r="152" spans="1:3" ht="15" customHeight="1" x14ac:dyDescent="0.25"/>
    <row r="153" spans="1:3" ht="15" customHeight="1" x14ac:dyDescent="0.25"/>
    <row r="154" spans="1:3" ht="15" customHeight="1" x14ac:dyDescent="0.25"/>
    <row r="155" spans="1:3" ht="15" customHeight="1" x14ac:dyDescent="0.25"/>
  </sheetData>
  <mergeCells count="5">
    <mergeCell ref="A1:B1"/>
    <mergeCell ref="A6:B6"/>
    <mergeCell ref="A46:B46"/>
    <mergeCell ref="A128:B128"/>
    <mergeCell ref="A149:B149"/>
  </mergeCells>
  <pageMargins left="0.39370078740157483" right="0.39370078740157483" top="0.39370078740157483" bottom="0.39370078740157483" header="0.19685039370078741" footer="0.19685039370078741"/>
  <pageSetup paperSize="9" scale="68" pageOrder="overThenDown" orientation="landscape" verticalDpi="1200" r:id="rId1"/>
  <headerFooter>
    <oddFooter>&amp;L&amp;G&amp;R&amp;"Arial,Standard"&amp;9Seite &amp;P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4"/>
  <dimension ref="A1:G167"/>
  <sheetViews>
    <sheetView showGridLines="0" workbookViewId="0">
      <selection activeCell="F19" sqref="F19"/>
    </sheetView>
  </sheetViews>
  <sheetFormatPr baseColWidth="10" defaultRowHeight="14.4" x14ac:dyDescent="0.3"/>
  <cols>
    <col min="1" max="5" width="25.6640625" customWidth="1"/>
    <col min="6" max="6" width="4.44140625" customWidth="1"/>
  </cols>
  <sheetData>
    <row r="1" spans="1:7" ht="15" customHeight="1" x14ac:dyDescent="0.3">
      <c r="A1" s="80" t="s">
        <v>203</v>
      </c>
      <c r="B1" s="79"/>
      <c r="C1" s="79"/>
      <c r="D1" s="79"/>
      <c r="E1" s="79"/>
    </row>
    <row r="2" spans="1:7" ht="15" customHeight="1" x14ac:dyDescent="0.3">
      <c r="A2" s="81" t="s">
        <v>123</v>
      </c>
      <c r="B2" s="82"/>
      <c r="C2" s="82"/>
      <c r="D2" s="82"/>
      <c r="E2" s="82"/>
      <c r="G2" s="390" t="s">
        <v>214</v>
      </c>
    </row>
    <row r="3" spans="1:7" ht="15" customHeight="1" x14ac:dyDescent="0.3">
      <c r="A3" s="518" t="s">
        <v>232</v>
      </c>
      <c r="B3" s="522" t="s">
        <v>126</v>
      </c>
      <c r="C3" s="522"/>
      <c r="D3" s="522" t="s">
        <v>128</v>
      </c>
      <c r="E3" s="522"/>
      <c r="G3" s="390"/>
    </row>
    <row r="4" spans="1:7" x14ac:dyDescent="0.3">
      <c r="A4" s="519"/>
      <c r="B4" s="84" t="s">
        <v>127</v>
      </c>
      <c r="C4" s="73" t="s">
        <v>127</v>
      </c>
      <c r="D4" s="76" t="s">
        <v>129</v>
      </c>
      <c r="E4" s="71" t="s">
        <v>129</v>
      </c>
    </row>
    <row r="5" spans="1:7" x14ac:dyDescent="0.3">
      <c r="A5" s="17" t="s">
        <v>187</v>
      </c>
      <c r="B5" s="72" t="s">
        <v>233</v>
      </c>
      <c r="C5" s="74" t="s">
        <v>125</v>
      </c>
      <c r="D5" s="77" t="s">
        <v>233</v>
      </c>
      <c r="E5" s="72" t="s">
        <v>125</v>
      </c>
    </row>
    <row r="6" spans="1:7" x14ac:dyDescent="0.3">
      <c r="A6" s="70" t="s">
        <v>111</v>
      </c>
      <c r="B6" s="69">
        <v>50</v>
      </c>
      <c r="C6" s="75">
        <v>500</v>
      </c>
      <c r="D6" s="78">
        <v>1</v>
      </c>
      <c r="E6" s="69">
        <v>10</v>
      </c>
    </row>
    <row r="7" spans="1:7" x14ac:dyDescent="0.3">
      <c r="A7" s="70" t="s">
        <v>105</v>
      </c>
      <c r="B7" s="69">
        <v>5</v>
      </c>
      <c r="C7" s="75">
        <v>50</v>
      </c>
      <c r="D7" s="78">
        <v>0.1</v>
      </c>
      <c r="E7" s="69">
        <v>1</v>
      </c>
    </row>
    <row r="8" spans="1:7" x14ac:dyDescent="0.3">
      <c r="A8" s="70" t="s">
        <v>118</v>
      </c>
      <c r="B8" s="69">
        <v>0.5</v>
      </c>
      <c r="C8" s="75">
        <v>5</v>
      </c>
      <c r="D8" s="78">
        <v>0.01</v>
      </c>
      <c r="E8" s="69">
        <v>0.1</v>
      </c>
    </row>
    <row r="9" spans="1:7" x14ac:dyDescent="0.3">
      <c r="A9" s="70" t="s">
        <v>119</v>
      </c>
      <c r="B9" s="69">
        <v>0.05</v>
      </c>
      <c r="C9" s="75">
        <v>0.5</v>
      </c>
      <c r="D9" s="78">
        <v>1E-3</v>
      </c>
      <c r="E9" s="69">
        <v>0.01</v>
      </c>
    </row>
    <row r="10" spans="1:7" x14ac:dyDescent="0.3">
      <c r="A10" s="70" t="s">
        <v>122</v>
      </c>
      <c r="B10" s="69">
        <v>0</v>
      </c>
      <c r="C10" s="75">
        <v>0.05</v>
      </c>
      <c r="D10" s="78">
        <v>0</v>
      </c>
      <c r="E10" s="69">
        <v>1E-3</v>
      </c>
    </row>
    <row r="11" spans="1:7" x14ac:dyDescent="0.3">
      <c r="A11" s="83" t="s">
        <v>124</v>
      </c>
      <c r="B11" s="82"/>
      <c r="C11" s="82"/>
      <c r="D11" s="82"/>
      <c r="E11" s="82"/>
    </row>
    <row r="12" spans="1:7" x14ac:dyDescent="0.3">
      <c r="A12" s="16" t="s">
        <v>111</v>
      </c>
      <c r="B12" t="s">
        <v>130</v>
      </c>
    </row>
    <row r="13" spans="1:7" x14ac:dyDescent="0.3">
      <c r="A13" s="16" t="s">
        <v>105</v>
      </c>
      <c r="B13" t="s">
        <v>131</v>
      </c>
    </row>
    <row r="14" spans="1:7" x14ac:dyDescent="0.3">
      <c r="A14" s="16" t="s">
        <v>118</v>
      </c>
      <c r="B14" t="s">
        <v>132</v>
      </c>
    </row>
    <row r="15" spans="1:7" x14ac:dyDescent="0.3">
      <c r="A15" s="16" t="s">
        <v>119</v>
      </c>
      <c r="B15" t="s">
        <v>133</v>
      </c>
    </row>
    <row r="16" spans="1:7" x14ac:dyDescent="0.3">
      <c r="A16" s="16" t="s">
        <v>122</v>
      </c>
      <c r="B16" t="s">
        <v>134</v>
      </c>
    </row>
    <row r="17" spans="1:4" x14ac:dyDescent="0.3">
      <c r="A17" s="16" t="s">
        <v>117</v>
      </c>
    </row>
    <row r="19" spans="1:4" x14ac:dyDescent="0.3">
      <c r="A19" s="63" t="s">
        <v>237</v>
      </c>
      <c r="B19" s="62"/>
      <c r="C19" s="62"/>
    </row>
    <row r="20" spans="1:4" x14ac:dyDescent="0.3">
      <c r="A20" s="65" t="s">
        <v>235</v>
      </c>
      <c r="B20" s="89" t="s">
        <v>187</v>
      </c>
      <c r="C20" s="89" t="s">
        <v>187</v>
      </c>
    </row>
    <row r="21" spans="1:4" x14ac:dyDescent="0.3">
      <c r="A21" s="67" t="s">
        <v>135</v>
      </c>
      <c r="B21" s="68" t="s">
        <v>224</v>
      </c>
      <c r="C21" s="86" t="s">
        <v>220</v>
      </c>
    </row>
    <row r="22" spans="1:4" x14ac:dyDescent="0.3">
      <c r="A22" s="67" t="s">
        <v>106</v>
      </c>
      <c r="B22" s="68" t="s">
        <v>225</v>
      </c>
      <c r="C22" s="86" t="s">
        <v>220</v>
      </c>
    </row>
    <row r="23" spans="1:4" ht="15" thickBot="1" x14ac:dyDescent="0.35">
      <c r="A23" s="85" t="s">
        <v>136</v>
      </c>
      <c r="B23" s="86" t="s">
        <v>226</v>
      </c>
      <c r="C23" s="91" t="s">
        <v>220</v>
      </c>
    </row>
    <row r="24" spans="1:4" ht="15" thickTop="1" x14ac:dyDescent="0.3">
      <c r="A24" s="87" t="s">
        <v>135</v>
      </c>
      <c r="B24" s="88" t="s">
        <v>228</v>
      </c>
      <c r="C24" s="88" t="s">
        <v>219</v>
      </c>
    </row>
    <row r="25" spans="1:4" x14ac:dyDescent="0.3">
      <c r="A25" s="67" t="s">
        <v>106</v>
      </c>
      <c r="B25" s="68" t="s">
        <v>229</v>
      </c>
      <c r="C25" s="86" t="s">
        <v>219</v>
      </c>
    </row>
    <row r="26" spans="1:4" x14ac:dyDescent="0.3">
      <c r="A26" s="67" t="s">
        <v>136</v>
      </c>
      <c r="B26" s="68" t="s">
        <v>227</v>
      </c>
      <c r="C26" s="68" t="s">
        <v>219</v>
      </c>
    </row>
    <row r="29" spans="1:4" x14ac:dyDescent="0.3">
      <c r="A29" s="63" t="s">
        <v>114</v>
      </c>
      <c r="B29" s="62"/>
      <c r="C29" s="62"/>
      <c r="D29" s="62"/>
    </row>
    <row r="30" spans="1:4" x14ac:dyDescent="0.3">
      <c r="A30" s="52"/>
      <c r="B30" s="520" t="s">
        <v>115</v>
      </c>
      <c r="C30" s="520"/>
      <c r="D30" s="64" t="s">
        <v>138</v>
      </c>
    </row>
    <row r="31" spans="1:4" x14ac:dyDescent="0.3">
      <c r="A31" s="65" t="s">
        <v>187</v>
      </c>
      <c r="B31" s="66" t="s">
        <v>230</v>
      </c>
      <c r="C31" s="66" t="s">
        <v>231</v>
      </c>
      <c r="D31" s="66" t="s">
        <v>142</v>
      </c>
    </row>
    <row r="32" spans="1:4" x14ac:dyDescent="0.3">
      <c r="A32" s="67" t="s">
        <v>113</v>
      </c>
      <c r="B32" s="68" t="s">
        <v>143</v>
      </c>
      <c r="C32" s="68" t="s">
        <v>147</v>
      </c>
      <c r="D32" s="68" t="s">
        <v>139</v>
      </c>
    </row>
    <row r="33" spans="1:4" x14ac:dyDescent="0.3">
      <c r="A33" s="67" t="s">
        <v>106</v>
      </c>
      <c r="B33" s="68" t="s">
        <v>144</v>
      </c>
      <c r="C33" s="68"/>
      <c r="D33" s="68" t="s">
        <v>140</v>
      </c>
    </row>
    <row r="34" spans="1:4" x14ac:dyDescent="0.3">
      <c r="A34" s="67" t="s">
        <v>136</v>
      </c>
      <c r="B34" s="68" t="s">
        <v>145</v>
      </c>
      <c r="C34" s="68" t="s">
        <v>146</v>
      </c>
      <c r="D34" s="68" t="s">
        <v>141</v>
      </c>
    </row>
    <row r="35" spans="1:4" x14ac:dyDescent="0.3">
      <c r="B35" s="90"/>
      <c r="C35" s="90"/>
      <c r="D35" s="32"/>
    </row>
    <row r="36" spans="1:4" x14ac:dyDescent="0.3">
      <c r="A36" s="63" t="s">
        <v>114</v>
      </c>
      <c r="B36" s="62"/>
      <c r="C36" s="62"/>
    </row>
    <row r="37" spans="1:4" x14ac:dyDescent="0.3">
      <c r="A37" s="65" t="s">
        <v>235</v>
      </c>
      <c r="B37" s="89" t="s">
        <v>187</v>
      </c>
      <c r="C37" s="89" t="s">
        <v>187</v>
      </c>
    </row>
    <row r="38" spans="1:4" x14ac:dyDescent="0.3">
      <c r="A38" s="67" t="s">
        <v>113</v>
      </c>
      <c r="B38" s="68" t="s">
        <v>246</v>
      </c>
      <c r="C38" s="86" t="s">
        <v>220</v>
      </c>
    </row>
    <row r="39" spans="1:4" x14ac:dyDescent="0.3">
      <c r="A39" s="67" t="s">
        <v>106</v>
      </c>
      <c r="B39" s="68" t="s">
        <v>247</v>
      </c>
      <c r="C39" s="86" t="s">
        <v>220</v>
      </c>
    </row>
    <row r="40" spans="1:4" x14ac:dyDescent="0.3">
      <c r="A40" s="85" t="s">
        <v>136</v>
      </c>
      <c r="B40" s="68" t="s">
        <v>245</v>
      </c>
      <c r="C40" s="86" t="s">
        <v>220</v>
      </c>
    </row>
    <row r="41" spans="1:4" x14ac:dyDescent="0.3">
      <c r="A41" s="67" t="s">
        <v>113</v>
      </c>
      <c r="B41" s="68" t="s">
        <v>295</v>
      </c>
      <c r="C41" s="86" t="s">
        <v>220</v>
      </c>
    </row>
    <row r="42" spans="1:4" x14ac:dyDescent="0.3">
      <c r="A42" s="67" t="s">
        <v>106</v>
      </c>
      <c r="B42" s="68" t="s">
        <v>297</v>
      </c>
      <c r="C42" s="86" t="s">
        <v>220</v>
      </c>
    </row>
    <row r="43" spans="1:4" ht="15" thickBot="1" x14ac:dyDescent="0.35">
      <c r="A43" s="85" t="s">
        <v>136</v>
      </c>
      <c r="B43" s="68" t="s">
        <v>296</v>
      </c>
      <c r="C43" s="91" t="s">
        <v>220</v>
      </c>
    </row>
    <row r="44" spans="1:4" ht="15" thickTop="1" x14ac:dyDescent="0.3">
      <c r="A44" s="87" t="s">
        <v>113</v>
      </c>
      <c r="B44" s="88" t="s">
        <v>238</v>
      </c>
      <c r="C44" s="88" t="s">
        <v>219</v>
      </c>
    </row>
    <row r="45" spans="1:4" x14ac:dyDescent="0.3">
      <c r="A45" s="67" t="s">
        <v>113</v>
      </c>
      <c r="B45" s="68" t="s">
        <v>240</v>
      </c>
      <c r="C45" s="86" t="s">
        <v>219</v>
      </c>
    </row>
    <row r="46" spans="1:4" x14ac:dyDescent="0.3">
      <c r="A46" s="67" t="s">
        <v>113</v>
      </c>
      <c r="B46" s="68" t="s">
        <v>239</v>
      </c>
      <c r="C46" s="68" t="s">
        <v>219</v>
      </c>
    </row>
    <row r="47" spans="1:4" x14ac:dyDescent="0.3">
      <c r="A47" s="67" t="s">
        <v>106</v>
      </c>
      <c r="B47" s="69" t="s">
        <v>241</v>
      </c>
      <c r="C47" s="68" t="s">
        <v>219</v>
      </c>
    </row>
    <row r="48" spans="1:4" x14ac:dyDescent="0.3">
      <c r="A48" s="67" t="s">
        <v>136</v>
      </c>
      <c r="B48" s="69" t="s">
        <v>242</v>
      </c>
      <c r="C48" s="68" t="s">
        <v>219</v>
      </c>
    </row>
    <row r="49" spans="1:5" x14ac:dyDescent="0.3">
      <c r="A49" s="67" t="s">
        <v>136</v>
      </c>
      <c r="B49" s="69" t="s">
        <v>243</v>
      </c>
      <c r="C49" s="68" t="s">
        <v>219</v>
      </c>
    </row>
    <row r="51" spans="1:5" x14ac:dyDescent="0.3">
      <c r="A51" s="28" t="s">
        <v>203</v>
      </c>
      <c r="B51" s="28" t="s">
        <v>137</v>
      </c>
      <c r="C51" s="28" t="s">
        <v>114</v>
      </c>
      <c r="D51" s="28" t="s">
        <v>249</v>
      </c>
      <c r="E51" s="28" t="s">
        <v>234</v>
      </c>
    </row>
    <row r="52" spans="1:5" x14ac:dyDescent="0.3">
      <c r="A52" s="29" t="s">
        <v>111</v>
      </c>
      <c r="B52" s="38" t="s">
        <v>135</v>
      </c>
      <c r="C52" s="38" t="s">
        <v>113</v>
      </c>
      <c r="D52" s="38" t="s">
        <v>148</v>
      </c>
      <c r="E52" s="38" t="s">
        <v>220</v>
      </c>
    </row>
    <row r="53" spans="1:5" x14ac:dyDescent="0.3">
      <c r="A53" s="29" t="s">
        <v>111</v>
      </c>
      <c r="B53" s="38" t="s">
        <v>135</v>
      </c>
      <c r="C53" s="38" t="s">
        <v>106</v>
      </c>
      <c r="D53" s="38" t="s">
        <v>148</v>
      </c>
      <c r="E53" s="38" t="s">
        <v>220</v>
      </c>
    </row>
    <row r="54" spans="1:5" ht="15" thickBot="1" x14ac:dyDescent="0.35">
      <c r="A54" s="40" t="s">
        <v>111</v>
      </c>
      <c r="B54" s="60" t="s">
        <v>135</v>
      </c>
      <c r="C54" s="60" t="s">
        <v>136</v>
      </c>
      <c r="D54" s="60" t="s">
        <v>148</v>
      </c>
      <c r="E54" s="60" t="s">
        <v>220</v>
      </c>
    </row>
    <row r="55" spans="1:5" x14ac:dyDescent="0.3">
      <c r="A55" s="29" t="s">
        <v>111</v>
      </c>
      <c r="B55" s="38" t="s">
        <v>135</v>
      </c>
      <c r="C55" s="38" t="s">
        <v>113</v>
      </c>
      <c r="D55" s="38" t="s">
        <v>148</v>
      </c>
      <c r="E55" s="44" t="s">
        <v>219</v>
      </c>
    </row>
    <row r="56" spans="1:5" x14ac:dyDescent="0.3">
      <c r="A56" s="29" t="s">
        <v>111</v>
      </c>
      <c r="B56" s="38" t="s">
        <v>135</v>
      </c>
      <c r="C56" s="38" t="s">
        <v>106</v>
      </c>
      <c r="D56" s="38" t="s">
        <v>148</v>
      </c>
      <c r="E56" s="38" t="s">
        <v>219</v>
      </c>
    </row>
    <row r="57" spans="1:5" ht="15" thickBot="1" x14ac:dyDescent="0.35">
      <c r="A57" s="40" t="s">
        <v>111</v>
      </c>
      <c r="B57" s="60" t="s">
        <v>135</v>
      </c>
      <c r="C57" s="60" t="s">
        <v>136</v>
      </c>
      <c r="D57" s="60" t="s">
        <v>148</v>
      </c>
      <c r="E57" s="60" t="s">
        <v>219</v>
      </c>
    </row>
    <row r="58" spans="1:5" x14ac:dyDescent="0.3">
      <c r="A58" s="39" t="s">
        <v>111</v>
      </c>
      <c r="B58" s="94" t="s">
        <v>106</v>
      </c>
      <c r="C58" s="94" t="s">
        <v>113</v>
      </c>
      <c r="D58" s="94" t="s">
        <v>148</v>
      </c>
      <c r="E58" s="95" t="s">
        <v>220</v>
      </c>
    </row>
    <row r="59" spans="1:5" x14ac:dyDescent="0.3">
      <c r="A59" s="29" t="s">
        <v>111</v>
      </c>
      <c r="B59" s="95" t="s">
        <v>106</v>
      </c>
      <c r="C59" s="95" t="s">
        <v>106</v>
      </c>
      <c r="D59" s="95" t="s">
        <v>148</v>
      </c>
      <c r="E59" s="95" t="s">
        <v>220</v>
      </c>
    </row>
    <row r="60" spans="1:5" ht="15" thickBot="1" x14ac:dyDescent="0.35">
      <c r="A60" s="40" t="s">
        <v>111</v>
      </c>
      <c r="B60" s="96" t="s">
        <v>106</v>
      </c>
      <c r="C60" s="96" t="s">
        <v>136</v>
      </c>
      <c r="D60" s="96" t="s">
        <v>218</v>
      </c>
      <c r="E60" s="96" t="s">
        <v>220</v>
      </c>
    </row>
    <row r="61" spans="1:5" x14ac:dyDescent="0.3">
      <c r="A61" s="39" t="s">
        <v>111</v>
      </c>
      <c r="B61" s="94" t="s">
        <v>106</v>
      </c>
      <c r="C61" s="94" t="s">
        <v>113</v>
      </c>
      <c r="D61" s="94" t="s">
        <v>148</v>
      </c>
      <c r="E61" s="97" t="s">
        <v>219</v>
      </c>
    </row>
    <row r="62" spans="1:5" x14ac:dyDescent="0.3">
      <c r="A62" s="29" t="s">
        <v>111</v>
      </c>
      <c r="B62" s="95" t="s">
        <v>106</v>
      </c>
      <c r="C62" s="95" t="s">
        <v>106</v>
      </c>
      <c r="D62" s="95" t="s">
        <v>148</v>
      </c>
      <c r="E62" s="95" t="s">
        <v>219</v>
      </c>
    </row>
    <row r="63" spans="1:5" ht="15" thickBot="1" x14ac:dyDescent="0.35">
      <c r="A63" s="40" t="s">
        <v>111</v>
      </c>
      <c r="B63" s="96" t="s">
        <v>106</v>
      </c>
      <c r="C63" s="96" t="s">
        <v>136</v>
      </c>
      <c r="D63" s="96" t="s">
        <v>218</v>
      </c>
      <c r="E63" s="96" t="s">
        <v>219</v>
      </c>
    </row>
    <row r="64" spans="1:5" x14ac:dyDescent="0.3">
      <c r="A64" s="29" t="s">
        <v>111</v>
      </c>
      <c r="B64" s="59" t="s">
        <v>136</v>
      </c>
      <c r="C64" s="59" t="s">
        <v>113</v>
      </c>
      <c r="D64" s="59" t="s">
        <v>148</v>
      </c>
      <c r="E64" s="38" t="s">
        <v>220</v>
      </c>
    </row>
    <row r="65" spans="1:5" x14ac:dyDescent="0.3">
      <c r="A65" s="29" t="s">
        <v>111</v>
      </c>
      <c r="B65" s="38" t="s">
        <v>136</v>
      </c>
      <c r="C65" s="38" t="s">
        <v>106</v>
      </c>
      <c r="D65" s="38" t="s">
        <v>148</v>
      </c>
      <c r="E65" s="38" t="s">
        <v>220</v>
      </c>
    </row>
    <row r="66" spans="1:5" ht="15" thickBot="1" x14ac:dyDescent="0.35">
      <c r="A66" s="40" t="s">
        <v>111</v>
      </c>
      <c r="B66" s="60" t="s">
        <v>136</v>
      </c>
      <c r="C66" s="60" t="s">
        <v>136</v>
      </c>
      <c r="D66" s="60" t="s">
        <v>218</v>
      </c>
      <c r="E66" s="60" t="s">
        <v>220</v>
      </c>
    </row>
    <row r="67" spans="1:5" x14ac:dyDescent="0.3">
      <c r="A67" s="29" t="s">
        <v>111</v>
      </c>
      <c r="B67" s="59" t="s">
        <v>136</v>
      </c>
      <c r="C67" s="59" t="s">
        <v>113</v>
      </c>
      <c r="D67" s="59" t="s">
        <v>148</v>
      </c>
      <c r="E67" s="44" t="s">
        <v>219</v>
      </c>
    </row>
    <row r="68" spans="1:5" x14ac:dyDescent="0.3">
      <c r="A68" s="29" t="s">
        <v>111</v>
      </c>
      <c r="B68" s="38" t="s">
        <v>136</v>
      </c>
      <c r="C68" s="38" t="s">
        <v>106</v>
      </c>
      <c r="D68" s="61" t="s">
        <v>218</v>
      </c>
      <c r="E68" s="38" t="s">
        <v>219</v>
      </c>
    </row>
    <row r="69" spans="1:5" ht="15" thickBot="1" x14ac:dyDescent="0.35">
      <c r="A69" s="40" t="s">
        <v>111</v>
      </c>
      <c r="B69" s="60" t="s">
        <v>136</v>
      </c>
      <c r="C69" s="60" t="s">
        <v>136</v>
      </c>
      <c r="D69" s="60" t="s">
        <v>218</v>
      </c>
      <c r="E69" s="60" t="s">
        <v>219</v>
      </c>
    </row>
    <row r="70" spans="1:5" x14ac:dyDescent="0.3">
      <c r="A70" s="29" t="s">
        <v>105</v>
      </c>
      <c r="B70" s="38" t="s">
        <v>135</v>
      </c>
      <c r="C70" s="38" t="s">
        <v>113</v>
      </c>
      <c r="D70" s="38" t="s">
        <v>148</v>
      </c>
      <c r="E70" s="38" t="s">
        <v>220</v>
      </c>
    </row>
    <row r="71" spans="1:5" x14ac:dyDescent="0.3">
      <c r="A71" s="29" t="s">
        <v>105</v>
      </c>
      <c r="B71" s="38" t="s">
        <v>135</v>
      </c>
      <c r="C71" s="38" t="s">
        <v>106</v>
      </c>
      <c r="D71" s="38" t="s">
        <v>148</v>
      </c>
      <c r="E71" s="38" t="s">
        <v>220</v>
      </c>
    </row>
    <row r="72" spans="1:5" ht="15" thickBot="1" x14ac:dyDescent="0.35">
      <c r="A72" s="40" t="s">
        <v>105</v>
      </c>
      <c r="B72" s="60" t="s">
        <v>135</v>
      </c>
      <c r="C72" s="60" t="s">
        <v>136</v>
      </c>
      <c r="D72" s="60" t="s">
        <v>148</v>
      </c>
      <c r="E72" s="60" t="s">
        <v>220</v>
      </c>
    </row>
    <row r="73" spans="1:5" x14ac:dyDescent="0.3">
      <c r="A73" s="29" t="s">
        <v>105</v>
      </c>
      <c r="B73" s="38" t="s">
        <v>135</v>
      </c>
      <c r="C73" s="38" t="s">
        <v>113</v>
      </c>
      <c r="D73" s="38" t="s">
        <v>148</v>
      </c>
      <c r="E73" s="44" t="s">
        <v>219</v>
      </c>
    </row>
    <row r="74" spans="1:5" x14ac:dyDescent="0.3">
      <c r="A74" s="29" t="s">
        <v>105</v>
      </c>
      <c r="B74" s="38" t="s">
        <v>135</v>
      </c>
      <c r="C74" s="38" t="s">
        <v>106</v>
      </c>
      <c r="D74" s="38" t="s">
        <v>148</v>
      </c>
      <c r="E74" s="38" t="s">
        <v>219</v>
      </c>
    </row>
    <row r="75" spans="1:5" ht="15" thickBot="1" x14ac:dyDescent="0.35">
      <c r="A75" s="40" t="s">
        <v>105</v>
      </c>
      <c r="B75" s="60" t="s">
        <v>135</v>
      </c>
      <c r="C75" s="60" t="s">
        <v>136</v>
      </c>
      <c r="D75" s="60" t="s">
        <v>148</v>
      </c>
      <c r="E75" s="60" t="s">
        <v>219</v>
      </c>
    </row>
    <row r="76" spans="1:5" x14ac:dyDescent="0.3">
      <c r="A76" s="29" t="s">
        <v>105</v>
      </c>
      <c r="B76" s="94" t="s">
        <v>106</v>
      </c>
      <c r="C76" s="94" t="s">
        <v>113</v>
      </c>
      <c r="D76" s="94" t="s">
        <v>148</v>
      </c>
      <c r="E76" s="95" t="s">
        <v>220</v>
      </c>
    </row>
    <row r="77" spans="1:5" x14ac:dyDescent="0.3">
      <c r="A77" s="29" t="s">
        <v>105</v>
      </c>
      <c r="B77" s="95" t="s">
        <v>106</v>
      </c>
      <c r="C77" s="95" t="s">
        <v>106</v>
      </c>
      <c r="D77" s="95" t="s">
        <v>218</v>
      </c>
      <c r="E77" s="95" t="s">
        <v>220</v>
      </c>
    </row>
    <row r="78" spans="1:5" ht="15" thickBot="1" x14ac:dyDescent="0.35">
      <c r="A78" s="40" t="s">
        <v>105</v>
      </c>
      <c r="B78" s="96" t="s">
        <v>106</v>
      </c>
      <c r="C78" s="96" t="s">
        <v>136</v>
      </c>
      <c r="D78" s="96" t="s">
        <v>218</v>
      </c>
      <c r="E78" s="96" t="s">
        <v>220</v>
      </c>
    </row>
    <row r="79" spans="1:5" x14ac:dyDescent="0.3">
      <c r="A79" s="29" t="s">
        <v>105</v>
      </c>
      <c r="B79" s="94" t="s">
        <v>106</v>
      </c>
      <c r="C79" s="94" t="s">
        <v>113</v>
      </c>
      <c r="D79" s="94" t="s">
        <v>148</v>
      </c>
      <c r="E79" s="97" t="s">
        <v>219</v>
      </c>
    </row>
    <row r="80" spans="1:5" x14ac:dyDescent="0.3">
      <c r="A80" s="29" t="s">
        <v>105</v>
      </c>
      <c r="B80" s="95" t="s">
        <v>106</v>
      </c>
      <c r="C80" s="95" t="s">
        <v>106</v>
      </c>
      <c r="D80" s="95" t="s">
        <v>148</v>
      </c>
      <c r="E80" s="95" t="s">
        <v>219</v>
      </c>
    </row>
    <row r="81" spans="1:5" ht="15" thickBot="1" x14ac:dyDescent="0.35">
      <c r="A81" s="40" t="s">
        <v>105</v>
      </c>
      <c r="B81" s="96" t="s">
        <v>106</v>
      </c>
      <c r="C81" s="96" t="s">
        <v>136</v>
      </c>
      <c r="D81" s="96" t="s">
        <v>218</v>
      </c>
      <c r="E81" s="96" t="s">
        <v>219</v>
      </c>
    </row>
    <row r="82" spans="1:5" x14ac:dyDescent="0.3">
      <c r="A82" s="29" t="s">
        <v>105</v>
      </c>
      <c r="B82" s="59" t="s">
        <v>136</v>
      </c>
      <c r="C82" s="59" t="s">
        <v>113</v>
      </c>
      <c r="D82" s="59" t="s">
        <v>148</v>
      </c>
      <c r="E82" s="38" t="s">
        <v>220</v>
      </c>
    </row>
    <row r="83" spans="1:5" x14ac:dyDescent="0.3">
      <c r="A83" s="29" t="s">
        <v>105</v>
      </c>
      <c r="B83" s="38" t="s">
        <v>136</v>
      </c>
      <c r="C83" s="38" t="s">
        <v>106</v>
      </c>
      <c r="D83" s="38" t="s">
        <v>218</v>
      </c>
      <c r="E83" s="38" t="s">
        <v>220</v>
      </c>
    </row>
    <row r="84" spans="1:5" ht="15" thickBot="1" x14ac:dyDescent="0.35">
      <c r="A84" s="40" t="s">
        <v>105</v>
      </c>
      <c r="B84" s="60" t="s">
        <v>136</v>
      </c>
      <c r="C84" s="60" t="s">
        <v>136</v>
      </c>
      <c r="D84" s="60" t="s">
        <v>153</v>
      </c>
      <c r="E84" s="60" t="s">
        <v>220</v>
      </c>
    </row>
    <row r="85" spans="1:5" x14ac:dyDescent="0.3">
      <c r="A85" s="29" t="s">
        <v>105</v>
      </c>
      <c r="B85" s="59" t="s">
        <v>136</v>
      </c>
      <c r="C85" s="59" t="s">
        <v>113</v>
      </c>
      <c r="D85" s="59" t="s">
        <v>148</v>
      </c>
      <c r="E85" s="44" t="s">
        <v>219</v>
      </c>
    </row>
    <row r="86" spans="1:5" x14ac:dyDescent="0.3">
      <c r="A86" s="29" t="s">
        <v>105</v>
      </c>
      <c r="B86" s="38" t="s">
        <v>136</v>
      </c>
      <c r="C86" s="38" t="s">
        <v>106</v>
      </c>
      <c r="D86" s="61" t="s">
        <v>153</v>
      </c>
      <c r="E86" s="38" t="s">
        <v>219</v>
      </c>
    </row>
    <row r="87" spans="1:5" ht="15" thickBot="1" x14ac:dyDescent="0.35">
      <c r="A87" s="40" t="s">
        <v>105</v>
      </c>
      <c r="B87" s="60" t="s">
        <v>136</v>
      </c>
      <c r="C87" s="60" t="s">
        <v>136</v>
      </c>
      <c r="D87" s="60" t="s">
        <v>153</v>
      </c>
      <c r="E87" s="60" t="s">
        <v>219</v>
      </c>
    </row>
    <row r="88" spans="1:5" x14ac:dyDescent="0.3">
      <c r="A88" s="29" t="s">
        <v>118</v>
      </c>
      <c r="B88" s="38" t="s">
        <v>135</v>
      </c>
      <c r="C88" s="38" t="s">
        <v>113</v>
      </c>
      <c r="D88" s="38" t="s">
        <v>148</v>
      </c>
      <c r="E88" s="38" t="s">
        <v>220</v>
      </c>
    </row>
    <row r="89" spans="1:5" x14ac:dyDescent="0.3">
      <c r="A89" s="29" t="s">
        <v>118</v>
      </c>
      <c r="B89" s="38" t="s">
        <v>135</v>
      </c>
      <c r="C89" s="38" t="s">
        <v>106</v>
      </c>
      <c r="D89" s="38" t="s">
        <v>218</v>
      </c>
      <c r="E89" s="38" t="s">
        <v>220</v>
      </c>
    </row>
    <row r="90" spans="1:5" ht="15" thickBot="1" x14ac:dyDescent="0.35">
      <c r="A90" s="40" t="s">
        <v>118</v>
      </c>
      <c r="B90" s="60" t="s">
        <v>135</v>
      </c>
      <c r="C90" s="60" t="s">
        <v>136</v>
      </c>
      <c r="D90" s="60" t="s">
        <v>218</v>
      </c>
      <c r="E90" s="60" t="s">
        <v>220</v>
      </c>
    </row>
    <row r="91" spans="1:5" x14ac:dyDescent="0.3">
      <c r="A91" s="29" t="s">
        <v>118</v>
      </c>
      <c r="B91" s="38" t="s">
        <v>135</v>
      </c>
      <c r="C91" s="38" t="s">
        <v>113</v>
      </c>
      <c r="D91" s="38" t="s">
        <v>148</v>
      </c>
      <c r="E91" s="44" t="s">
        <v>219</v>
      </c>
    </row>
    <row r="92" spans="1:5" x14ac:dyDescent="0.3">
      <c r="A92" s="29" t="s">
        <v>118</v>
      </c>
      <c r="B92" s="38" t="s">
        <v>135</v>
      </c>
      <c r="C92" s="38" t="s">
        <v>106</v>
      </c>
      <c r="D92" s="38" t="s">
        <v>148</v>
      </c>
      <c r="E92" s="38" t="s">
        <v>219</v>
      </c>
    </row>
    <row r="93" spans="1:5" ht="15" thickBot="1" x14ac:dyDescent="0.35">
      <c r="A93" s="40" t="s">
        <v>118</v>
      </c>
      <c r="B93" s="60" t="s">
        <v>135</v>
      </c>
      <c r="C93" s="60" t="s">
        <v>136</v>
      </c>
      <c r="D93" s="60" t="s">
        <v>218</v>
      </c>
      <c r="E93" s="60" t="s">
        <v>219</v>
      </c>
    </row>
    <row r="94" spans="1:5" x14ac:dyDescent="0.3">
      <c r="A94" s="29" t="s">
        <v>118</v>
      </c>
      <c r="B94" s="94" t="s">
        <v>106</v>
      </c>
      <c r="C94" s="94" t="s">
        <v>113</v>
      </c>
      <c r="D94" s="94" t="s">
        <v>218</v>
      </c>
      <c r="E94" s="95" t="s">
        <v>220</v>
      </c>
    </row>
    <row r="95" spans="1:5" x14ac:dyDescent="0.3">
      <c r="A95" s="29" t="s">
        <v>118</v>
      </c>
      <c r="B95" s="95" t="s">
        <v>106</v>
      </c>
      <c r="C95" s="95" t="s">
        <v>106</v>
      </c>
      <c r="D95" s="95" t="s">
        <v>153</v>
      </c>
      <c r="E95" s="95" t="s">
        <v>220</v>
      </c>
    </row>
    <row r="96" spans="1:5" ht="15" thickBot="1" x14ac:dyDescent="0.35">
      <c r="A96" s="40" t="s">
        <v>118</v>
      </c>
      <c r="B96" s="96" t="s">
        <v>106</v>
      </c>
      <c r="C96" s="96" t="s">
        <v>136</v>
      </c>
      <c r="D96" s="96" t="s">
        <v>153</v>
      </c>
      <c r="E96" s="96" t="s">
        <v>220</v>
      </c>
    </row>
    <row r="97" spans="1:5" x14ac:dyDescent="0.3">
      <c r="A97" s="29" t="s">
        <v>118</v>
      </c>
      <c r="B97" s="94" t="s">
        <v>106</v>
      </c>
      <c r="C97" s="94" t="s">
        <v>113</v>
      </c>
      <c r="D97" s="94" t="s">
        <v>218</v>
      </c>
      <c r="E97" s="97" t="s">
        <v>219</v>
      </c>
    </row>
    <row r="98" spans="1:5" x14ac:dyDescent="0.3">
      <c r="A98" s="29" t="s">
        <v>118</v>
      </c>
      <c r="B98" s="95" t="s">
        <v>106</v>
      </c>
      <c r="C98" s="95" t="s">
        <v>106</v>
      </c>
      <c r="D98" s="95" t="s">
        <v>153</v>
      </c>
      <c r="E98" s="95" t="s">
        <v>219</v>
      </c>
    </row>
    <row r="99" spans="1:5" ht="15" thickBot="1" x14ac:dyDescent="0.35">
      <c r="A99" s="40" t="s">
        <v>118</v>
      </c>
      <c r="B99" s="96" t="s">
        <v>106</v>
      </c>
      <c r="C99" s="96" t="s">
        <v>136</v>
      </c>
      <c r="D99" s="96" t="s">
        <v>153</v>
      </c>
      <c r="E99" s="96" t="s">
        <v>219</v>
      </c>
    </row>
    <row r="100" spans="1:5" x14ac:dyDescent="0.3">
      <c r="A100" s="29" t="s">
        <v>118</v>
      </c>
      <c r="B100" s="98" t="s">
        <v>136</v>
      </c>
      <c r="C100" s="98" t="s">
        <v>113</v>
      </c>
      <c r="D100" s="98" t="s">
        <v>218</v>
      </c>
      <c r="E100" s="36" t="s">
        <v>220</v>
      </c>
    </row>
    <row r="101" spans="1:5" x14ac:dyDescent="0.3">
      <c r="A101" s="29" t="s">
        <v>118</v>
      </c>
      <c r="B101" s="36" t="s">
        <v>136</v>
      </c>
      <c r="C101" s="36" t="s">
        <v>106</v>
      </c>
      <c r="D101" s="36" t="s">
        <v>153</v>
      </c>
      <c r="E101" s="36" t="s">
        <v>220</v>
      </c>
    </row>
    <row r="102" spans="1:5" ht="15" thickBot="1" x14ac:dyDescent="0.35">
      <c r="A102" s="40" t="s">
        <v>118</v>
      </c>
      <c r="B102" s="45" t="s">
        <v>136</v>
      </c>
      <c r="C102" s="45" t="s">
        <v>136</v>
      </c>
      <c r="D102" s="45" t="s">
        <v>153</v>
      </c>
      <c r="E102" s="45" t="s">
        <v>220</v>
      </c>
    </row>
    <row r="103" spans="1:5" x14ac:dyDescent="0.3">
      <c r="A103" s="29" t="s">
        <v>118</v>
      </c>
      <c r="B103" s="98" t="s">
        <v>136</v>
      </c>
      <c r="C103" s="98" t="s">
        <v>113</v>
      </c>
      <c r="D103" s="98" t="s">
        <v>218</v>
      </c>
      <c r="E103" s="47" t="s">
        <v>219</v>
      </c>
    </row>
    <row r="104" spans="1:5" x14ac:dyDescent="0.3">
      <c r="A104" s="29" t="s">
        <v>118</v>
      </c>
      <c r="B104" s="36" t="s">
        <v>136</v>
      </c>
      <c r="C104" s="36" t="s">
        <v>106</v>
      </c>
      <c r="D104" s="58" t="s">
        <v>153</v>
      </c>
      <c r="E104" s="36" t="s">
        <v>219</v>
      </c>
    </row>
    <row r="105" spans="1:5" ht="15" thickBot="1" x14ac:dyDescent="0.35">
      <c r="A105" s="40" t="s">
        <v>118</v>
      </c>
      <c r="B105" s="45" t="s">
        <v>136</v>
      </c>
      <c r="C105" s="45" t="s">
        <v>136</v>
      </c>
      <c r="D105" s="45" t="s">
        <v>153</v>
      </c>
      <c r="E105" s="45" t="s">
        <v>219</v>
      </c>
    </row>
    <row r="106" spans="1:5" x14ac:dyDescent="0.3">
      <c r="A106" s="29" t="s">
        <v>119</v>
      </c>
      <c r="B106" s="38" t="s">
        <v>135</v>
      </c>
      <c r="C106" s="38" t="s">
        <v>113</v>
      </c>
      <c r="D106" s="38" t="s">
        <v>218</v>
      </c>
      <c r="E106" s="38" t="s">
        <v>220</v>
      </c>
    </row>
    <row r="107" spans="1:5" x14ac:dyDescent="0.3">
      <c r="A107" s="29" t="s">
        <v>119</v>
      </c>
      <c r="B107" s="38" t="s">
        <v>135</v>
      </c>
      <c r="C107" s="38" t="s">
        <v>106</v>
      </c>
      <c r="D107" s="38" t="s">
        <v>153</v>
      </c>
      <c r="E107" s="38" t="s">
        <v>220</v>
      </c>
    </row>
    <row r="108" spans="1:5" ht="15" thickBot="1" x14ac:dyDescent="0.35">
      <c r="A108" s="40" t="s">
        <v>119</v>
      </c>
      <c r="B108" s="60" t="s">
        <v>135</v>
      </c>
      <c r="C108" s="60" t="s">
        <v>136</v>
      </c>
      <c r="D108" s="60" t="s">
        <v>153</v>
      </c>
      <c r="E108" s="60" t="s">
        <v>220</v>
      </c>
    </row>
    <row r="109" spans="1:5" x14ac:dyDescent="0.3">
      <c r="A109" s="29" t="s">
        <v>119</v>
      </c>
      <c r="B109" s="38" t="s">
        <v>135</v>
      </c>
      <c r="C109" s="38" t="s">
        <v>113</v>
      </c>
      <c r="D109" s="38" t="s">
        <v>218</v>
      </c>
      <c r="E109" s="44" t="s">
        <v>219</v>
      </c>
    </row>
    <row r="110" spans="1:5" x14ac:dyDescent="0.3">
      <c r="A110" s="29" t="s">
        <v>119</v>
      </c>
      <c r="B110" s="38" t="s">
        <v>135</v>
      </c>
      <c r="C110" s="38" t="s">
        <v>106</v>
      </c>
      <c r="D110" s="38" t="s">
        <v>218</v>
      </c>
      <c r="E110" s="38" t="s">
        <v>219</v>
      </c>
    </row>
    <row r="111" spans="1:5" ht="15" thickBot="1" x14ac:dyDescent="0.35">
      <c r="A111" s="40" t="s">
        <v>119</v>
      </c>
      <c r="B111" s="60" t="s">
        <v>135</v>
      </c>
      <c r="C111" s="60" t="s">
        <v>136</v>
      </c>
      <c r="D111" s="60" t="s">
        <v>153</v>
      </c>
      <c r="E111" s="60" t="s">
        <v>219</v>
      </c>
    </row>
    <row r="112" spans="1:5" x14ac:dyDescent="0.3">
      <c r="A112" s="29" t="s">
        <v>119</v>
      </c>
      <c r="B112" s="94" t="s">
        <v>106</v>
      </c>
      <c r="C112" s="94" t="s">
        <v>113</v>
      </c>
      <c r="D112" s="94" t="s">
        <v>153</v>
      </c>
      <c r="E112" s="95" t="s">
        <v>220</v>
      </c>
    </row>
    <row r="113" spans="1:5" x14ac:dyDescent="0.3">
      <c r="A113" s="29" t="s">
        <v>119</v>
      </c>
      <c r="B113" s="95" t="s">
        <v>106</v>
      </c>
      <c r="C113" s="95" t="s">
        <v>106</v>
      </c>
      <c r="D113" s="95" t="s">
        <v>120</v>
      </c>
      <c r="E113" s="95" t="s">
        <v>220</v>
      </c>
    </row>
    <row r="114" spans="1:5" ht="15" thickBot="1" x14ac:dyDescent="0.35">
      <c r="A114" s="40" t="s">
        <v>119</v>
      </c>
      <c r="B114" s="96" t="s">
        <v>106</v>
      </c>
      <c r="C114" s="96" t="s">
        <v>136</v>
      </c>
      <c r="D114" s="96" t="s">
        <v>120</v>
      </c>
      <c r="E114" s="96" t="s">
        <v>220</v>
      </c>
    </row>
    <row r="115" spans="1:5" x14ac:dyDescent="0.3">
      <c r="A115" s="29" t="s">
        <v>119</v>
      </c>
      <c r="B115" s="94" t="s">
        <v>106</v>
      </c>
      <c r="C115" s="94" t="s">
        <v>113</v>
      </c>
      <c r="D115" s="94" t="s">
        <v>153</v>
      </c>
      <c r="E115" s="97" t="s">
        <v>219</v>
      </c>
    </row>
    <row r="116" spans="1:5" x14ac:dyDescent="0.3">
      <c r="A116" s="29" t="s">
        <v>119</v>
      </c>
      <c r="B116" s="95" t="s">
        <v>106</v>
      </c>
      <c r="C116" s="95" t="s">
        <v>106</v>
      </c>
      <c r="D116" s="95" t="s">
        <v>120</v>
      </c>
      <c r="E116" s="95" t="s">
        <v>219</v>
      </c>
    </row>
    <row r="117" spans="1:5" ht="15" thickBot="1" x14ac:dyDescent="0.35">
      <c r="A117" s="40" t="s">
        <v>119</v>
      </c>
      <c r="B117" s="96" t="s">
        <v>106</v>
      </c>
      <c r="C117" s="96" t="s">
        <v>136</v>
      </c>
      <c r="D117" s="96" t="s">
        <v>120</v>
      </c>
      <c r="E117" s="96" t="s">
        <v>219</v>
      </c>
    </row>
    <row r="118" spans="1:5" x14ac:dyDescent="0.3">
      <c r="A118" s="29" t="s">
        <v>119</v>
      </c>
      <c r="B118" s="98" t="s">
        <v>136</v>
      </c>
      <c r="C118" s="98" t="s">
        <v>113</v>
      </c>
      <c r="D118" s="98" t="s">
        <v>153</v>
      </c>
      <c r="E118" s="36" t="s">
        <v>220</v>
      </c>
    </row>
    <row r="119" spans="1:5" x14ac:dyDescent="0.3">
      <c r="A119" s="29" t="s">
        <v>119</v>
      </c>
      <c r="B119" s="36" t="s">
        <v>136</v>
      </c>
      <c r="C119" s="36" t="s">
        <v>106</v>
      </c>
      <c r="D119" s="36" t="s">
        <v>120</v>
      </c>
      <c r="E119" s="36" t="s">
        <v>220</v>
      </c>
    </row>
    <row r="120" spans="1:5" ht="15" thickBot="1" x14ac:dyDescent="0.35">
      <c r="A120" s="40" t="s">
        <v>119</v>
      </c>
      <c r="B120" s="45" t="s">
        <v>136</v>
      </c>
      <c r="C120" s="45" t="s">
        <v>136</v>
      </c>
      <c r="D120" s="45" t="s">
        <v>120</v>
      </c>
      <c r="E120" s="45" t="s">
        <v>220</v>
      </c>
    </row>
    <row r="121" spans="1:5" x14ac:dyDescent="0.3">
      <c r="A121" s="29" t="s">
        <v>119</v>
      </c>
      <c r="B121" s="98" t="s">
        <v>136</v>
      </c>
      <c r="C121" s="98" t="s">
        <v>113</v>
      </c>
      <c r="D121" s="98" t="s">
        <v>153</v>
      </c>
      <c r="E121" s="47" t="s">
        <v>219</v>
      </c>
    </row>
    <row r="122" spans="1:5" x14ac:dyDescent="0.3">
      <c r="A122" s="29" t="s">
        <v>119</v>
      </c>
      <c r="B122" s="36" t="s">
        <v>136</v>
      </c>
      <c r="C122" s="36" t="s">
        <v>106</v>
      </c>
      <c r="D122" s="58" t="s">
        <v>120</v>
      </c>
      <c r="E122" s="36" t="s">
        <v>219</v>
      </c>
    </row>
    <row r="123" spans="1:5" ht="15" thickBot="1" x14ac:dyDescent="0.35">
      <c r="A123" s="40" t="s">
        <v>119</v>
      </c>
      <c r="B123" s="45" t="s">
        <v>136</v>
      </c>
      <c r="C123" s="45" t="s">
        <v>136</v>
      </c>
      <c r="D123" s="45" t="s">
        <v>120</v>
      </c>
      <c r="E123" s="45" t="s">
        <v>219</v>
      </c>
    </row>
    <row r="124" spans="1:5" x14ac:dyDescent="0.3">
      <c r="A124" s="29" t="s">
        <v>122</v>
      </c>
      <c r="B124" s="38" t="s">
        <v>135</v>
      </c>
      <c r="C124" s="38" t="s">
        <v>113</v>
      </c>
      <c r="D124" s="38" t="s">
        <v>120</v>
      </c>
      <c r="E124" s="38" t="s">
        <v>220</v>
      </c>
    </row>
    <row r="125" spans="1:5" x14ac:dyDescent="0.3">
      <c r="A125" s="29" t="s">
        <v>122</v>
      </c>
      <c r="B125" s="38" t="s">
        <v>135</v>
      </c>
      <c r="C125" s="38" t="s">
        <v>106</v>
      </c>
      <c r="D125" s="38" t="s">
        <v>120</v>
      </c>
      <c r="E125" s="38" t="s">
        <v>220</v>
      </c>
    </row>
    <row r="126" spans="1:5" ht="15" thickBot="1" x14ac:dyDescent="0.35">
      <c r="A126" s="40" t="s">
        <v>122</v>
      </c>
      <c r="B126" s="60" t="s">
        <v>135</v>
      </c>
      <c r="C126" s="60" t="s">
        <v>136</v>
      </c>
      <c r="D126" s="60" t="s">
        <v>120</v>
      </c>
      <c r="E126" s="60" t="s">
        <v>220</v>
      </c>
    </row>
    <row r="127" spans="1:5" x14ac:dyDescent="0.3">
      <c r="A127" s="29" t="s">
        <v>122</v>
      </c>
      <c r="B127" s="38" t="s">
        <v>135</v>
      </c>
      <c r="C127" s="38" t="s">
        <v>113</v>
      </c>
      <c r="D127" s="38" t="s">
        <v>120</v>
      </c>
      <c r="E127" s="44" t="s">
        <v>219</v>
      </c>
    </row>
    <row r="128" spans="1:5" x14ac:dyDescent="0.3">
      <c r="A128" s="29" t="s">
        <v>122</v>
      </c>
      <c r="B128" s="38" t="s">
        <v>135</v>
      </c>
      <c r="C128" s="38" t="s">
        <v>106</v>
      </c>
      <c r="D128" s="38" t="s">
        <v>120</v>
      </c>
      <c r="E128" s="38" t="s">
        <v>219</v>
      </c>
    </row>
    <row r="129" spans="1:5" ht="15" thickBot="1" x14ac:dyDescent="0.35">
      <c r="A129" s="40" t="s">
        <v>122</v>
      </c>
      <c r="B129" s="60" t="s">
        <v>135</v>
      </c>
      <c r="C129" s="60" t="s">
        <v>136</v>
      </c>
      <c r="D129" s="60" t="s">
        <v>120</v>
      </c>
      <c r="E129" s="60" t="s">
        <v>219</v>
      </c>
    </row>
    <row r="130" spans="1:5" x14ac:dyDescent="0.3">
      <c r="A130" s="29" t="s">
        <v>122</v>
      </c>
      <c r="B130" s="94" t="s">
        <v>106</v>
      </c>
      <c r="C130" s="94" t="s">
        <v>113</v>
      </c>
      <c r="D130" s="94" t="s">
        <v>120</v>
      </c>
      <c r="E130" s="95" t="s">
        <v>220</v>
      </c>
    </row>
    <row r="131" spans="1:5" x14ac:dyDescent="0.3">
      <c r="A131" s="29" t="s">
        <v>122</v>
      </c>
      <c r="B131" s="95" t="s">
        <v>106</v>
      </c>
      <c r="C131" s="95" t="s">
        <v>106</v>
      </c>
      <c r="D131" s="95" t="s">
        <v>120</v>
      </c>
      <c r="E131" s="95" t="s">
        <v>220</v>
      </c>
    </row>
    <row r="132" spans="1:5" ht="15" thickBot="1" x14ac:dyDescent="0.35">
      <c r="A132" s="40" t="s">
        <v>122</v>
      </c>
      <c r="B132" s="96" t="s">
        <v>106</v>
      </c>
      <c r="C132" s="96" t="s">
        <v>136</v>
      </c>
      <c r="D132" s="96" t="s">
        <v>120</v>
      </c>
      <c r="E132" s="96" t="s">
        <v>220</v>
      </c>
    </row>
    <row r="133" spans="1:5" x14ac:dyDescent="0.3">
      <c r="A133" s="29" t="s">
        <v>122</v>
      </c>
      <c r="B133" s="94" t="s">
        <v>106</v>
      </c>
      <c r="C133" s="94" t="s">
        <v>113</v>
      </c>
      <c r="D133" s="95" t="s">
        <v>120</v>
      </c>
      <c r="E133" s="97" t="s">
        <v>219</v>
      </c>
    </row>
    <row r="134" spans="1:5" x14ac:dyDescent="0.3">
      <c r="A134" s="29" t="s">
        <v>122</v>
      </c>
      <c r="B134" s="95" t="s">
        <v>106</v>
      </c>
      <c r="C134" s="95" t="s">
        <v>106</v>
      </c>
      <c r="D134" s="95" t="s">
        <v>120</v>
      </c>
      <c r="E134" s="95" t="s">
        <v>219</v>
      </c>
    </row>
    <row r="135" spans="1:5" ht="15" thickBot="1" x14ac:dyDescent="0.35">
      <c r="A135" s="40" t="s">
        <v>122</v>
      </c>
      <c r="B135" s="96" t="s">
        <v>106</v>
      </c>
      <c r="C135" s="96" t="s">
        <v>136</v>
      </c>
      <c r="D135" s="96" t="s">
        <v>120</v>
      </c>
      <c r="E135" s="96" t="s">
        <v>219</v>
      </c>
    </row>
    <row r="136" spans="1:5" x14ac:dyDescent="0.3">
      <c r="A136" s="29" t="s">
        <v>122</v>
      </c>
      <c r="B136" s="98" t="s">
        <v>136</v>
      </c>
      <c r="C136" s="98" t="s">
        <v>113</v>
      </c>
      <c r="D136" s="98" t="s">
        <v>120</v>
      </c>
      <c r="E136" s="36" t="s">
        <v>220</v>
      </c>
    </row>
    <row r="137" spans="1:5" x14ac:dyDescent="0.3">
      <c r="A137" s="29" t="s">
        <v>122</v>
      </c>
      <c r="B137" s="36" t="s">
        <v>136</v>
      </c>
      <c r="C137" s="36" t="s">
        <v>106</v>
      </c>
      <c r="D137" s="36" t="s">
        <v>120</v>
      </c>
      <c r="E137" s="36" t="s">
        <v>220</v>
      </c>
    </row>
    <row r="138" spans="1:5" ht="15" thickBot="1" x14ac:dyDescent="0.35">
      <c r="A138" s="40" t="s">
        <v>122</v>
      </c>
      <c r="B138" s="45" t="s">
        <v>136</v>
      </c>
      <c r="C138" s="45" t="s">
        <v>136</v>
      </c>
      <c r="D138" s="45" t="s">
        <v>120</v>
      </c>
      <c r="E138" s="45" t="s">
        <v>220</v>
      </c>
    </row>
    <row r="139" spans="1:5" x14ac:dyDescent="0.3">
      <c r="A139" s="29" t="s">
        <v>122</v>
      </c>
      <c r="B139" s="98" t="s">
        <v>136</v>
      </c>
      <c r="C139" s="98" t="s">
        <v>113</v>
      </c>
      <c r="D139" s="36" t="s">
        <v>120</v>
      </c>
      <c r="E139" s="47" t="s">
        <v>219</v>
      </c>
    </row>
    <row r="140" spans="1:5" x14ac:dyDescent="0.3">
      <c r="A140" s="29" t="s">
        <v>122</v>
      </c>
      <c r="B140" s="36" t="s">
        <v>136</v>
      </c>
      <c r="C140" s="36" t="s">
        <v>106</v>
      </c>
      <c r="D140" s="36" t="s">
        <v>120</v>
      </c>
      <c r="E140" s="36" t="s">
        <v>219</v>
      </c>
    </row>
    <row r="141" spans="1:5" ht="15" thickBot="1" x14ac:dyDescent="0.35">
      <c r="A141" s="40" t="s">
        <v>122</v>
      </c>
      <c r="B141" s="45" t="s">
        <v>136</v>
      </c>
      <c r="C141" s="45" t="s">
        <v>136</v>
      </c>
      <c r="D141" s="45" t="s">
        <v>120</v>
      </c>
      <c r="E141" s="45" t="s">
        <v>219</v>
      </c>
    </row>
    <row r="142" spans="1:5" x14ac:dyDescent="0.3">
      <c r="A142" s="29" t="s">
        <v>117</v>
      </c>
      <c r="B142" s="38" t="s">
        <v>135</v>
      </c>
      <c r="C142" s="38" t="s">
        <v>113</v>
      </c>
      <c r="D142" s="38" t="s">
        <v>148</v>
      </c>
      <c r="E142" s="38" t="s">
        <v>220</v>
      </c>
    </row>
    <row r="143" spans="1:5" x14ac:dyDescent="0.3">
      <c r="A143" s="29" t="s">
        <v>117</v>
      </c>
      <c r="B143" s="38" t="s">
        <v>135</v>
      </c>
      <c r="C143" s="38" t="s">
        <v>106</v>
      </c>
      <c r="D143" s="38" t="s">
        <v>148</v>
      </c>
      <c r="E143" s="38" t="s">
        <v>220</v>
      </c>
    </row>
    <row r="144" spans="1:5" ht="15" thickBot="1" x14ac:dyDescent="0.35">
      <c r="A144" s="40" t="s">
        <v>117</v>
      </c>
      <c r="B144" s="60" t="s">
        <v>135</v>
      </c>
      <c r="C144" s="60" t="s">
        <v>136</v>
      </c>
      <c r="D144" s="60" t="s">
        <v>148</v>
      </c>
      <c r="E144" s="60" t="s">
        <v>220</v>
      </c>
    </row>
    <row r="145" spans="1:5" x14ac:dyDescent="0.3">
      <c r="A145" s="29" t="s">
        <v>117</v>
      </c>
      <c r="B145" s="38" t="s">
        <v>135</v>
      </c>
      <c r="C145" s="38" t="s">
        <v>113</v>
      </c>
      <c r="D145" s="38" t="s">
        <v>148</v>
      </c>
      <c r="E145" s="44" t="s">
        <v>219</v>
      </c>
    </row>
    <row r="146" spans="1:5" x14ac:dyDescent="0.3">
      <c r="A146" s="29" t="s">
        <v>117</v>
      </c>
      <c r="B146" s="38" t="s">
        <v>135</v>
      </c>
      <c r="C146" s="38" t="s">
        <v>106</v>
      </c>
      <c r="D146" s="38" t="s">
        <v>148</v>
      </c>
      <c r="E146" s="38" t="s">
        <v>219</v>
      </c>
    </row>
    <row r="147" spans="1:5" ht="15" thickBot="1" x14ac:dyDescent="0.35">
      <c r="A147" s="40" t="s">
        <v>117</v>
      </c>
      <c r="B147" s="60" t="s">
        <v>135</v>
      </c>
      <c r="C147" s="60" t="s">
        <v>136</v>
      </c>
      <c r="D147" s="60" t="s">
        <v>148</v>
      </c>
      <c r="E147" s="60" t="s">
        <v>219</v>
      </c>
    </row>
    <row r="148" spans="1:5" x14ac:dyDescent="0.3">
      <c r="A148" s="29" t="s">
        <v>117</v>
      </c>
      <c r="B148" s="94" t="s">
        <v>106</v>
      </c>
      <c r="C148" s="95" t="s">
        <v>113</v>
      </c>
      <c r="D148" s="95" t="s">
        <v>148</v>
      </c>
      <c r="E148" s="95" t="s">
        <v>220</v>
      </c>
    </row>
    <row r="149" spans="1:5" x14ac:dyDescent="0.3">
      <c r="A149" s="29" t="s">
        <v>117</v>
      </c>
      <c r="B149" s="95" t="s">
        <v>106</v>
      </c>
      <c r="C149" s="95" t="s">
        <v>106</v>
      </c>
      <c r="D149" s="95" t="s">
        <v>148</v>
      </c>
      <c r="E149" s="95" t="s">
        <v>220</v>
      </c>
    </row>
    <row r="150" spans="1:5" ht="15" thickBot="1" x14ac:dyDescent="0.35">
      <c r="A150" s="40" t="s">
        <v>117</v>
      </c>
      <c r="B150" s="96" t="s">
        <v>106</v>
      </c>
      <c r="C150" s="96" t="s">
        <v>136</v>
      </c>
      <c r="D150" s="96" t="s">
        <v>148</v>
      </c>
      <c r="E150" s="96" t="s">
        <v>220</v>
      </c>
    </row>
    <row r="151" spans="1:5" x14ac:dyDescent="0.3">
      <c r="A151" s="29" t="s">
        <v>117</v>
      </c>
      <c r="B151" s="94" t="s">
        <v>106</v>
      </c>
      <c r="C151" s="95" t="s">
        <v>113</v>
      </c>
      <c r="D151" s="95" t="s">
        <v>148</v>
      </c>
      <c r="E151" s="97" t="s">
        <v>219</v>
      </c>
    </row>
    <row r="152" spans="1:5" x14ac:dyDescent="0.3">
      <c r="A152" s="29" t="s">
        <v>117</v>
      </c>
      <c r="B152" s="95" t="s">
        <v>106</v>
      </c>
      <c r="C152" s="95" t="s">
        <v>106</v>
      </c>
      <c r="D152" s="95" t="s">
        <v>148</v>
      </c>
      <c r="E152" s="95" t="s">
        <v>219</v>
      </c>
    </row>
    <row r="153" spans="1:5" ht="15" thickBot="1" x14ac:dyDescent="0.35">
      <c r="A153" s="40" t="s">
        <v>117</v>
      </c>
      <c r="B153" s="96" t="s">
        <v>106</v>
      </c>
      <c r="C153" s="96" t="s">
        <v>136</v>
      </c>
      <c r="D153" s="96" t="s">
        <v>148</v>
      </c>
      <c r="E153" s="96" t="s">
        <v>219</v>
      </c>
    </row>
    <row r="154" spans="1:5" x14ac:dyDescent="0.3">
      <c r="A154" s="29" t="s">
        <v>117</v>
      </c>
      <c r="B154" s="98" t="s">
        <v>136</v>
      </c>
      <c r="C154" s="36" t="s">
        <v>113</v>
      </c>
      <c r="D154" s="36" t="s">
        <v>148</v>
      </c>
      <c r="E154" s="36" t="s">
        <v>220</v>
      </c>
    </row>
    <row r="155" spans="1:5" x14ac:dyDescent="0.3">
      <c r="A155" s="29" t="s">
        <v>117</v>
      </c>
      <c r="B155" s="36" t="s">
        <v>136</v>
      </c>
      <c r="C155" s="36" t="s">
        <v>106</v>
      </c>
      <c r="D155" s="36" t="s">
        <v>148</v>
      </c>
      <c r="E155" s="36" t="s">
        <v>220</v>
      </c>
    </row>
    <row r="156" spans="1:5" ht="15" thickBot="1" x14ac:dyDescent="0.35">
      <c r="A156" s="40" t="s">
        <v>117</v>
      </c>
      <c r="B156" s="45" t="s">
        <v>136</v>
      </c>
      <c r="C156" s="45" t="s">
        <v>136</v>
      </c>
      <c r="D156" s="45" t="s">
        <v>148</v>
      </c>
      <c r="E156" s="45" t="s">
        <v>220</v>
      </c>
    </row>
    <row r="157" spans="1:5" x14ac:dyDescent="0.3">
      <c r="A157" s="29" t="s">
        <v>117</v>
      </c>
      <c r="B157" s="98" t="s">
        <v>136</v>
      </c>
      <c r="C157" s="36" t="s">
        <v>113</v>
      </c>
      <c r="D157" s="36" t="s">
        <v>148</v>
      </c>
      <c r="E157" s="47" t="s">
        <v>219</v>
      </c>
    </row>
    <row r="158" spans="1:5" x14ac:dyDescent="0.3">
      <c r="A158" s="29" t="s">
        <v>117</v>
      </c>
      <c r="B158" s="36" t="s">
        <v>136</v>
      </c>
      <c r="C158" s="36" t="s">
        <v>106</v>
      </c>
      <c r="D158" s="36" t="s">
        <v>148</v>
      </c>
      <c r="E158" s="36" t="s">
        <v>219</v>
      </c>
    </row>
    <row r="159" spans="1:5" ht="15" thickBot="1" x14ac:dyDescent="0.35">
      <c r="A159" s="40" t="s">
        <v>117</v>
      </c>
      <c r="B159" s="45" t="s">
        <v>136</v>
      </c>
      <c r="C159" s="45" t="s">
        <v>136</v>
      </c>
      <c r="D159" s="45" t="s">
        <v>148</v>
      </c>
      <c r="E159" s="45" t="s">
        <v>219</v>
      </c>
    </row>
    <row r="160" spans="1:5" x14ac:dyDescent="0.3">
      <c r="A160" s="92"/>
      <c r="B160" s="93"/>
      <c r="C160" s="93"/>
      <c r="D160" s="93"/>
      <c r="E160" s="93"/>
    </row>
    <row r="162" spans="4:5" x14ac:dyDescent="0.3">
      <c r="D162" s="521" t="s">
        <v>207</v>
      </c>
      <c r="E162" s="521"/>
    </row>
    <row r="163" spans="4:5" x14ac:dyDescent="0.3">
      <c r="D163" s="55" t="s">
        <v>200</v>
      </c>
      <c r="E163" s="55" t="s">
        <v>166</v>
      </c>
    </row>
    <row r="164" spans="4:5" x14ac:dyDescent="0.3">
      <c r="D164" s="38" t="s">
        <v>148</v>
      </c>
      <c r="E164" s="38" t="s">
        <v>221</v>
      </c>
    </row>
    <row r="165" spans="4:5" x14ac:dyDescent="0.3">
      <c r="D165" s="37" t="s">
        <v>218</v>
      </c>
      <c r="E165" s="38" t="s">
        <v>222</v>
      </c>
    </row>
    <row r="166" spans="4:5" x14ac:dyDescent="0.3">
      <c r="D166" s="37" t="s">
        <v>153</v>
      </c>
      <c r="E166" s="38" t="s">
        <v>223</v>
      </c>
    </row>
    <row r="167" spans="4:5" x14ac:dyDescent="0.3">
      <c r="D167" s="36" t="s">
        <v>120</v>
      </c>
      <c r="E167" s="36" t="s">
        <v>204</v>
      </c>
    </row>
  </sheetData>
  <mergeCells count="5">
    <mergeCell ref="A3:A4"/>
    <mergeCell ref="B30:C30"/>
    <mergeCell ref="D162:E162"/>
    <mergeCell ref="D3:E3"/>
    <mergeCell ref="B3:C3"/>
  </mergeCells>
  <pageMargins left="0.39370078740157483" right="0.39370078740157483" top="0.39370078740157483" bottom="0.39370078740157483" header="0.19685039370078741" footer="0.19685039370078741"/>
  <pageSetup paperSize="9" scale="68" pageOrder="overThenDown" orientation="landscape" verticalDpi="1200" r:id="rId1"/>
  <headerFooter>
    <oddFooter>&amp;L&amp;G&amp;R&amp;"Arial,Standard"&amp;9Seite &amp;P /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5"/>
  <dimension ref="A1:K53"/>
  <sheetViews>
    <sheetView showGridLines="0" workbookViewId="0">
      <selection activeCell="F19" sqref="F19"/>
    </sheetView>
  </sheetViews>
  <sheetFormatPr baseColWidth="10" defaultRowHeight="14.4" x14ac:dyDescent="0.3"/>
  <cols>
    <col min="1" max="1" width="38.6640625" customWidth="1"/>
    <col min="2" max="5" width="22.33203125" customWidth="1"/>
    <col min="7" max="7" width="89" customWidth="1"/>
  </cols>
  <sheetData>
    <row r="1" spans="1:11" x14ac:dyDescent="0.3">
      <c r="A1" s="28" t="s">
        <v>203</v>
      </c>
      <c r="B1" s="35"/>
      <c r="C1" s="35"/>
      <c r="D1" s="35"/>
      <c r="E1" s="35"/>
    </row>
    <row r="2" spans="1:11" ht="15" customHeight="1" x14ac:dyDescent="0.3">
      <c r="A2" s="30" t="s">
        <v>187</v>
      </c>
      <c r="B2" s="32"/>
      <c r="C2" s="32"/>
      <c r="D2" s="32"/>
      <c r="E2" s="32"/>
      <c r="G2" s="390" t="s">
        <v>214</v>
      </c>
      <c r="H2" s="390"/>
      <c r="I2" s="390"/>
      <c r="J2" s="390"/>
      <c r="K2" s="390"/>
    </row>
    <row r="3" spans="1:11" ht="15" customHeight="1" x14ac:dyDescent="0.3">
      <c r="A3" s="31" t="s">
        <v>112</v>
      </c>
      <c r="B3" s="411" t="s">
        <v>150</v>
      </c>
      <c r="C3" s="412"/>
      <c r="D3" s="412"/>
      <c r="E3" s="412"/>
      <c r="G3" s="390"/>
      <c r="H3" s="390"/>
      <c r="I3" s="390"/>
      <c r="J3" s="390"/>
      <c r="K3" s="390"/>
    </row>
    <row r="4" spans="1:11" ht="15" customHeight="1" x14ac:dyDescent="0.3">
      <c r="A4" s="31" t="s">
        <v>107</v>
      </c>
      <c r="B4" s="413" t="s">
        <v>151</v>
      </c>
      <c r="C4" s="414"/>
      <c r="D4" s="414"/>
      <c r="E4" s="415"/>
      <c r="F4" s="410" t="s">
        <v>7462</v>
      </c>
      <c r="G4" s="523" t="s">
        <v>7473</v>
      </c>
      <c r="H4" s="390"/>
      <c r="I4" s="390"/>
      <c r="J4" s="390"/>
      <c r="K4" s="390"/>
    </row>
    <row r="5" spans="1:11" ht="15" customHeight="1" x14ac:dyDescent="0.3">
      <c r="A5" s="31" t="s">
        <v>110</v>
      </c>
      <c r="B5" s="413" t="s">
        <v>208</v>
      </c>
      <c r="C5" s="414"/>
      <c r="D5" s="414"/>
      <c r="E5" s="415" t="s">
        <v>209</v>
      </c>
      <c r="G5" s="523"/>
    </row>
    <row r="6" spans="1:11" x14ac:dyDescent="0.3">
      <c r="A6" s="31" t="s">
        <v>121</v>
      </c>
      <c r="B6" s="413" t="s">
        <v>152</v>
      </c>
      <c r="C6" s="414"/>
      <c r="D6" s="414"/>
      <c r="E6" s="415"/>
      <c r="G6" s="523"/>
    </row>
    <row r="7" spans="1:11" ht="15" customHeight="1" x14ac:dyDescent="0.3">
      <c r="A7" s="31" t="s">
        <v>149</v>
      </c>
      <c r="B7" s="413" t="s">
        <v>210</v>
      </c>
      <c r="C7" s="414"/>
      <c r="D7" s="414"/>
      <c r="E7" s="415" t="s">
        <v>211</v>
      </c>
      <c r="F7" s="410" t="s">
        <v>7463</v>
      </c>
      <c r="G7" s="524" t="s">
        <v>7474</v>
      </c>
    </row>
    <row r="8" spans="1:11" x14ac:dyDescent="0.3">
      <c r="A8" s="31" t="s">
        <v>117</v>
      </c>
      <c r="B8" s="414"/>
      <c r="C8" s="414"/>
      <c r="D8" s="414"/>
      <c r="E8" s="416"/>
      <c r="G8" s="524"/>
    </row>
    <row r="9" spans="1:11" x14ac:dyDescent="0.3">
      <c r="A9" s="34" t="s">
        <v>158</v>
      </c>
      <c r="B9" s="35"/>
      <c r="C9" s="35"/>
      <c r="D9" s="32"/>
      <c r="E9" s="32"/>
      <c r="F9" s="32"/>
      <c r="G9" s="524"/>
    </row>
    <row r="10" spans="1:11" x14ac:dyDescent="0.3">
      <c r="A10" s="27" t="s">
        <v>159</v>
      </c>
      <c r="B10" s="27" t="s">
        <v>154</v>
      </c>
      <c r="C10" s="27"/>
      <c r="D10" s="32"/>
      <c r="E10" s="32"/>
      <c r="F10" s="32"/>
      <c r="G10" s="524"/>
    </row>
    <row r="11" spans="1:11" x14ac:dyDescent="0.3">
      <c r="A11" s="30" t="s">
        <v>187</v>
      </c>
      <c r="B11" s="30" t="s">
        <v>207</v>
      </c>
      <c r="C11" s="30"/>
      <c r="D11" s="32"/>
      <c r="E11" s="32"/>
      <c r="F11" s="32"/>
      <c r="G11" s="524"/>
    </row>
    <row r="12" spans="1:11" x14ac:dyDescent="0.3">
      <c r="A12" s="50" t="s">
        <v>155</v>
      </c>
      <c r="B12" s="48" t="s">
        <v>108</v>
      </c>
      <c r="C12" s="48"/>
      <c r="D12" s="32"/>
      <c r="E12" s="32"/>
      <c r="F12" s="32"/>
      <c r="G12" s="524"/>
    </row>
    <row r="13" spans="1:11" x14ac:dyDescent="0.3">
      <c r="A13" s="51" t="s">
        <v>156</v>
      </c>
      <c r="B13" s="49" t="s">
        <v>157</v>
      </c>
      <c r="C13" s="49"/>
      <c r="D13" s="32"/>
      <c r="E13" s="32"/>
      <c r="F13" s="32"/>
    </row>
    <row r="14" spans="1:11" x14ac:dyDescent="0.3">
      <c r="A14" s="32"/>
      <c r="B14" s="32"/>
      <c r="C14" s="32"/>
      <c r="D14" s="32"/>
      <c r="E14" s="32"/>
      <c r="F14" s="32"/>
    </row>
    <row r="15" spans="1:11" x14ac:dyDescent="0.3">
      <c r="A15" s="34" t="s">
        <v>160</v>
      </c>
      <c r="B15" s="35"/>
      <c r="C15" s="35"/>
      <c r="D15" s="32"/>
      <c r="E15" s="32"/>
      <c r="F15" s="32"/>
    </row>
    <row r="16" spans="1:11" x14ac:dyDescent="0.3">
      <c r="A16" s="27" t="s">
        <v>159</v>
      </c>
      <c r="B16" s="27"/>
      <c r="C16" s="27" t="s">
        <v>161</v>
      </c>
      <c r="D16" s="53"/>
      <c r="E16" s="53"/>
    </row>
    <row r="17" spans="1:5" x14ac:dyDescent="0.3">
      <c r="A17" s="30" t="s">
        <v>187</v>
      </c>
      <c r="B17" s="30"/>
      <c r="C17" s="30" t="s">
        <v>207</v>
      </c>
      <c r="D17" s="54"/>
      <c r="E17" s="54"/>
    </row>
    <row r="18" spans="1:5" x14ac:dyDescent="0.3">
      <c r="A18" s="48" t="s">
        <v>163</v>
      </c>
      <c r="B18" s="48"/>
      <c r="C18" s="48" t="s">
        <v>109</v>
      </c>
      <c r="D18" s="32"/>
      <c r="E18" s="32"/>
    </row>
    <row r="19" spans="1:5" x14ac:dyDescent="0.3">
      <c r="A19" s="49" t="s">
        <v>164</v>
      </c>
      <c r="B19" s="49"/>
      <c r="C19" s="49" t="s">
        <v>162</v>
      </c>
      <c r="D19" s="32"/>
      <c r="E19" s="32"/>
    </row>
    <row r="20" spans="1:5" x14ac:dyDescent="0.3">
      <c r="A20" s="32"/>
      <c r="B20" s="32"/>
      <c r="C20" s="32"/>
      <c r="D20" s="32"/>
      <c r="E20" s="32"/>
    </row>
    <row r="21" spans="1:5" x14ac:dyDescent="0.3">
      <c r="A21" s="28" t="s">
        <v>203</v>
      </c>
      <c r="B21" s="28" t="s">
        <v>154</v>
      </c>
      <c r="C21" s="28" t="s">
        <v>161</v>
      </c>
      <c r="D21" s="28" t="s">
        <v>200</v>
      </c>
      <c r="E21" s="28" t="s">
        <v>166</v>
      </c>
    </row>
    <row r="22" spans="1:5" x14ac:dyDescent="0.3">
      <c r="A22" s="29" t="s">
        <v>112</v>
      </c>
      <c r="B22" s="38" t="s">
        <v>108</v>
      </c>
      <c r="C22" s="38" t="s">
        <v>109</v>
      </c>
      <c r="D22" s="38" t="s">
        <v>135</v>
      </c>
      <c r="E22" s="38" t="s">
        <v>201</v>
      </c>
    </row>
    <row r="23" spans="1:5" x14ac:dyDescent="0.3">
      <c r="A23" s="29" t="s">
        <v>112</v>
      </c>
      <c r="B23" s="38" t="s">
        <v>108</v>
      </c>
      <c r="C23" s="38" t="s">
        <v>162</v>
      </c>
      <c r="D23" s="38" t="s">
        <v>135</v>
      </c>
      <c r="E23" s="38" t="s">
        <v>201</v>
      </c>
    </row>
    <row r="24" spans="1:5" x14ac:dyDescent="0.3">
      <c r="A24" s="29" t="s">
        <v>112</v>
      </c>
      <c r="B24" s="38" t="s">
        <v>157</v>
      </c>
      <c r="C24" s="38" t="s">
        <v>109</v>
      </c>
      <c r="D24" s="38" t="s">
        <v>135</v>
      </c>
      <c r="E24" s="38" t="s">
        <v>201</v>
      </c>
    </row>
    <row r="25" spans="1:5" ht="15" thickBot="1" x14ac:dyDescent="0.35">
      <c r="A25" s="40" t="s">
        <v>112</v>
      </c>
      <c r="B25" s="43" t="s">
        <v>157</v>
      </c>
      <c r="C25" s="43" t="s">
        <v>162</v>
      </c>
      <c r="D25" s="43" t="s">
        <v>199</v>
      </c>
      <c r="E25" s="43" t="s">
        <v>202</v>
      </c>
    </row>
    <row r="26" spans="1:5" x14ac:dyDescent="0.3">
      <c r="A26" s="39" t="s">
        <v>107</v>
      </c>
      <c r="B26" s="44" t="s">
        <v>108</v>
      </c>
      <c r="C26" s="44" t="s">
        <v>109</v>
      </c>
      <c r="D26" s="44" t="s">
        <v>135</v>
      </c>
      <c r="E26" s="44" t="s">
        <v>201</v>
      </c>
    </row>
    <row r="27" spans="1:5" x14ac:dyDescent="0.3">
      <c r="A27" s="29" t="s">
        <v>107</v>
      </c>
      <c r="B27" s="37" t="s">
        <v>108</v>
      </c>
      <c r="C27" s="37" t="s">
        <v>162</v>
      </c>
      <c r="D27" s="37" t="s">
        <v>199</v>
      </c>
      <c r="E27" s="37" t="s">
        <v>202</v>
      </c>
    </row>
    <row r="28" spans="1:5" x14ac:dyDescent="0.3">
      <c r="A28" s="29" t="s">
        <v>107</v>
      </c>
      <c r="B28" s="37" t="s">
        <v>157</v>
      </c>
      <c r="C28" s="37" t="s">
        <v>109</v>
      </c>
      <c r="D28" s="37" t="s">
        <v>199</v>
      </c>
      <c r="E28" s="37" t="s">
        <v>202</v>
      </c>
    </row>
    <row r="29" spans="1:5" ht="15" thickBot="1" x14ac:dyDescent="0.35">
      <c r="A29" s="41" t="s">
        <v>107</v>
      </c>
      <c r="B29" s="43" t="s">
        <v>157</v>
      </c>
      <c r="C29" s="43" t="s">
        <v>162</v>
      </c>
      <c r="D29" s="43" t="s">
        <v>199</v>
      </c>
      <c r="E29" s="43" t="s">
        <v>202</v>
      </c>
    </row>
    <row r="30" spans="1:5" x14ac:dyDescent="0.3">
      <c r="A30" s="42" t="s">
        <v>110</v>
      </c>
      <c r="B30" s="44" t="s">
        <v>108</v>
      </c>
      <c r="C30" s="44" t="s">
        <v>109</v>
      </c>
      <c r="D30" s="44" t="s">
        <v>135</v>
      </c>
      <c r="E30" s="44" t="s">
        <v>201</v>
      </c>
    </row>
    <row r="31" spans="1:5" x14ac:dyDescent="0.3">
      <c r="A31" s="29" t="s">
        <v>110</v>
      </c>
      <c r="B31" s="37" t="s">
        <v>108</v>
      </c>
      <c r="C31" s="37" t="s">
        <v>162</v>
      </c>
      <c r="D31" s="37" t="s">
        <v>199</v>
      </c>
      <c r="E31" s="37" t="s">
        <v>202</v>
      </c>
    </row>
    <row r="32" spans="1:5" x14ac:dyDescent="0.3">
      <c r="A32" s="29" t="s">
        <v>110</v>
      </c>
      <c r="B32" s="37" t="s">
        <v>157</v>
      </c>
      <c r="C32" s="37" t="s">
        <v>109</v>
      </c>
      <c r="D32" s="37" t="s">
        <v>199</v>
      </c>
      <c r="E32" s="37" t="s">
        <v>202</v>
      </c>
    </row>
    <row r="33" spans="1:5" ht="15" thickBot="1" x14ac:dyDescent="0.35">
      <c r="A33" s="40" t="s">
        <v>110</v>
      </c>
      <c r="B33" s="45" t="s">
        <v>157</v>
      </c>
      <c r="C33" s="45" t="s">
        <v>162</v>
      </c>
      <c r="D33" s="45" t="s">
        <v>136</v>
      </c>
      <c r="E33" s="45" t="s">
        <v>204</v>
      </c>
    </row>
    <row r="34" spans="1:5" x14ac:dyDescent="0.3">
      <c r="A34" s="39" t="s">
        <v>121</v>
      </c>
      <c r="B34" s="46" t="s">
        <v>108</v>
      </c>
      <c r="C34" s="46" t="s">
        <v>109</v>
      </c>
      <c r="D34" s="46" t="s">
        <v>199</v>
      </c>
      <c r="E34" s="46" t="s">
        <v>202</v>
      </c>
    </row>
    <row r="35" spans="1:5" x14ac:dyDescent="0.3">
      <c r="A35" s="29" t="s">
        <v>121</v>
      </c>
      <c r="B35" s="37" t="s">
        <v>108</v>
      </c>
      <c r="C35" s="37" t="s">
        <v>162</v>
      </c>
      <c r="D35" s="37" t="s">
        <v>199</v>
      </c>
      <c r="E35" s="37" t="s">
        <v>202</v>
      </c>
    </row>
    <row r="36" spans="1:5" x14ac:dyDescent="0.3">
      <c r="A36" s="29" t="s">
        <v>121</v>
      </c>
      <c r="B36" s="37" t="s">
        <v>157</v>
      </c>
      <c r="C36" s="37" t="s">
        <v>109</v>
      </c>
      <c r="D36" s="37" t="s">
        <v>199</v>
      </c>
      <c r="E36" s="37" t="s">
        <v>202</v>
      </c>
    </row>
    <row r="37" spans="1:5" ht="15" thickBot="1" x14ac:dyDescent="0.35">
      <c r="A37" s="41" t="s">
        <v>121</v>
      </c>
      <c r="B37" s="45" t="s">
        <v>157</v>
      </c>
      <c r="C37" s="45" t="s">
        <v>162</v>
      </c>
      <c r="D37" s="45" t="s">
        <v>205</v>
      </c>
      <c r="E37" s="45" t="s">
        <v>204</v>
      </c>
    </row>
    <row r="38" spans="1:5" x14ac:dyDescent="0.3">
      <c r="A38" s="42" t="s">
        <v>149</v>
      </c>
      <c r="B38" s="47" t="s">
        <v>108</v>
      </c>
      <c r="C38" s="47" t="s">
        <v>109</v>
      </c>
      <c r="D38" s="47" t="s">
        <v>206</v>
      </c>
      <c r="E38" s="47" t="s">
        <v>204</v>
      </c>
    </row>
    <row r="39" spans="1:5" x14ac:dyDescent="0.3">
      <c r="A39" s="29" t="s">
        <v>149</v>
      </c>
      <c r="B39" s="36" t="s">
        <v>108</v>
      </c>
      <c r="C39" s="36" t="s">
        <v>162</v>
      </c>
      <c r="D39" s="36" t="s">
        <v>136</v>
      </c>
      <c r="E39" s="36" t="s">
        <v>204</v>
      </c>
    </row>
    <row r="40" spans="1:5" x14ac:dyDescent="0.3">
      <c r="A40" s="29" t="s">
        <v>149</v>
      </c>
      <c r="B40" s="36" t="s">
        <v>157</v>
      </c>
      <c r="C40" s="36" t="s">
        <v>109</v>
      </c>
      <c r="D40" s="36" t="s">
        <v>136</v>
      </c>
      <c r="E40" s="36" t="s">
        <v>204</v>
      </c>
    </row>
    <row r="41" spans="1:5" ht="15" thickBot="1" x14ac:dyDescent="0.35">
      <c r="A41" s="41" t="s">
        <v>149</v>
      </c>
      <c r="B41" s="58" t="s">
        <v>157</v>
      </c>
      <c r="C41" s="58" t="s">
        <v>162</v>
      </c>
      <c r="D41" s="58" t="s">
        <v>136</v>
      </c>
      <c r="E41" s="58" t="s">
        <v>204</v>
      </c>
    </row>
    <row r="42" spans="1:5" x14ac:dyDescent="0.3">
      <c r="A42" s="42" t="s">
        <v>117</v>
      </c>
      <c r="B42" s="44" t="s">
        <v>108</v>
      </c>
      <c r="C42" s="44" t="s">
        <v>109</v>
      </c>
      <c r="D42" s="44" t="s">
        <v>135</v>
      </c>
      <c r="E42" s="44" t="s">
        <v>201</v>
      </c>
    </row>
    <row r="43" spans="1:5" x14ac:dyDescent="0.3">
      <c r="A43" s="29" t="s">
        <v>117</v>
      </c>
      <c r="B43" s="38" t="s">
        <v>108</v>
      </c>
      <c r="C43" s="38" t="s">
        <v>162</v>
      </c>
      <c r="D43" s="38" t="s">
        <v>135</v>
      </c>
      <c r="E43" s="38" t="s">
        <v>201</v>
      </c>
    </row>
    <row r="44" spans="1:5" x14ac:dyDescent="0.3">
      <c r="A44" s="29" t="s">
        <v>117</v>
      </c>
      <c r="B44" s="38" t="s">
        <v>157</v>
      </c>
      <c r="C44" s="38" t="s">
        <v>109</v>
      </c>
      <c r="D44" s="38" t="s">
        <v>135</v>
      </c>
      <c r="E44" s="38" t="s">
        <v>201</v>
      </c>
    </row>
    <row r="45" spans="1:5" x14ac:dyDescent="0.3">
      <c r="A45" s="29" t="s">
        <v>117</v>
      </c>
      <c r="B45" s="38" t="s">
        <v>157</v>
      </c>
      <c r="C45" s="38" t="s">
        <v>162</v>
      </c>
      <c r="D45" s="38" t="s">
        <v>135</v>
      </c>
      <c r="E45" s="38" t="s">
        <v>201</v>
      </c>
    </row>
    <row r="47" spans="1:5" x14ac:dyDescent="0.3">
      <c r="D47" s="521" t="s">
        <v>207</v>
      </c>
      <c r="E47" s="521"/>
    </row>
    <row r="48" spans="1:5" x14ac:dyDescent="0.3">
      <c r="D48" s="55" t="s">
        <v>200</v>
      </c>
      <c r="E48" s="55" t="s">
        <v>166</v>
      </c>
    </row>
    <row r="49" spans="4:5" x14ac:dyDescent="0.3">
      <c r="D49" s="38" t="s">
        <v>135</v>
      </c>
      <c r="E49" s="38" t="s">
        <v>215</v>
      </c>
    </row>
    <row r="50" spans="4:5" x14ac:dyDescent="0.3">
      <c r="D50" s="37" t="s">
        <v>199</v>
      </c>
      <c r="E50" s="37" t="s">
        <v>216</v>
      </c>
    </row>
    <row r="51" spans="4:5" x14ac:dyDescent="0.3">
      <c r="D51" s="36" t="s">
        <v>136</v>
      </c>
      <c r="E51" s="36" t="s">
        <v>204</v>
      </c>
    </row>
    <row r="52" spans="4:5" x14ac:dyDescent="0.3">
      <c r="D52" s="36" t="s">
        <v>205</v>
      </c>
      <c r="E52" s="36" t="s">
        <v>204</v>
      </c>
    </row>
    <row r="53" spans="4:5" x14ac:dyDescent="0.3">
      <c r="D53" s="36" t="s">
        <v>206</v>
      </c>
      <c r="E53" s="36" t="s">
        <v>204</v>
      </c>
    </row>
  </sheetData>
  <mergeCells count="3">
    <mergeCell ref="D47:E47"/>
    <mergeCell ref="G4:G6"/>
    <mergeCell ref="G7:G12"/>
  </mergeCells>
  <pageMargins left="0.39370078740157483" right="0.39370078740157483" top="0.39370078740157483" bottom="0.39370078740157483" header="0.19685039370078741" footer="0.19685039370078741"/>
  <pageSetup paperSize="9" scale="68" pageOrder="overThenDown" orientation="landscape" r:id="rId1"/>
  <headerFooter>
    <oddFooter>&amp;L&amp;G&amp;R&amp;"Arial,Standard"&amp;9Seite &amp;P /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9C93F-F4A5-438E-A4C7-4FAAF365B8E8}">
  <sheetPr codeName="Tabelle14"/>
  <dimension ref="A1:K140"/>
  <sheetViews>
    <sheetView showGridLines="0" workbookViewId="0">
      <selection activeCell="F19" sqref="F19"/>
    </sheetView>
  </sheetViews>
  <sheetFormatPr baseColWidth="10" defaultRowHeight="14.4" x14ac:dyDescent="0.3"/>
  <cols>
    <col min="1" max="6" width="25.5546875" customWidth="1"/>
  </cols>
  <sheetData>
    <row r="1" spans="1:11" ht="25.8" x14ac:dyDescent="0.3">
      <c r="A1" s="325" t="s">
        <v>203</v>
      </c>
      <c r="B1" s="326"/>
      <c r="C1" s="326"/>
      <c r="D1" s="326"/>
      <c r="E1" s="326"/>
      <c r="G1" s="525" t="s">
        <v>214</v>
      </c>
      <c r="H1" s="525"/>
      <c r="I1" s="525"/>
      <c r="J1" s="525"/>
      <c r="K1" s="525"/>
    </row>
    <row r="2" spans="1:11" x14ac:dyDescent="0.3">
      <c r="A2" s="83" t="s">
        <v>212</v>
      </c>
      <c r="B2" s="82"/>
      <c r="C2" s="82"/>
      <c r="D2" s="82"/>
      <c r="E2" s="82"/>
    </row>
    <row r="3" spans="1:11" x14ac:dyDescent="0.3">
      <c r="A3" s="16" t="s">
        <v>7290</v>
      </c>
      <c r="C3" t="s">
        <v>7293</v>
      </c>
      <c r="D3" s="327"/>
      <c r="E3" s="327" t="s">
        <v>7294</v>
      </c>
    </row>
    <row r="4" spans="1:11" x14ac:dyDescent="0.3">
      <c r="A4" s="16" t="s">
        <v>7291</v>
      </c>
      <c r="B4" t="s">
        <v>7295</v>
      </c>
    </row>
    <row r="5" spans="1:11" x14ac:dyDescent="0.3">
      <c r="A5" s="16" t="s">
        <v>7289</v>
      </c>
      <c r="B5" t="s">
        <v>7296</v>
      </c>
      <c r="D5" s="327"/>
      <c r="E5" s="327" t="s">
        <v>7297</v>
      </c>
    </row>
    <row r="6" spans="1:11" x14ac:dyDescent="0.3">
      <c r="A6" s="16" t="s">
        <v>7298</v>
      </c>
      <c r="B6" t="s">
        <v>7308</v>
      </c>
    </row>
    <row r="7" spans="1:11" x14ac:dyDescent="0.3">
      <c r="A7" s="16" t="s">
        <v>7292</v>
      </c>
      <c r="B7" t="s">
        <v>7307</v>
      </c>
    </row>
    <row r="8" spans="1:11" x14ac:dyDescent="0.3">
      <c r="A8" s="63" t="s">
        <v>7299</v>
      </c>
      <c r="B8" s="62"/>
      <c r="C8" s="62"/>
      <c r="D8" s="62"/>
      <c r="E8" s="62"/>
    </row>
    <row r="9" spans="1:11" x14ac:dyDescent="0.3">
      <c r="A9" s="16" t="s">
        <v>7290</v>
      </c>
      <c r="B9" t="s">
        <v>7300</v>
      </c>
    </row>
    <row r="10" spans="1:11" x14ac:dyDescent="0.3">
      <c r="A10" s="16" t="s">
        <v>7291</v>
      </c>
      <c r="B10" t="s">
        <v>7301</v>
      </c>
    </row>
    <row r="11" spans="1:11" x14ac:dyDescent="0.3">
      <c r="A11" s="16" t="s">
        <v>7289</v>
      </c>
      <c r="B11" t="s">
        <v>7302</v>
      </c>
    </row>
    <row r="13" spans="1:11" x14ac:dyDescent="0.3">
      <c r="A13" s="328" t="s">
        <v>137</v>
      </c>
      <c r="B13" s="329"/>
      <c r="C13" s="329"/>
    </row>
    <row r="14" spans="1:11" x14ac:dyDescent="0.3">
      <c r="A14" s="65" t="s">
        <v>235</v>
      </c>
      <c r="B14" s="89" t="s">
        <v>187</v>
      </c>
      <c r="C14" s="89" t="s">
        <v>187</v>
      </c>
    </row>
    <row r="15" spans="1:11" x14ac:dyDescent="0.3">
      <c r="A15" s="67" t="s">
        <v>108</v>
      </c>
      <c r="B15" s="68" t="s">
        <v>224</v>
      </c>
      <c r="C15" s="330" t="s">
        <v>220</v>
      </c>
    </row>
    <row r="16" spans="1:11" x14ac:dyDescent="0.3">
      <c r="A16" s="67" t="s">
        <v>106</v>
      </c>
      <c r="B16" s="68" t="s">
        <v>225</v>
      </c>
      <c r="C16" s="330" t="s">
        <v>220</v>
      </c>
    </row>
    <row r="17" spans="1:4" ht="15" thickBot="1" x14ac:dyDescent="0.35">
      <c r="A17" s="85" t="s">
        <v>157</v>
      </c>
      <c r="B17" s="86" t="s">
        <v>226</v>
      </c>
      <c r="C17" s="331" t="s">
        <v>220</v>
      </c>
    </row>
    <row r="18" spans="1:4" ht="15" thickTop="1" x14ac:dyDescent="0.3">
      <c r="A18" s="87" t="s">
        <v>108</v>
      </c>
      <c r="B18" s="88" t="s">
        <v>228</v>
      </c>
      <c r="C18" s="332" t="s">
        <v>219</v>
      </c>
    </row>
    <row r="19" spans="1:4" x14ac:dyDescent="0.3">
      <c r="A19" s="67" t="s">
        <v>106</v>
      </c>
      <c r="B19" s="68" t="s">
        <v>229</v>
      </c>
      <c r="C19" s="330" t="s">
        <v>219</v>
      </c>
    </row>
    <row r="20" spans="1:4" x14ac:dyDescent="0.3">
      <c r="A20" s="67" t="s">
        <v>136</v>
      </c>
      <c r="B20" s="68" t="s">
        <v>227</v>
      </c>
      <c r="C20" s="333" t="s">
        <v>219</v>
      </c>
    </row>
    <row r="22" spans="1:4" x14ac:dyDescent="0.3">
      <c r="A22" s="328" t="s">
        <v>7303</v>
      </c>
      <c r="B22" s="329"/>
      <c r="C22" s="329"/>
      <c r="D22" s="329"/>
    </row>
    <row r="23" spans="1:4" x14ac:dyDescent="0.3">
      <c r="A23" s="52"/>
      <c r="B23" s="520" t="s">
        <v>115</v>
      </c>
      <c r="C23" s="520"/>
      <c r="D23" s="64" t="s">
        <v>138</v>
      </c>
    </row>
    <row r="24" spans="1:4" x14ac:dyDescent="0.3">
      <c r="A24" s="65" t="s">
        <v>187</v>
      </c>
      <c r="B24" s="66" t="s">
        <v>230</v>
      </c>
      <c r="C24" s="66" t="s">
        <v>231</v>
      </c>
      <c r="D24" s="66" t="s">
        <v>142</v>
      </c>
    </row>
    <row r="25" spans="1:4" x14ac:dyDescent="0.3">
      <c r="A25" s="67" t="s">
        <v>113</v>
      </c>
      <c r="B25" s="68" t="s">
        <v>143</v>
      </c>
      <c r="C25" s="68" t="s">
        <v>147</v>
      </c>
      <c r="D25" s="68" t="s">
        <v>139</v>
      </c>
    </row>
    <row r="26" spans="1:4" x14ac:dyDescent="0.3">
      <c r="A26" s="67" t="s">
        <v>106</v>
      </c>
      <c r="B26" s="68" t="s">
        <v>144</v>
      </c>
      <c r="C26" s="68"/>
      <c r="D26" s="68" t="s">
        <v>140</v>
      </c>
    </row>
    <row r="27" spans="1:4" x14ac:dyDescent="0.3">
      <c r="A27" s="67" t="s">
        <v>136</v>
      </c>
      <c r="B27" s="68" t="s">
        <v>145</v>
      </c>
      <c r="C27" s="68" t="s">
        <v>146</v>
      </c>
      <c r="D27" s="68" t="s">
        <v>141</v>
      </c>
    </row>
    <row r="28" spans="1:4" x14ac:dyDescent="0.3">
      <c r="B28" s="90"/>
      <c r="C28" s="90"/>
      <c r="D28" s="32"/>
    </row>
    <row r="29" spans="1:4" x14ac:dyDescent="0.3">
      <c r="A29" s="328" t="s">
        <v>7304</v>
      </c>
      <c r="B29" s="329"/>
      <c r="C29" s="329"/>
    </row>
    <row r="30" spans="1:4" x14ac:dyDescent="0.3">
      <c r="A30" s="65" t="s">
        <v>235</v>
      </c>
      <c r="B30" s="89" t="s">
        <v>187</v>
      </c>
      <c r="C30" s="89" t="s">
        <v>187</v>
      </c>
    </row>
    <row r="31" spans="1:4" x14ac:dyDescent="0.3">
      <c r="A31" s="67" t="s">
        <v>113</v>
      </c>
      <c r="B31" s="68" t="s">
        <v>246</v>
      </c>
      <c r="C31" s="86" t="s">
        <v>220</v>
      </c>
    </row>
    <row r="32" spans="1:4" x14ac:dyDescent="0.3">
      <c r="A32" s="67" t="s">
        <v>106</v>
      </c>
      <c r="B32" s="68" t="s">
        <v>247</v>
      </c>
      <c r="C32" s="86" t="s">
        <v>220</v>
      </c>
    </row>
    <row r="33" spans="1:5" x14ac:dyDescent="0.3">
      <c r="A33" s="85" t="s">
        <v>136</v>
      </c>
      <c r="B33" s="68" t="s">
        <v>245</v>
      </c>
      <c r="C33" s="86" t="s">
        <v>220</v>
      </c>
    </row>
    <row r="34" spans="1:5" x14ac:dyDescent="0.3">
      <c r="A34" s="67" t="s">
        <v>113</v>
      </c>
      <c r="B34" s="68" t="s">
        <v>295</v>
      </c>
      <c r="C34" s="86" t="s">
        <v>220</v>
      </c>
    </row>
    <row r="35" spans="1:5" x14ac:dyDescent="0.3">
      <c r="A35" s="67" t="s">
        <v>106</v>
      </c>
      <c r="B35" s="68" t="s">
        <v>297</v>
      </c>
      <c r="C35" s="86" t="s">
        <v>220</v>
      </c>
    </row>
    <row r="36" spans="1:5" ht="15" thickBot="1" x14ac:dyDescent="0.35">
      <c r="A36" s="85" t="s">
        <v>136</v>
      </c>
      <c r="B36" s="68" t="s">
        <v>296</v>
      </c>
      <c r="C36" s="91" t="s">
        <v>220</v>
      </c>
    </row>
    <row r="37" spans="1:5" ht="15" thickTop="1" x14ac:dyDescent="0.3">
      <c r="A37" s="87" t="s">
        <v>113</v>
      </c>
      <c r="B37" s="88" t="s">
        <v>238</v>
      </c>
      <c r="C37" s="88" t="s">
        <v>219</v>
      </c>
    </row>
    <row r="38" spans="1:5" x14ac:dyDescent="0.3">
      <c r="A38" s="67" t="s">
        <v>113</v>
      </c>
      <c r="B38" s="68" t="s">
        <v>240</v>
      </c>
      <c r="C38" s="86" t="s">
        <v>219</v>
      </c>
    </row>
    <row r="39" spans="1:5" x14ac:dyDescent="0.3">
      <c r="A39" s="67" t="s">
        <v>113</v>
      </c>
      <c r="B39" s="68" t="s">
        <v>239</v>
      </c>
      <c r="C39" s="68" t="s">
        <v>219</v>
      </c>
    </row>
    <row r="40" spans="1:5" x14ac:dyDescent="0.3">
      <c r="A40" s="67" t="s">
        <v>106</v>
      </c>
      <c r="B40" s="334" t="s">
        <v>7305</v>
      </c>
      <c r="C40" s="68" t="s">
        <v>219</v>
      </c>
    </row>
    <row r="41" spans="1:5" x14ac:dyDescent="0.3">
      <c r="A41" s="67" t="s">
        <v>136</v>
      </c>
      <c r="B41" s="334" t="s">
        <v>7306</v>
      </c>
      <c r="C41" s="68" t="s">
        <v>219</v>
      </c>
    </row>
    <row r="43" spans="1:5" x14ac:dyDescent="0.3">
      <c r="A43" s="28" t="s">
        <v>203</v>
      </c>
      <c r="B43" s="28" t="s">
        <v>137</v>
      </c>
      <c r="C43" s="28" t="s">
        <v>114</v>
      </c>
      <c r="D43" s="28" t="s">
        <v>249</v>
      </c>
      <c r="E43" s="28" t="s">
        <v>234</v>
      </c>
    </row>
    <row r="44" spans="1:5" x14ac:dyDescent="0.3">
      <c r="A44" s="29" t="s">
        <v>7290</v>
      </c>
      <c r="B44" s="38" t="s">
        <v>108</v>
      </c>
      <c r="C44" s="38" t="s">
        <v>113</v>
      </c>
      <c r="D44" s="38" t="s">
        <v>148</v>
      </c>
      <c r="E44" s="38" t="s">
        <v>220</v>
      </c>
    </row>
    <row r="45" spans="1:5" x14ac:dyDescent="0.3">
      <c r="A45" s="29" t="s">
        <v>7290</v>
      </c>
      <c r="B45" s="38" t="s">
        <v>108</v>
      </c>
      <c r="C45" s="38" t="s">
        <v>106</v>
      </c>
      <c r="D45" s="38" t="s">
        <v>148</v>
      </c>
      <c r="E45" s="38" t="s">
        <v>220</v>
      </c>
    </row>
    <row r="46" spans="1:5" ht="15" thickBot="1" x14ac:dyDescent="0.35">
      <c r="A46" s="40" t="s">
        <v>7290</v>
      </c>
      <c r="B46" s="60" t="s">
        <v>108</v>
      </c>
      <c r="C46" s="60" t="s">
        <v>136</v>
      </c>
      <c r="D46" s="60" t="s">
        <v>148</v>
      </c>
      <c r="E46" s="60" t="s">
        <v>220</v>
      </c>
    </row>
    <row r="47" spans="1:5" x14ac:dyDescent="0.3">
      <c r="A47" s="29" t="s">
        <v>7290</v>
      </c>
      <c r="B47" s="38" t="s">
        <v>108</v>
      </c>
      <c r="C47" s="38" t="s">
        <v>113</v>
      </c>
      <c r="D47" s="38" t="s">
        <v>148</v>
      </c>
      <c r="E47" s="44" t="s">
        <v>219</v>
      </c>
    </row>
    <row r="48" spans="1:5" x14ac:dyDescent="0.3">
      <c r="A48" s="29" t="s">
        <v>7290</v>
      </c>
      <c r="B48" s="38" t="s">
        <v>108</v>
      </c>
      <c r="C48" s="38" t="s">
        <v>106</v>
      </c>
      <c r="D48" s="38" t="s">
        <v>148</v>
      </c>
      <c r="E48" s="38" t="s">
        <v>219</v>
      </c>
    </row>
    <row r="49" spans="1:5" ht="15" thickBot="1" x14ac:dyDescent="0.35">
      <c r="A49" s="40" t="s">
        <v>7290</v>
      </c>
      <c r="B49" s="60" t="s">
        <v>108</v>
      </c>
      <c r="C49" s="60" t="s">
        <v>136</v>
      </c>
      <c r="D49" s="60" t="s">
        <v>148</v>
      </c>
      <c r="E49" s="60" t="s">
        <v>219</v>
      </c>
    </row>
    <row r="50" spans="1:5" x14ac:dyDescent="0.3">
      <c r="A50" s="39" t="s">
        <v>7290</v>
      </c>
      <c r="B50" s="94" t="s">
        <v>106</v>
      </c>
      <c r="C50" s="94" t="s">
        <v>113</v>
      </c>
      <c r="D50" s="94" t="s">
        <v>148</v>
      </c>
      <c r="E50" s="95" t="s">
        <v>220</v>
      </c>
    </row>
    <row r="51" spans="1:5" x14ac:dyDescent="0.3">
      <c r="A51" s="29" t="s">
        <v>7290</v>
      </c>
      <c r="B51" s="95" t="s">
        <v>106</v>
      </c>
      <c r="C51" s="95" t="s">
        <v>106</v>
      </c>
      <c r="D51" s="95" t="s">
        <v>148</v>
      </c>
      <c r="E51" s="95" t="s">
        <v>220</v>
      </c>
    </row>
    <row r="52" spans="1:5" ht="15" thickBot="1" x14ac:dyDescent="0.35">
      <c r="A52" s="40" t="s">
        <v>7290</v>
      </c>
      <c r="B52" s="96" t="s">
        <v>106</v>
      </c>
      <c r="C52" s="96" t="s">
        <v>136</v>
      </c>
      <c r="D52" s="96" t="s">
        <v>218</v>
      </c>
      <c r="E52" s="96" t="s">
        <v>220</v>
      </c>
    </row>
    <row r="53" spans="1:5" x14ac:dyDescent="0.3">
      <c r="A53" s="39" t="s">
        <v>7290</v>
      </c>
      <c r="B53" s="94" t="s">
        <v>106</v>
      </c>
      <c r="C53" s="94" t="s">
        <v>113</v>
      </c>
      <c r="D53" s="94" t="s">
        <v>148</v>
      </c>
      <c r="E53" s="97" t="s">
        <v>219</v>
      </c>
    </row>
    <row r="54" spans="1:5" x14ac:dyDescent="0.3">
      <c r="A54" s="29" t="s">
        <v>7290</v>
      </c>
      <c r="B54" s="95" t="s">
        <v>106</v>
      </c>
      <c r="C54" s="95" t="s">
        <v>106</v>
      </c>
      <c r="D54" s="95" t="s">
        <v>148</v>
      </c>
      <c r="E54" s="95" t="s">
        <v>219</v>
      </c>
    </row>
    <row r="55" spans="1:5" ht="15" thickBot="1" x14ac:dyDescent="0.35">
      <c r="A55" s="40" t="s">
        <v>7290</v>
      </c>
      <c r="B55" s="96" t="s">
        <v>106</v>
      </c>
      <c r="C55" s="96" t="s">
        <v>136</v>
      </c>
      <c r="D55" s="96" t="s">
        <v>218</v>
      </c>
      <c r="E55" s="96" t="s">
        <v>219</v>
      </c>
    </row>
    <row r="56" spans="1:5" x14ac:dyDescent="0.3">
      <c r="A56" s="29" t="s">
        <v>7290</v>
      </c>
      <c r="B56" s="59" t="s">
        <v>157</v>
      </c>
      <c r="C56" s="59" t="s">
        <v>113</v>
      </c>
      <c r="D56" s="59" t="s">
        <v>148</v>
      </c>
      <c r="E56" s="38" t="s">
        <v>220</v>
      </c>
    </row>
    <row r="57" spans="1:5" x14ac:dyDescent="0.3">
      <c r="A57" s="29" t="s">
        <v>7290</v>
      </c>
      <c r="B57" s="38" t="s">
        <v>157</v>
      </c>
      <c r="C57" s="38" t="s">
        <v>106</v>
      </c>
      <c r="D57" s="38" t="s">
        <v>218</v>
      </c>
      <c r="E57" s="38" t="s">
        <v>220</v>
      </c>
    </row>
    <row r="58" spans="1:5" ht="15" thickBot="1" x14ac:dyDescent="0.35">
      <c r="A58" s="40" t="s">
        <v>7290</v>
      </c>
      <c r="B58" s="60" t="s">
        <v>157</v>
      </c>
      <c r="C58" s="60" t="s">
        <v>136</v>
      </c>
      <c r="D58" s="60" t="s">
        <v>218</v>
      </c>
      <c r="E58" s="60" t="s">
        <v>220</v>
      </c>
    </row>
    <row r="59" spans="1:5" x14ac:dyDescent="0.3">
      <c r="A59" s="29" t="s">
        <v>7290</v>
      </c>
      <c r="B59" s="59" t="s">
        <v>157</v>
      </c>
      <c r="C59" s="59" t="s">
        <v>113</v>
      </c>
      <c r="D59" s="59" t="s">
        <v>148</v>
      </c>
      <c r="E59" s="44" t="s">
        <v>219</v>
      </c>
    </row>
    <row r="60" spans="1:5" x14ac:dyDescent="0.3">
      <c r="A60" s="29" t="s">
        <v>7290</v>
      </c>
      <c r="B60" s="38" t="s">
        <v>157</v>
      </c>
      <c r="C60" s="38" t="s">
        <v>106</v>
      </c>
      <c r="D60" s="61" t="s">
        <v>218</v>
      </c>
      <c r="E60" s="38" t="s">
        <v>219</v>
      </c>
    </row>
    <row r="61" spans="1:5" ht="15" thickBot="1" x14ac:dyDescent="0.35">
      <c r="A61" s="40" t="s">
        <v>7290</v>
      </c>
      <c r="B61" s="60" t="s">
        <v>157</v>
      </c>
      <c r="C61" s="60" t="s">
        <v>136</v>
      </c>
      <c r="D61" s="60" t="s">
        <v>218</v>
      </c>
      <c r="E61" s="60" t="s">
        <v>219</v>
      </c>
    </row>
    <row r="62" spans="1:5" x14ac:dyDescent="0.3">
      <c r="A62" s="29" t="s">
        <v>7291</v>
      </c>
      <c r="B62" s="38" t="s">
        <v>108</v>
      </c>
      <c r="C62" s="38" t="s">
        <v>113</v>
      </c>
      <c r="D62" s="38" t="s">
        <v>148</v>
      </c>
      <c r="E62" s="38" t="s">
        <v>220</v>
      </c>
    </row>
    <row r="63" spans="1:5" x14ac:dyDescent="0.3">
      <c r="A63" s="29" t="s">
        <v>7291</v>
      </c>
      <c r="B63" s="38" t="s">
        <v>108</v>
      </c>
      <c r="C63" s="38" t="s">
        <v>106</v>
      </c>
      <c r="D63" s="38" t="s">
        <v>148</v>
      </c>
      <c r="E63" s="38" t="s">
        <v>220</v>
      </c>
    </row>
    <row r="64" spans="1:5" ht="15" thickBot="1" x14ac:dyDescent="0.35">
      <c r="A64" s="40" t="s">
        <v>7291</v>
      </c>
      <c r="B64" s="60" t="s">
        <v>108</v>
      </c>
      <c r="C64" s="60" t="s">
        <v>136</v>
      </c>
      <c r="D64" s="60" t="s">
        <v>148</v>
      </c>
      <c r="E64" s="60" t="s">
        <v>220</v>
      </c>
    </row>
    <row r="65" spans="1:5" x14ac:dyDescent="0.3">
      <c r="A65" s="29" t="s">
        <v>7291</v>
      </c>
      <c r="B65" s="38" t="s">
        <v>108</v>
      </c>
      <c r="C65" s="38" t="s">
        <v>113</v>
      </c>
      <c r="D65" s="38" t="s">
        <v>148</v>
      </c>
      <c r="E65" s="44" t="s">
        <v>219</v>
      </c>
    </row>
    <row r="66" spans="1:5" x14ac:dyDescent="0.3">
      <c r="A66" s="29" t="s">
        <v>7291</v>
      </c>
      <c r="B66" s="38" t="s">
        <v>108</v>
      </c>
      <c r="C66" s="38" t="s">
        <v>106</v>
      </c>
      <c r="D66" s="38" t="s">
        <v>148</v>
      </c>
      <c r="E66" s="38" t="s">
        <v>219</v>
      </c>
    </row>
    <row r="67" spans="1:5" ht="15" thickBot="1" x14ac:dyDescent="0.35">
      <c r="A67" s="40" t="s">
        <v>7291</v>
      </c>
      <c r="B67" s="60" t="s">
        <v>108</v>
      </c>
      <c r="C67" s="60" t="s">
        <v>136</v>
      </c>
      <c r="D67" s="60" t="s">
        <v>148</v>
      </c>
      <c r="E67" s="60" t="s">
        <v>219</v>
      </c>
    </row>
    <row r="68" spans="1:5" x14ac:dyDescent="0.3">
      <c r="A68" s="29" t="s">
        <v>7291</v>
      </c>
      <c r="B68" s="94" t="s">
        <v>106</v>
      </c>
      <c r="C68" s="94" t="s">
        <v>113</v>
      </c>
      <c r="D68" s="94" t="s">
        <v>148</v>
      </c>
      <c r="E68" s="95" t="s">
        <v>220</v>
      </c>
    </row>
    <row r="69" spans="1:5" x14ac:dyDescent="0.3">
      <c r="A69" s="29" t="s">
        <v>7291</v>
      </c>
      <c r="B69" s="95" t="s">
        <v>106</v>
      </c>
      <c r="C69" s="95" t="s">
        <v>106</v>
      </c>
      <c r="D69" s="95" t="s">
        <v>218</v>
      </c>
      <c r="E69" s="95" t="s">
        <v>220</v>
      </c>
    </row>
    <row r="70" spans="1:5" ht="15" thickBot="1" x14ac:dyDescent="0.35">
      <c r="A70" s="40" t="s">
        <v>7291</v>
      </c>
      <c r="B70" s="96" t="s">
        <v>106</v>
      </c>
      <c r="C70" s="96" t="s">
        <v>136</v>
      </c>
      <c r="D70" s="96" t="s">
        <v>218</v>
      </c>
      <c r="E70" s="96" t="s">
        <v>220</v>
      </c>
    </row>
    <row r="71" spans="1:5" x14ac:dyDescent="0.3">
      <c r="A71" s="29" t="s">
        <v>7291</v>
      </c>
      <c r="B71" s="94" t="s">
        <v>106</v>
      </c>
      <c r="C71" s="94" t="s">
        <v>113</v>
      </c>
      <c r="D71" s="94" t="s">
        <v>148</v>
      </c>
      <c r="E71" s="97" t="s">
        <v>219</v>
      </c>
    </row>
    <row r="72" spans="1:5" x14ac:dyDescent="0.3">
      <c r="A72" s="29" t="s">
        <v>7291</v>
      </c>
      <c r="B72" s="95" t="s">
        <v>106</v>
      </c>
      <c r="C72" s="95" t="s">
        <v>106</v>
      </c>
      <c r="D72" s="95" t="s">
        <v>218</v>
      </c>
      <c r="E72" s="95" t="s">
        <v>219</v>
      </c>
    </row>
    <row r="73" spans="1:5" ht="15" thickBot="1" x14ac:dyDescent="0.35">
      <c r="A73" s="40" t="s">
        <v>7291</v>
      </c>
      <c r="B73" s="96" t="s">
        <v>106</v>
      </c>
      <c r="C73" s="96" t="s">
        <v>136</v>
      </c>
      <c r="D73" s="96" t="s">
        <v>218</v>
      </c>
      <c r="E73" s="96" t="s">
        <v>219</v>
      </c>
    </row>
    <row r="74" spans="1:5" x14ac:dyDescent="0.3">
      <c r="A74" s="29" t="s">
        <v>7291</v>
      </c>
      <c r="B74" s="59" t="s">
        <v>157</v>
      </c>
      <c r="C74" s="59" t="s">
        <v>113</v>
      </c>
      <c r="D74" s="59" t="s">
        <v>218</v>
      </c>
      <c r="E74" s="38" t="s">
        <v>220</v>
      </c>
    </row>
    <row r="75" spans="1:5" x14ac:dyDescent="0.3">
      <c r="A75" s="29" t="s">
        <v>7291</v>
      </c>
      <c r="B75" s="38" t="s">
        <v>157</v>
      </c>
      <c r="C75" s="38" t="s">
        <v>106</v>
      </c>
      <c r="D75" s="38" t="s">
        <v>218</v>
      </c>
      <c r="E75" s="38" t="s">
        <v>220</v>
      </c>
    </row>
    <row r="76" spans="1:5" ht="15" thickBot="1" x14ac:dyDescent="0.35">
      <c r="A76" s="40" t="s">
        <v>7291</v>
      </c>
      <c r="B76" s="60" t="s">
        <v>157</v>
      </c>
      <c r="C76" s="60" t="s">
        <v>136</v>
      </c>
      <c r="D76" s="60" t="s">
        <v>153</v>
      </c>
      <c r="E76" s="60" t="s">
        <v>220</v>
      </c>
    </row>
    <row r="77" spans="1:5" x14ac:dyDescent="0.3">
      <c r="A77" s="29" t="s">
        <v>7291</v>
      </c>
      <c r="B77" s="59" t="s">
        <v>157</v>
      </c>
      <c r="C77" s="59" t="s">
        <v>113</v>
      </c>
      <c r="D77" s="59" t="s">
        <v>218</v>
      </c>
      <c r="E77" s="44" t="s">
        <v>219</v>
      </c>
    </row>
    <row r="78" spans="1:5" x14ac:dyDescent="0.3">
      <c r="A78" s="29" t="s">
        <v>7291</v>
      </c>
      <c r="B78" s="38" t="s">
        <v>157</v>
      </c>
      <c r="C78" s="38" t="s">
        <v>106</v>
      </c>
      <c r="D78" s="61" t="s">
        <v>218</v>
      </c>
      <c r="E78" s="38" t="s">
        <v>219</v>
      </c>
    </row>
    <row r="79" spans="1:5" ht="15" thickBot="1" x14ac:dyDescent="0.35">
      <c r="A79" s="40" t="s">
        <v>7291</v>
      </c>
      <c r="B79" s="60" t="s">
        <v>157</v>
      </c>
      <c r="C79" s="60" t="s">
        <v>136</v>
      </c>
      <c r="D79" s="60" t="s">
        <v>153</v>
      </c>
      <c r="E79" s="60" t="s">
        <v>219</v>
      </c>
    </row>
    <row r="80" spans="1:5" x14ac:dyDescent="0.3">
      <c r="A80" s="29" t="s">
        <v>7289</v>
      </c>
      <c r="B80" s="38" t="s">
        <v>108</v>
      </c>
      <c r="C80" s="38" t="s">
        <v>113</v>
      </c>
      <c r="D80" s="38" t="s">
        <v>148</v>
      </c>
      <c r="E80" s="38" t="s">
        <v>220</v>
      </c>
    </row>
    <row r="81" spans="1:5" x14ac:dyDescent="0.3">
      <c r="A81" s="29" t="s">
        <v>7289</v>
      </c>
      <c r="B81" s="38" t="s">
        <v>108</v>
      </c>
      <c r="C81" s="38" t="s">
        <v>106</v>
      </c>
      <c r="D81" s="38" t="s">
        <v>148</v>
      </c>
      <c r="E81" s="38" t="s">
        <v>220</v>
      </c>
    </row>
    <row r="82" spans="1:5" ht="15" thickBot="1" x14ac:dyDescent="0.35">
      <c r="A82" s="40" t="s">
        <v>7289</v>
      </c>
      <c r="B82" s="60" t="s">
        <v>108</v>
      </c>
      <c r="C82" s="60" t="s">
        <v>136</v>
      </c>
      <c r="D82" s="60" t="s">
        <v>148</v>
      </c>
      <c r="E82" s="60" t="s">
        <v>220</v>
      </c>
    </row>
    <row r="83" spans="1:5" x14ac:dyDescent="0.3">
      <c r="A83" s="29" t="s">
        <v>7289</v>
      </c>
      <c r="B83" s="38" t="s">
        <v>108</v>
      </c>
      <c r="C83" s="38" t="s">
        <v>113</v>
      </c>
      <c r="D83" s="38" t="s">
        <v>148</v>
      </c>
      <c r="E83" s="44" t="s">
        <v>219</v>
      </c>
    </row>
    <row r="84" spans="1:5" x14ac:dyDescent="0.3">
      <c r="A84" s="29" t="s">
        <v>7289</v>
      </c>
      <c r="B84" s="38" t="s">
        <v>108</v>
      </c>
      <c r="C84" s="38" t="s">
        <v>106</v>
      </c>
      <c r="D84" s="38" t="s">
        <v>148</v>
      </c>
      <c r="E84" s="38" t="s">
        <v>219</v>
      </c>
    </row>
    <row r="85" spans="1:5" ht="15" thickBot="1" x14ac:dyDescent="0.35">
      <c r="A85" s="40" t="s">
        <v>7289</v>
      </c>
      <c r="B85" s="60" t="s">
        <v>108</v>
      </c>
      <c r="C85" s="60" t="s">
        <v>136</v>
      </c>
      <c r="D85" s="60" t="s">
        <v>218</v>
      </c>
      <c r="E85" s="60" t="s">
        <v>219</v>
      </c>
    </row>
    <row r="86" spans="1:5" x14ac:dyDescent="0.3">
      <c r="A86" s="29" t="s">
        <v>7289</v>
      </c>
      <c r="B86" s="94" t="s">
        <v>106</v>
      </c>
      <c r="C86" s="94" t="s">
        <v>113</v>
      </c>
      <c r="D86" s="94" t="s">
        <v>218</v>
      </c>
      <c r="E86" s="95" t="s">
        <v>220</v>
      </c>
    </row>
    <row r="87" spans="1:5" x14ac:dyDescent="0.3">
      <c r="A87" s="29" t="s">
        <v>7289</v>
      </c>
      <c r="B87" s="95" t="s">
        <v>106</v>
      </c>
      <c r="C87" s="95" t="s">
        <v>106</v>
      </c>
      <c r="D87" s="95" t="s">
        <v>218</v>
      </c>
      <c r="E87" s="95" t="s">
        <v>220</v>
      </c>
    </row>
    <row r="88" spans="1:5" ht="15" thickBot="1" x14ac:dyDescent="0.35">
      <c r="A88" s="40" t="s">
        <v>7289</v>
      </c>
      <c r="B88" s="96" t="s">
        <v>106</v>
      </c>
      <c r="C88" s="96" t="s">
        <v>136</v>
      </c>
      <c r="D88" s="96" t="s">
        <v>218</v>
      </c>
      <c r="E88" s="96" t="s">
        <v>220</v>
      </c>
    </row>
    <row r="89" spans="1:5" x14ac:dyDescent="0.3">
      <c r="A89" s="29" t="s">
        <v>7289</v>
      </c>
      <c r="B89" s="94" t="s">
        <v>106</v>
      </c>
      <c r="C89" s="94" t="s">
        <v>113</v>
      </c>
      <c r="D89" s="94" t="s">
        <v>218</v>
      </c>
      <c r="E89" s="97" t="s">
        <v>219</v>
      </c>
    </row>
    <row r="90" spans="1:5" x14ac:dyDescent="0.3">
      <c r="A90" s="29" t="s">
        <v>7289</v>
      </c>
      <c r="B90" s="95" t="s">
        <v>106</v>
      </c>
      <c r="C90" s="95" t="s">
        <v>106</v>
      </c>
      <c r="D90" s="95" t="s">
        <v>218</v>
      </c>
      <c r="E90" s="95" t="s">
        <v>219</v>
      </c>
    </row>
    <row r="91" spans="1:5" ht="15" thickBot="1" x14ac:dyDescent="0.35">
      <c r="A91" s="40" t="s">
        <v>7289</v>
      </c>
      <c r="B91" s="96" t="s">
        <v>106</v>
      </c>
      <c r="C91" s="96" t="s">
        <v>136</v>
      </c>
      <c r="D91" s="96" t="s">
        <v>153</v>
      </c>
      <c r="E91" s="96" t="s">
        <v>219</v>
      </c>
    </row>
    <row r="92" spans="1:5" x14ac:dyDescent="0.3">
      <c r="A92" s="29" t="s">
        <v>7289</v>
      </c>
      <c r="B92" s="98" t="s">
        <v>157</v>
      </c>
      <c r="C92" s="98" t="s">
        <v>113</v>
      </c>
      <c r="D92" s="98" t="s">
        <v>218</v>
      </c>
      <c r="E92" s="36" t="s">
        <v>220</v>
      </c>
    </row>
    <row r="93" spans="1:5" x14ac:dyDescent="0.3">
      <c r="A93" s="29" t="s">
        <v>7289</v>
      </c>
      <c r="B93" s="36" t="s">
        <v>157</v>
      </c>
      <c r="C93" s="36" t="s">
        <v>106</v>
      </c>
      <c r="D93" s="36" t="s">
        <v>153</v>
      </c>
      <c r="E93" s="36" t="s">
        <v>220</v>
      </c>
    </row>
    <row r="94" spans="1:5" ht="15" thickBot="1" x14ac:dyDescent="0.35">
      <c r="A94" s="40" t="s">
        <v>7289</v>
      </c>
      <c r="B94" s="45" t="s">
        <v>157</v>
      </c>
      <c r="C94" s="45" t="s">
        <v>136</v>
      </c>
      <c r="D94" s="45" t="s">
        <v>153</v>
      </c>
      <c r="E94" s="45" t="s">
        <v>220</v>
      </c>
    </row>
    <row r="95" spans="1:5" x14ac:dyDescent="0.3">
      <c r="A95" s="29" t="s">
        <v>7289</v>
      </c>
      <c r="B95" s="98" t="s">
        <v>157</v>
      </c>
      <c r="C95" s="98" t="s">
        <v>113</v>
      </c>
      <c r="D95" s="98" t="s">
        <v>218</v>
      </c>
      <c r="E95" s="47" t="s">
        <v>219</v>
      </c>
    </row>
    <row r="96" spans="1:5" x14ac:dyDescent="0.3">
      <c r="A96" s="29" t="s">
        <v>7289</v>
      </c>
      <c r="B96" s="36" t="s">
        <v>157</v>
      </c>
      <c r="C96" s="36" t="s">
        <v>106</v>
      </c>
      <c r="D96" s="58" t="s">
        <v>153</v>
      </c>
      <c r="E96" s="36" t="s">
        <v>219</v>
      </c>
    </row>
    <row r="97" spans="1:5" ht="15" thickBot="1" x14ac:dyDescent="0.35">
      <c r="A97" s="40" t="s">
        <v>7289</v>
      </c>
      <c r="B97" s="45" t="s">
        <v>157</v>
      </c>
      <c r="C97" s="45" t="s">
        <v>136</v>
      </c>
      <c r="D97" s="45" t="s">
        <v>153</v>
      </c>
      <c r="E97" s="45" t="s">
        <v>219</v>
      </c>
    </row>
    <row r="98" spans="1:5" x14ac:dyDescent="0.3">
      <c r="A98" s="29" t="s">
        <v>7298</v>
      </c>
      <c r="B98" s="38" t="s">
        <v>108</v>
      </c>
      <c r="C98" s="38" t="s">
        <v>113</v>
      </c>
      <c r="D98" s="38" t="s">
        <v>120</v>
      </c>
      <c r="E98" s="38" t="s">
        <v>220</v>
      </c>
    </row>
    <row r="99" spans="1:5" x14ac:dyDescent="0.3">
      <c r="A99" s="29" t="s">
        <v>7298</v>
      </c>
      <c r="B99" s="38" t="s">
        <v>108</v>
      </c>
      <c r="C99" s="38" t="s">
        <v>106</v>
      </c>
      <c r="D99" s="38" t="s">
        <v>120</v>
      </c>
      <c r="E99" s="38" t="s">
        <v>220</v>
      </c>
    </row>
    <row r="100" spans="1:5" ht="15" thickBot="1" x14ac:dyDescent="0.35">
      <c r="A100" s="40" t="s">
        <v>7298</v>
      </c>
      <c r="B100" s="60" t="s">
        <v>108</v>
      </c>
      <c r="C100" s="60" t="s">
        <v>136</v>
      </c>
      <c r="D100" s="60" t="s">
        <v>120</v>
      </c>
      <c r="E100" s="60" t="s">
        <v>220</v>
      </c>
    </row>
    <row r="101" spans="1:5" x14ac:dyDescent="0.3">
      <c r="A101" s="29" t="s">
        <v>7298</v>
      </c>
      <c r="B101" s="38" t="s">
        <v>108</v>
      </c>
      <c r="C101" s="38" t="s">
        <v>113</v>
      </c>
      <c r="D101" s="38" t="s">
        <v>120</v>
      </c>
      <c r="E101" s="44" t="s">
        <v>219</v>
      </c>
    </row>
    <row r="102" spans="1:5" x14ac:dyDescent="0.3">
      <c r="A102" s="29" t="s">
        <v>7298</v>
      </c>
      <c r="B102" s="38" t="s">
        <v>108</v>
      </c>
      <c r="C102" s="38" t="s">
        <v>106</v>
      </c>
      <c r="D102" s="38" t="s">
        <v>120</v>
      </c>
      <c r="E102" s="38" t="s">
        <v>219</v>
      </c>
    </row>
    <row r="103" spans="1:5" ht="15" thickBot="1" x14ac:dyDescent="0.35">
      <c r="A103" s="40" t="s">
        <v>7298</v>
      </c>
      <c r="B103" s="60" t="s">
        <v>108</v>
      </c>
      <c r="C103" s="60" t="s">
        <v>136</v>
      </c>
      <c r="D103" s="60" t="s">
        <v>120</v>
      </c>
      <c r="E103" s="60" t="s">
        <v>219</v>
      </c>
    </row>
    <row r="104" spans="1:5" x14ac:dyDescent="0.3">
      <c r="A104" s="29" t="s">
        <v>7298</v>
      </c>
      <c r="B104" s="94" t="s">
        <v>106</v>
      </c>
      <c r="C104" s="94" t="s">
        <v>113</v>
      </c>
      <c r="D104" s="94" t="s">
        <v>120</v>
      </c>
      <c r="E104" s="95" t="s">
        <v>220</v>
      </c>
    </row>
    <row r="105" spans="1:5" x14ac:dyDescent="0.3">
      <c r="A105" s="29" t="s">
        <v>7298</v>
      </c>
      <c r="B105" s="95" t="s">
        <v>106</v>
      </c>
      <c r="C105" s="95" t="s">
        <v>106</v>
      </c>
      <c r="D105" s="95" t="s">
        <v>120</v>
      </c>
      <c r="E105" s="95" t="s">
        <v>220</v>
      </c>
    </row>
    <row r="106" spans="1:5" ht="15" thickBot="1" x14ac:dyDescent="0.35">
      <c r="A106" s="40" t="s">
        <v>7298</v>
      </c>
      <c r="B106" s="96" t="s">
        <v>106</v>
      </c>
      <c r="C106" s="96" t="s">
        <v>136</v>
      </c>
      <c r="D106" s="96" t="s">
        <v>120</v>
      </c>
      <c r="E106" s="96" t="s">
        <v>220</v>
      </c>
    </row>
    <row r="107" spans="1:5" x14ac:dyDescent="0.3">
      <c r="A107" s="29" t="s">
        <v>7298</v>
      </c>
      <c r="B107" s="94" t="s">
        <v>106</v>
      </c>
      <c r="C107" s="94" t="s">
        <v>113</v>
      </c>
      <c r="D107" s="94" t="s">
        <v>120</v>
      </c>
      <c r="E107" s="97" t="s">
        <v>219</v>
      </c>
    </row>
    <row r="108" spans="1:5" x14ac:dyDescent="0.3">
      <c r="A108" s="29" t="s">
        <v>7298</v>
      </c>
      <c r="B108" s="95" t="s">
        <v>106</v>
      </c>
      <c r="C108" s="95" t="s">
        <v>106</v>
      </c>
      <c r="D108" s="95" t="s">
        <v>120</v>
      </c>
      <c r="E108" s="95" t="s">
        <v>219</v>
      </c>
    </row>
    <row r="109" spans="1:5" ht="15" thickBot="1" x14ac:dyDescent="0.35">
      <c r="A109" s="40" t="s">
        <v>7298</v>
      </c>
      <c r="B109" s="96" t="s">
        <v>106</v>
      </c>
      <c r="C109" s="96" t="s">
        <v>136</v>
      </c>
      <c r="D109" s="96" t="s">
        <v>120</v>
      </c>
      <c r="E109" s="96" t="s">
        <v>219</v>
      </c>
    </row>
    <row r="110" spans="1:5" x14ac:dyDescent="0.3">
      <c r="A110" s="29" t="s">
        <v>7298</v>
      </c>
      <c r="B110" s="98" t="s">
        <v>157</v>
      </c>
      <c r="C110" s="98" t="s">
        <v>113</v>
      </c>
      <c r="D110" s="98" t="s">
        <v>120</v>
      </c>
      <c r="E110" s="36" t="s">
        <v>220</v>
      </c>
    </row>
    <row r="111" spans="1:5" x14ac:dyDescent="0.3">
      <c r="A111" s="29" t="s">
        <v>7298</v>
      </c>
      <c r="B111" s="36" t="s">
        <v>157</v>
      </c>
      <c r="C111" s="36" t="s">
        <v>106</v>
      </c>
      <c r="D111" s="36" t="s">
        <v>120</v>
      </c>
      <c r="E111" s="36" t="s">
        <v>220</v>
      </c>
    </row>
    <row r="112" spans="1:5" ht="15" thickBot="1" x14ac:dyDescent="0.35">
      <c r="A112" s="40" t="s">
        <v>7298</v>
      </c>
      <c r="B112" s="45" t="s">
        <v>157</v>
      </c>
      <c r="C112" s="45" t="s">
        <v>136</v>
      </c>
      <c r="D112" s="45" t="s">
        <v>120</v>
      </c>
      <c r="E112" s="45" t="s">
        <v>220</v>
      </c>
    </row>
    <row r="113" spans="1:5" x14ac:dyDescent="0.3">
      <c r="A113" s="29" t="s">
        <v>7298</v>
      </c>
      <c r="B113" s="98" t="s">
        <v>157</v>
      </c>
      <c r="C113" s="98" t="s">
        <v>113</v>
      </c>
      <c r="D113" s="98" t="s">
        <v>120</v>
      </c>
      <c r="E113" s="47" t="s">
        <v>219</v>
      </c>
    </row>
    <row r="114" spans="1:5" x14ac:dyDescent="0.3">
      <c r="A114" s="29" t="s">
        <v>7298</v>
      </c>
      <c r="B114" s="36" t="s">
        <v>157</v>
      </c>
      <c r="C114" s="36" t="s">
        <v>106</v>
      </c>
      <c r="D114" s="58" t="s">
        <v>120</v>
      </c>
      <c r="E114" s="36" t="s">
        <v>219</v>
      </c>
    </row>
    <row r="115" spans="1:5" ht="15" thickBot="1" x14ac:dyDescent="0.35">
      <c r="A115" s="40" t="s">
        <v>7298</v>
      </c>
      <c r="B115" s="45" t="s">
        <v>157</v>
      </c>
      <c r="C115" s="45" t="s">
        <v>136</v>
      </c>
      <c r="D115" s="45" t="s">
        <v>120</v>
      </c>
      <c r="E115" s="45" t="s">
        <v>219</v>
      </c>
    </row>
    <row r="116" spans="1:5" x14ac:dyDescent="0.3">
      <c r="A116" s="29" t="s">
        <v>7292</v>
      </c>
      <c r="B116" s="38" t="s">
        <v>108</v>
      </c>
      <c r="C116" s="38" t="s">
        <v>113</v>
      </c>
      <c r="D116" s="38" t="s">
        <v>120</v>
      </c>
      <c r="E116" s="38" t="s">
        <v>220</v>
      </c>
    </row>
    <row r="117" spans="1:5" x14ac:dyDescent="0.3">
      <c r="A117" s="29" t="s">
        <v>7292</v>
      </c>
      <c r="B117" s="38" t="s">
        <v>108</v>
      </c>
      <c r="C117" s="38" t="s">
        <v>106</v>
      </c>
      <c r="D117" s="38" t="s">
        <v>120</v>
      </c>
      <c r="E117" s="38" t="s">
        <v>220</v>
      </c>
    </row>
    <row r="118" spans="1:5" ht="15" thickBot="1" x14ac:dyDescent="0.35">
      <c r="A118" s="40" t="s">
        <v>7292</v>
      </c>
      <c r="B118" s="60" t="s">
        <v>108</v>
      </c>
      <c r="C118" s="60" t="s">
        <v>136</v>
      </c>
      <c r="D118" s="60" t="s">
        <v>120</v>
      </c>
      <c r="E118" s="60" t="s">
        <v>220</v>
      </c>
    </row>
    <row r="119" spans="1:5" x14ac:dyDescent="0.3">
      <c r="A119" s="29" t="s">
        <v>7292</v>
      </c>
      <c r="B119" s="38" t="s">
        <v>108</v>
      </c>
      <c r="C119" s="38" t="s">
        <v>113</v>
      </c>
      <c r="D119" s="38" t="s">
        <v>120</v>
      </c>
      <c r="E119" s="44" t="s">
        <v>219</v>
      </c>
    </row>
    <row r="120" spans="1:5" x14ac:dyDescent="0.3">
      <c r="A120" s="29" t="s">
        <v>7292</v>
      </c>
      <c r="B120" s="38" t="s">
        <v>108</v>
      </c>
      <c r="C120" s="38" t="s">
        <v>106</v>
      </c>
      <c r="D120" s="38" t="s">
        <v>120</v>
      </c>
      <c r="E120" s="38" t="s">
        <v>219</v>
      </c>
    </row>
    <row r="121" spans="1:5" ht="15" thickBot="1" x14ac:dyDescent="0.35">
      <c r="A121" s="40" t="s">
        <v>7292</v>
      </c>
      <c r="B121" s="60" t="s">
        <v>108</v>
      </c>
      <c r="C121" s="60" t="s">
        <v>136</v>
      </c>
      <c r="D121" s="60" t="s">
        <v>120</v>
      </c>
      <c r="E121" s="60" t="s">
        <v>219</v>
      </c>
    </row>
    <row r="122" spans="1:5" x14ac:dyDescent="0.3">
      <c r="A122" s="29" t="s">
        <v>7292</v>
      </c>
      <c r="B122" s="94" t="s">
        <v>106</v>
      </c>
      <c r="C122" s="94" t="s">
        <v>113</v>
      </c>
      <c r="D122" s="94" t="s">
        <v>120</v>
      </c>
      <c r="E122" s="95" t="s">
        <v>220</v>
      </c>
    </row>
    <row r="123" spans="1:5" x14ac:dyDescent="0.3">
      <c r="A123" s="29" t="s">
        <v>7292</v>
      </c>
      <c r="B123" s="95" t="s">
        <v>106</v>
      </c>
      <c r="C123" s="95" t="s">
        <v>106</v>
      </c>
      <c r="D123" s="95" t="s">
        <v>120</v>
      </c>
      <c r="E123" s="95" t="s">
        <v>220</v>
      </c>
    </row>
    <row r="124" spans="1:5" ht="15" thickBot="1" x14ac:dyDescent="0.35">
      <c r="A124" s="40" t="s">
        <v>7292</v>
      </c>
      <c r="B124" s="96" t="s">
        <v>106</v>
      </c>
      <c r="C124" s="96" t="s">
        <v>136</v>
      </c>
      <c r="D124" s="96" t="s">
        <v>120</v>
      </c>
      <c r="E124" s="96" t="s">
        <v>220</v>
      </c>
    </row>
    <row r="125" spans="1:5" x14ac:dyDescent="0.3">
      <c r="A125" s="29" t="s">
        <v>7292</v>
      </c>
      <c r="B125" s="94" t="s">
        <v>106</v>
      </c>
      <c r="C125" s="94" t="s">
        <v>113</v>
      </c>
      <c r="D125" s="95" t="s">
        <v>120</v>
      </c>
      <c r="E125" s="97" t="s">
        <v>219</v>
      </c>
    </row>
    <row r="126" spans="1:5" x14ac:dyDescent="0.3">
      <c r="A126" s="29" t="s">
        <v>7292</v>
      </c>
      <c r="B126" s="95" t="s">
        <v>106</v>
      </c>
      <c r="C126" s="95" t="s">
        <v>106</v>
      </c>
      <c r="D126" s="95" t="s">
        <v>120</v>
      </c>
      <c r="E126" s="95" t="s">
        <v>219</v>
      </c>
    </row>
    <row r="127" spans="1:5" ht="15" thickBot="1" x14ac:dyDescent="0.35">
      <c r="A127" s="40" t="s">
        <v>7292</v>
      </c>
      <c r="B127" s="96" t="s">
        <v>106</v>
      </c>
      <c r="C127" s="96" t="s">
        <v>136</v>
      </c>
      <c r="D127" s="96" t="s">
        <v>120</v>
      </c>
      <c r="E127" s="96" t="s">
        <v>219</v>
      </c>
    </row>
    <row r="128" spans="1:5" x14ac:dyDescent="0.3">
      <c r="A128" s="29" t="s">
        <v>7292</v>
      </c>
      <c r="B128" s="98" t="s">
        <v>157</v>
      </c>
      <c r="C128" s="98" t="s">
        <v>113</v>
      </c>
      <c r="D128" s="98" t="s">
        <v>120</v>
      </c>
      <c r="E128" s="36" t="s">
        <v>220</v>
      </c>
    </row>
    <row r="129" spans="1:5" x14ac:dyDescent="0.3">
      <c r="A129" s="29" t="s">
        <v>7292</v>
      </c>
      <c r="B129" s="36" t="s">
        <v>157</v>
      </c>
      <c r="C129" s="36" t="s">
        <v>106</v>
      </c>
      <c r="D129" s="36" t="s">
        <v>120</v>
      </c>
      <c r="E129" s="36" t="s">
        <v>220</v>
      </c>
    </row>
    <row r="130" spans="1:5" ht="15" thickBot="1" x14ac:dyDescent="0.35">
      <c r="A130" s="40" t="s">
        <v>7292</v>
      </c>
      <c r="B130" s="45" t="s">
        <v>157</v>
      </c>
      <c r="C130" s="45" t="s">
        <v>136</v>
      </c>
      <c r="D130" s="45" t="s">
        <v>120</v>
      </c>
      <c r="E130" s="45" t="s">
        <v>220</v>
      </c>
    </row>
    <row r="131" spans="1:5" x14ac:dyDescent="0.3">
      <c r="A131" s="29" t="s">
        <v>7292</v>
      </c>
      <c r="B131" s="98" t="s">
        <v>157</v>
      </c>
      <c r="C131" s="98" t="s">
        <v>113</v>
      </c>
      <c r="D131" s="36" t="s">
        <v>120</v>
      </c>
      <c r="E131" s="47" t="s">
        <v>219</v>
      </c>
    </row>
    <row r="132" spans="1:5" x14ac:dyDescent="0.3">
      <c r="A132" s="29" t="s">
        <v>7292</v>
      </c>
      <c r="B132" s="36" t="s">
        <v>157</v>
      </c>
      <c r="C132" s="36" t="s">
        <v>106</v>
      </c>
      <c r="D132" s="36" t="s">
        <v>120</v>
      </c>
      <c r="E132" s="36" t="s">
        <v>219</v>
      </c>
    </row>
    <row r="133" spans="1:5" ht="15" thickBot="1" x14ac:dyDescent="0.35">
      <c r="A133" s="40" t="s">
        <v>7292</v>
      </c>
      <c r="B133" s="45" t="s">
        <v>157</v>
      </c>
      <c r="C133" s="45" t="s">
        <v>136</v>
      </c>
      <c r="D133" s="45" t="s">
        <v>120</v>
      </c>
      <c r="E133" s="45" t="s">
        <v>219</v>
      </c>
    </row>
    <row r="135" spans="1:5" x14ac:dyDescent="0.3">
      <c r="D135" s="521" t="s">
        <v>207</v>
      </c>
      <c r="E135" s="521"/>
    </row>
    <row r="136" spans="1:5" x14ac:dyDescent="0.3">
      <c r="D136" s="55" t="s">
        <v>200</v>
      </c>
      <c r="E136" s="55" t="s">
        <v>166</v>
      </c>
    </row>
    <row r="137" spans="1:5" x14ac:dyDescent="0.3">
      <c r="D137" s="38" t="s">
        <v>148</v>
      </c>
      <c r="E137" s="38" t="s">
        <v>221</v>
      </c>
    </row>
    <row r="138" spans="1:5" x14ac:dyDescent="0.3">
      <c r="D138" s="37" t="s">
        <v>218</v>
      </c>
      <c r="E138" s="38" t="s">
        <v>222</v>
      </c>
    </row>
    <row r="139" spans="1:5" x14ac:dyDescent="0.3">
      <c r="D139" s="37" t="s">
        <v>153</v>
      </c>
      <c r="E139" s="38" t="s">
        <v>223</v>
      </c>
    </row>
    <row r="140" spans="1:5" x14ac:dyDescent="0.3">
      <c r="D140" s="36" t="s">
        <v>120</v>
      </c>
      <c r="E140" s="36" t="s">
        <v>204</v>
      </c>
    </row>
  </sheetData>
  <mergeCells count="3">
    <mergeCell ref="G1:K1"/>
    <mergeCell ref="B23:C23"/>
    <mergeCell ref="D135:E135"/>
  </mergeCells>
  <dataValidations count="1">
    <dataValidation type="list" allowBlank="1" showInputMessage="1" showErrorMessage="1" sqref="F16" xr:uid="{54144F50-BD93-40F0-B993-53EB8FC674CE}">
      <formula1>Brand_EX_GG</formula1>
    </dataValidation>
  </dataValidations>
  <pageMargins left="0.39370078740157483" right="0.39370078740157483" top="0.39370078740157483" bottom="0.39370078740157483" header="0.19685039370078741" footer="0.19685039370078741"/>
  <pageSetup paperSize="9" scale="68" pageOrder="overThenDown" orientation="landscape" verticalDpi="1200" r:id="rId1"/>
  <headerFooter>
    <oddFooter>&amp;L&amp;G&amp;R&amp;"Arial,Standard"&amp;9Seite &amp;P /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dimension ref="A1:E47"/>
  <sheetViews>
    <sheetView showGridLines="0" workbookViewId="0">
      <selection activeCell="F19" sqref="F19"/>
    </sheetView>
  </sheetViews>
  <sheetFormatPr baseColWidth="10" defaultRowHeight="17.25" customHeight="1" x14ac:dyDescent="0.3"/>
  <cols>
    <col min="1" max="1" width="22.88671875" style="4" customWidth="1"/>
    <col min="2" max="2" width="14" style="5" customWidth="1"/>
    <col min="3" max="3" width="77.5546875" style="365" customWidth="1"/>
    <col min="4" max="4" width="4.33203125" customWidth="1"/>
    <col min="5" max="5" width="8.5546875" customWidth="1"/>
  </cols>
  <sheetData>
    <row r="1" spans="1:5" ht="18.75" customHeight="1" x14ac:dyDescent="0.3">
      <c r="A1" s="361" t="s">
        <v>7396</v>
      </c>
      <c r="B1" s="362"/>
      <c r="C1" s="363"/>
      <c r="E1" s="370" t="s">
        <v>2662</v>
      </c>
    </row>
    <row r="2" spans="1:5" ht="18.75" customHeight="1" x14ac:dyDescent="0.3">
      <c r="A2" s="355"/>
      <c r="B2" s="356"/>
      <c r="C2" s="364"/>
      <c r="E2" s="503" t="s">
        <v>7397</v>
      </c>
    </row>
    <row r="3" spans="1:5" ht="18.75" customHeight="1" x14ac:dyDescent="0.3">
      <c r="A3" s="355" t="s">
        <v>250</v>
      </c>
      <c r="B3" s="356" t="s">
        <v>148</v>
      </c>
      <c r="C3" s="364" t="s">
        <v>7355</v>
      </c>
      <c r="E3" s="503"/>
    </row>
    <row r="4" spans="1:5" ht="18.75" customHeight="1" x14ac:dyDescent="0.3">
      <c r="A4" s="355" t="s">
        <v>251</v>
      </c>
      <c r="B4" s="356" t="s">
        <v>148</v>
      </c>
      <c r="C4" s="364" t="s">
        <v>7356</v>
      </c>
      <c r="E4" s="371"/>
    </row>
    <row r="5" spans="1:5" ht="18.75" customHeight="1" x14ac:dyDescent="0.3">
      <c r="A5" s="355" t="s">
        <v>252</v>
      </c>
      <c r="B5" s="356" t="s">
        <v>148</v>
      </c>
      <c r="C5" s="364" t="s">
        <v>7428</v>
      </c>
      <c r="E5" s="371"/>
    </row>
    <row r="6" spans="1:5" ht="18.75" customHeight="1" x14ac:dyDescent="0.3">
      <c r="A6" s="355" t="s">
        <v>215</v>
      </c>
      <c r="B6" s="356" t="s">
        <v>148</v>
      </c>
      <c r="C6" s="364" t="s">
        <v>7429</v>
      </c>
      <c r="E6" s="371"/>
    </row>
    <row r="7" spans="1:5" ht="18.75" customHeight="1" x14ac:dyDescent="0.3">
      <c r="A7" s="357" t="s">
        <v>253</v>
      </c>
      <c r="B7" s="358" t="s">
        <v>148</v>
      </c>
      <c r="C7" s="366" t="s">
        <v>7357</v>
      </c>
      <c r="E7" s="371"/>
    </row>
    <row r="8" spans="1:5" ht="18.75" customHeight="1" x14ac:dyDescent="0.3">
      <c r="A8" s="359" t="s">
        <v>254</v>
      </c>
      <c r="B8" s="360" t="s">
        <v>218</v>
      </c>
      <c r="C8" s="367" t="s">
        <v>7358</v>
      </c>
      <c r="E8" s="371"/>
    </row>
    <row r="9" spans="1:5" ht="18.75" customHeight="1" x14ac:dyDescent="0.3">
      <c r="A9" s="355" t="s">
        <v>255</v>
      </c>
      <c r="B9" s="356" t="s">
        <v>218</v>
      </c>
      <c r="C9" s="364" t="s">
        <v>7359</v>
      </c>
      <c r="E9" s="371"/>
    </row>
    <row r="10" spans="1:5" ht="18.75" customHeight="1" x14ac:dyDescent="0.3">
      <c r="A10" s="355" t="s">
        <v>256</v>
      </c>
      <c r="B10" s="356" t="s">
        <v>218</v>
      </c>
      <c r="C10" s="364" t="s">
        <v>7360</v>
      </c>
      <c r="E10" s="371"/>
    </row>
    <row r="11" spans="1:5" ht="18.75" customHeight="1" x14ac:dyDescent="0.3">
      <c r="A11" s="355" t="s">
        <v>257</v>
      </c>
      <c r="B11" s="356" t="s">
        <v>218</v>
      </c>
      <c r="C11" s="364" t="s">
        <v>7361</v>
      </c>
      <c r="E11" s="371"/>
    </row>
    <row r="12" spans="1:5" ht="18.75" customHeight="1" x14ac:dyDescent="0.3">
      <c r="A12" s="355" t="s">
        <v>258</v>
      </c>
      <c r="B12" s="356" t="s">
        <v>218</v>
      </c>
      <c r="C12" s="364" t="s">
        <v>7362</v>
      </c>
      <c r="E12" s="371"/>
    </row>
    <row r="13" spans="1:5" ht="18.75" customHeight="1" x14ac:dyDescent="0.3">
      <c r="A13" s="355" t="s">
        <v>259</v>
      </c>
      <c r="B13" s="356" t="s">
        <v>218</v>
      </c>
      <c r="C13" s="364" t="s">
        <v>7363</v>
      </c>
      <c r="E13" s="371"/>
    </row>
    <row r="14" spans="1:5" ht="18.75" customHeight="1" x14ac:dyDescent="0.3">
      <c r="A14" s="355" t="s">
        <v>260</v>
      </c>
      <c r="B14" s="356" t="s">
        <v>218</v>
      </c>
      <c r="C14" s="364" t="s">
        <v>7364</v>
      </c>
      <c r="E14" s="371"/>
    </row>
    <row r="15" spans="1:5" ht="18.75" customHeight="1" x14ac:dyDescent="0.3">
      <c r="A15" s="355" t="s">
        <v>261</v>
      </c>
      <c r="B15" s="356" t="s">
        <v>218</v>
      </c>
      <c r="C15" s="364" t="s">
        <v>7365</v>
      </c>
      <c r="E15" s="371"/>
    </row>
    <row r="16" spans="1:5" ht="18.75" customHeight="1" x14ac:dyDescent="0.3">
      <c r="A16" s="355" t="s">
        <v>262</v>
      </c>
      <c r="B16" s="356" t="s">
        <v>218</v>
      </c>
      <c r="C16" s="364" t="s">
        <v>7366</v>
      </c>
      <c r="E16" s="371"/>
    </row>
    <row r="17" spans="1:5" ht="18.75" customHeight="1" x14ac:dyDescent="0.3">
      <c r="A17" s="355" t="s">
        <v>263</v>
      </c>
      <c r="B17" s="356" t="s">
        <v>218</v>
      </c>
      <c r="C17" s="364" t="s">
        <v>7367</v>
      </c>
      <c r="E17" s="371"/>
    </row>
    <row r="18" spans="1:5" ht="18.75" customHeight="1" x14ac:dyDescent="0.3">
      <c r="A18" s="355" t="s">
        <v>264</v>
      </c>
      <c r="B18" s="356" t="s">
        <v>218</v>
      </c>
      <c r="C18" s="364" t="s">
        <v>7368</v>
      </c>
      <c r="E18" s="371"/>
    </row>
    <row r="19" spans="1:5" ht="18.75" customHeight="1" x14ac:dyDescent="0.3">
      <c r="A19" s="355" t="s">
        <v>265</v>
      </c>
      <c r="B19" s="356" t="s">
        <v>218</v>
      </c>
      <c r="C19" s="364" t="s">
        <v>7369</v>
      </c>
      <c r="E19" s="371"/>
    </row>
    <row r="20" spans="1:5" ht="18.75" customHeight="1" x14ac:dyDescent="0.3">
      <c r="A20" s="355" t="s">
        <v>266</v>
      </c>
      <c r="B20" s="356" t="s">
        <v>218</v>
      </c>
      <c r="C20" s="364" t="s">
        <v>7370</v>
      </c>
      <c r="E20" s="371"/>
    </row>
    <row r="21" spans="1:5" ht="18.75" customHeight="1" x14ac:dyDescent="0.3">
      <c r="A21" s="355" t="s">
        <v>267</v>
      </c>
      <c r="B21" s="356" t="s">
        <v>218</v>
      </c>
      <c r="C21" s="364" t="s">
        <v>7371</v>
      </c>
      <c r="E21" s="371"/>
    </row>
    <row r="22" spans="1:5" ht="18.75" customHeight="1" x14ac:dyDescent="0.3">
      <c r="A22" s="355" t="s">
        <v>268</v>
      </c>
      <c r="B22" s="356" t="s">
        <v>218</v>
      </c>
      <c r="C22" s="364" t="s">
        <v>7372</v>
      </c>
      <c r="E22" s="371"/>
    </row>
    <row r="23" spans="1:5" ht="18.75" customHeight="1" x14ac:dyDescent="0.3">
      <c r="A23" s="355" t="s">
        <v>269</v>
      </c>
      <c r="B23" s="356" t="s">
        <v>218</v>
      </c>
      <c r="C23" s="364" t="s">
        <v>7373</v>
      </c>
      <c r="E23" s="371"/>
    </row>
    <row r="24" spans="1:5" ht="18.75" customHeight="1" x14ac:dyDescent="0.3">
      <c r="A24" s="355" t="s">
        <v>270</v>
      </c>
      <c r="B24" s="356" t="s">
        <v>218</v>
      </c>
      <c r="C24" s="364" t="s">
        <v>7374</v>
      </c>
      <c r="E24" s="371"/>
    </row>
    <row r="25" spans="1:5" ht="18.75" customHeight="1" x14ac:dyDescent="0.3">
      <c r="A25" s="355" t="s">
        <v>271</v>
      </c>
      <c r="B25" s="356" t="s">
        <v>218</v>
      </c>
      <c r="C25" s="364" t="s">
        <v>7375</v>
      </c>
      <c r="E25" s="371"/>
    </row>
    <row r="26" spans="1:5" ht="18.75" customHeight="1" x14ac:dyDescent="0.3">
      <c r="A26" s="355" t="s">
        <v>272</v>
      </c>
      <c r="B26" s="356" t="s">
        <v>218</v>
      </c>
      <c r="C26" s="364" t="s">
        <v>7376</v>
      </c>
      <c r="E26" s="371"/>
    </row>
    <row r="27" spans="1:5" ht="18.75" customHeight="1" x14ac:dyDescent="0.3">
      <c r="A27" s="355" t="s">
        <v>216</v>
      </c>
      <c r="B27" s="356" t="s">
        <v>218</v>
      </c>
      <c r="C27" s="364" t="s">
        <v>7378</v>
      </c>
      <c r="E27" s="371"/>
    </row>
    <row r="28" spans="1:5" ht="18.75" customHeight="1" x14ac:dyDescent="0.3">
      <c r="A28" s="357" t="s">
        <v>273</v>
      </c>
      <c r="B28" s="358" t="s">
        <v>218</v>
      </c>
      <c r="C28" s="366" t="s">
        <v>7377</v>
      </c>
      <c r="E28" s="371"/>
    </row>
    <row r="29" spans="1:5" ht="18.75" customHeight="1" x14ac:dyDescent="0.3">
      <c r="A29" s="359" t="s">
        <v>274</v>
      </c>
      <c r="B29" s="360" t="s">
        <v>153</v>
      </c>
      <c r="C29" s="367" t="s">
        <v>7379</v>
      </c>
      <c r="E29" s="371"/>
    </row>
    <row r="30" spans="1:5" ht="18.75" customHeight="1" x14ac:dyDescent="0.3">
      <c r="A30" s="355" t="s">
        <v>276</v>
      </c>
      <c r="B30" s="356" t="s">
        <v>153</v>
      </c>
      <c r="C30" s="364" t="s">
        <v>7380</v>
      </c>
      <c r="E30" s="371"/>
    </row>
    <row r="31" spans="1:5" ht="18.75" customHeight="1" x14ac:dyDescent="0.3">
      <c r="A31" s="355" t="s">
        <v>277</v>
      </c>
      <c r="B31" s="356" t="s">
        <v>153</v>
      </c>
      <c r="C31" s="364" t="s">
        <v>7381</v>
      </c>
      <c r="E31" s="371"/>
    </row>
    <row r="32" spans="1:5" ht="18.75" customHeight="1" x14ac:dyDescent="0.3">
      <c r="A32" s="355" t="s">
        <v>278</v>
      </c>
      <c r="B32" s="356" t="s">
        <v>153</v>
      </c>
      <c r="C32" s="364" t="s">
        <v>7382</v>
      </c>
      <c r="E32" s="371"/>
    </row>
    <row r="33" spans="1:5" ht="18.75" customHeight="1" x14ac:dyDescent="0.3">
      <c r="A33" s="355" t="s">
        <v>279</v>
      </c>
      <c r="B33" s="356" t="s">
        <v>153</v>
      </c>
      <c r="C33" s="364" t="s">
        <v>7383</v>
      </c>
      <c r="E33" s="371"/>
    </row>
    <row r="34" spans="1:5" ht="18.75" customHeight="1" x14ac:dyDescent="0.3">
      <c r="A34" s="355" t="s">
        <v>280</v>
      </c>
      <c r="B34" s="356" t="s">
        <v>153</v>
      </c>
      <c r="C34" s="364" t="s">
        <v>7384</v>
      </c>
      <c r="E34" s="371"/>
    </row>
    <row r="35" spans="1:5" ht="18.75" customHeight="1" x14ac:dyDescent="0.3">
      <c r="A35" s="355" t="s">
        <v>275</v>
      </c>
      <c r="B35" s="356" t="s">
        <v>153</v>
      </c>
      <c r="C35" s="364" t="s">
        <v>7385</v>
      </c>
      <c r="E35" s="371"/>
    </row>
    <row r="36" spans="1:5" ht="18.75" customHeight="1" x14ac:dyDescent="0.3">
      <c r="A36" s="357" t="s">
        <v>281</v>
      </c>
      <c r="B36" s="358" t="s">
        <v>153</v>
      </c>
      <c r="C36" s="366" t="s">
        <v>7386</v>
      </c>
      <c r="E36" s="371"/>
    </row>
    <row r="37" spans="1:5" ht="18.75" customHeight="1" x14ac:dyDescent="0.3">
      <c r="A37" s="359" t="s">
        <v>282</v>
      </c>
      <c r="B37" s="360"/>
      <c r="C37" s="367" t="s">
        <v>7394</v>
      </c>
      <c r="E37" s="371"/>
    </row>
    <row r="38" spans="1:5" ht="18.75" customHeight="1" x14ac:dyDescent="0.3">
      <c r="A38" s="355" t="s">
        <v>283</v>
      </c>
      <c r="B38" s="356"/>
      <c r="C38" s="364" t="s">
        <v>7393</v>
      </c>
      <c r="E38" s="371"/>
    </row>
    <row r="39" spans="1:5" ht="18.75" customHeight="1" x14ac:dyDescent="0.3">
      <c r="A39" s="355" t="s">
        <v>284</v>
      </c>
      <c r="B39" s="356"/>
      <c r="C39" s="364" t="s">
        <v>7387</v>
      </c>
      <c r="E39" s="371"/>
    </row>
    <row r="40" spans="1:5" ht="18.75" customHeight="1" x14ac:dyDescent="0.3">
      <c r="A40" s="355" t="s">
        <v>286</v>
      </c>
      <c r="B40" s="356"/>
      <c r="C40" s="364" t="s">
        <v>7388</v>
      </c>
      <c r="E40" s="371"/>
    </row>
    <row r="41" spans="1:5" ht="18.75" customHeight="1" x14ac:dyDescent="0.3">
      <c r="A41" s="355" t="s">
        <v>287</v>
      </c>
      <c r="B41" s="356"/>
      <c r="C41" s="364" t="s">
        <v>7389</v>
      </c>
      <c r="E41" s="371"/>
    </row>
    <row r="42" spans="1:5" ht="18.75" customHeight="1" x14ac:dyDescent="0.3">
      <c r="A42" s="355" t="s">
        <v>285</v>
      </c>
      <c r="B42" s="356"/>
      <c r="C42" s="364" t="s">
        <v>7390</v>
      </c>
      <c r="E42" s="371"/>
    </row>
    <row r="43" spans="1:5" ht="18.75" customHeight="1" x14ac:dyDescent="0.3">
      <c r="A43" s="355" t="s">
        <v>288</v>
      </c>
      <c r="B43" s="356"/>
      <c r="C43" s="364" t="s">
        <v>7391</v>
      </c>
      <c r="E43" s="371"/>
    </row>
    <row r="44" spans="1:5" ht="18.75" customHeight="1" x14ac:dyDescent="0.3">
      <c r="A44" s="355" t="s">
        <v>289</v>
      </c>
      <c r="B44" s="356"/>
      <c r="C44" s="364" t="s">
        <v>7389</v>
      </c>
      <c r="E44" s="371"/>
    </row>
    <row r="45" spans="1:5" ht="18.75" customHeight="1" x14ac:dyDescent="0.3">
      <c r="A45" s="355" t="s">
        <v>290</v>
      </c>
      <c r="B45" s="356"/>
      <c r="C45" s="364" t="s">
        <v>7392</v>
      </c>
      <c r="E45" s="371"/>
    </row>
    <row r="46" spans="1:5" ht="18.75" customHeight="1" x14ac:dyDescent="0.3">
      <c r="A46" s="355" t="s">
        <v>120</v>
      </c>
      <c r="B46" s="356"/>
      <c r="C46" s="364" t="s">
        <v>7427</v>
      </c>
      <c r="E46" s="371"/>
    </row>
    <row r="47" spans="1:5" ht="17.25" customHeight="1" x14ac:dyDescent="0.3">
      <c r="E47" s="371"/>
    </row>
  </sheetData>
  <mergeCells count="1">
    <mergeCell ref="E2:E3"/>
  </mergeCells>
  <hyperlinks>
    <hyperlink ref="E2" location="Gefahrstoffverzeichnis!A9" display="zurück" xr:uid="{F8318FEF-C316-4E4B-995C-26E32B1531BD}"/>
    <hyperlink ref="E2:E3" location="Gefahrstoffverzeichnis!CO6" display="Û" xr:uid="{899CF258-3B6C-4370-BD81-63B231E7F49D}"/>
  </hyperlinks>
  <pageMargins left="0.39370078740157483" right="0.39370078740157483" top="0.39370078740157483" bottom="0.39370078740157483" header="0.19685039370078741" footer="0.19685039370078741"/>
  <pageSetup paperSize="9" scale="68" pageOrder="overThenDown" orientation="landscape" r:id="rId1"/>
  <headerFooter>
    <oddFooter>&amp;L&amp;G&amp;R&amp;"Arial,Standard"&amp;9Seite &amp;P /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A7113-80EC-4A0D-928A-0C8BFEBA1B9D}">
  <sheetPr codeName="Tabelle10"/>
  <dimension ref="A1:B975"/>
  <sheetViews>
    <sheetView zoomScaleNormal="100" workbookViewId="0">
      <selection activeCell="F19" sqref="F19"/>
    </sheetView>
  </sheetViews>
  <sheetFormatPr baseColWidth="10" defaultColWidth="11.44140625" defaultRowHeight="15" customHeight="1" x14ac:dyDescent="0.25"/>
  <cols>
    <col min="1" max="1" width="17" style="204" customWidth="1"/>
    <col min="2" max="2" width="163.44140625" style="204" customWidth="1"/>
    <col min="3" max="16384" width="11.44140625" style="202"/>
  </cols>
  <sheetData>
    <row r="1" spans="1:2" ht="15" customHeight="1" x14ac:dyDescent="0.25">
      <c r="A1" s="201" t="s">
        <v>868</v>
      </c>
      <c r="B1" s="201" t="s">
        <v>869</v>
      </c>
    </row>
    <row r="2" spans="1:2" ht="15" customHeight="1" x14ac:dyDescent="0.25">
      <c r="A2" s="203">
        <v>1</v>
      </c>
      <c r="B2" s="203" t="s">
        <v>870</v>
      </c>
    </row>
    <row r="3" spans="1:2" ht="15" customHeight="1" x14ac:dyDescent="0.25">
      <c r="A3" s="203" t="s">
        <v>871</v>
      </c>
      <c r="B3" s="203" t="s">
        <v>872</v>
      </c>
    </row>
    <row r="4" spans="1:2" ht="15" customHeight="1" x14ac:dyDescent="0.25">
      <c r="A4" s="204" t="s">
        <v>873</v>
      </c>
      <c r="B4" s="204" t="s">
        <v>874</v>
      </c>
    </row>
    <row r="5" spans="1:2" ht="15" customHeight="1" x14ac:dyDescent="0.25">
      <c r="A5" s="204" t="s">
        <v>875</v>
      </c>
      <c r="B5" s="204" t="s">
        <v>876</v>
      </c>
    </row>
    <row r="6" spans="1:2" ht="15" customHeight="1" x14ac:dyDescent="0.25">
      <c r="A6" s="203" t="s">
        <v>877</v>
      </c>
      <c r="B6" s="203" t="s">
        <v>878</v>
      </c>
    </row>
    <row r="7" spans="1:2" ht="15" customHeight="1" x14ac:dyDescent="0.25">
      <c r="A7" s="204" t="s">
        <v>879</v>
      </c>
      <c r="B7" s="204" t="s">
        <v>880</v>
      </c>
    </row>
    <row r="8" spans="1:2" ht="15" customHeight="1" x14ac:dyDescent="0.25">
      <c r="A8" s="204" t="s">
        <v>881</v>
      </c>
      <c r="B8" s="204" t="s">
        <v>882</v>
      </c>
    </row>
    <row r="9" spans="1:2" ht="15" customHeight="1" x14ac:dyDescent="0.25">
      <c r="A9" s="204" t="s">
        <v>883</v>
      </c>
      <c r="B9" s="204" t="s">
        <v>884</v>
      </c>
    </row>
    <row r="10" spans="1:2" ht="15" customHeight="1" x14ac:dyDescent="0.25">
      <c r="A10" s="204" t="s">
        <v>885</v>
      </c>
      <c r="B10" s="204" t="s">
        <v>886</v>
      </c>
    </row>
    <row r="11" spans="1:2" ht="15" customHeight="1" x14ac:dyDescent="0.25">
      <c r="A11" s="204" t="s">
        <v>887</v>
      </c>
      <c r="B11" s="204" t="s">
        <v>888</v>
      </c>
    </row>
    <row r="12" spans="1:2" ht="15" customHeight="1" x14ac:dyDescent="0.25">
      <c r="A12" s="204" t="s">
        <v>889</v>
      </c>
      <c r="B12" s="204" t="s">
        <v>890</v>
      </c>
    </row>
    <row r="13" spans="1:2" ht="15" customHeight="1" x14ac:dyDescent="0.25">
      <c r="A13" s="204" t="s">
        <v>891</v>
      </c>
      <c r="B13" s="204" t="s">
        <v>892</v>
      </c>
    </row>
    <row r="14" spans="1:2" ht="15" customHeight="1" x14ac:dyDescent="0.25">
      <c r="A14" s="204" t="s">
        <v>893</v>
      </c>
      <c r="B14" s="204" t="s">
        <v>894</v>
      </c>
    </row>
    <row r="15" spans="1:2" ht="15" customHeight="1" x14ac:dyDescent="0.25">
      <c r="A15" s="203" t="s">
        <v>895</v>
      </c>
      <c r="B15" s="203" t="s">
        <v>896</v>
      </c>
    </row>
    <row r="16" spans="1:2" ht="15" customHeight="1" x14ac:dyDescent="0.25">
      <c r="A16" s="204" t="s">
        <v>897</v>
      </c>
      <c r="B16" s="204" t="s">
        <v>898</v>
      </c>
    </row>
    <row r="17" spans="1:2" ht="15" customHeight="1" x14ac:dyDescent="0.25">
      <c r="A17" s="204" t="s">
        <v>899</v>
      </c>
      <c r="B17" s="204" t="s">
        <v>900</v>
      </c>
    </row>
    <row r="18" spans="1:2" ht="15" customHeight="1" x14ac:dyDescent="0.25">
      <c r="A18" s="204" t="s">
        <v>901</v>
      </c>
      <c r="B18" s="204" t="s">
        <v>902</v>
      </c>
    </row>
    <row r="19" spans="1:2" ht="15" customHeight="1" x14ac:dyDescent="0.25">
      <c r="A19" s="204" t="s">
        <v>903</v>
      </c>
      <c r="B19" s="204" t="s">
        <v>904</v>
      </c>
    </row>
    <row r="20" spans="1:2" ht="15" customHeight="1" x14ac:dyDescent="0.25">
      <c r="A20" s="204" t="s">
        <v>905</v>
      </c>
      <c r="B20" s="204" t="s">
        <v>906</v>
      </c>
    </row>
    <row r="21" spans="1:2" ht="15" customHeight="1" x14ac:dyDescent="0.25">
      <c r="A21" s="204" t="s">
        <v>907</v>
      </c>
      <c r="B21" s="204" t="s">
        <v>908</v>
      </c>
    </row>
    <row r="22" spans="1:2" ht="15" customHeight="1" x14ac:dyDescent="0.25">
      <c r="A22" s="204" t="s">
        <v>909</v>
      </c>
      <c r="B22" s="204" t="s">
        <v>910</v>
      </c>
    </row>
    <row r="23" spans="1:2" ht="15" customHeight="1" x14ac:dyDescent="0.25">
      <c r="A23" s="204" t="s">
        <v>911</v>
      </c>
      <c r="B23" s="204" t="s">
        <v>894</v>
      </c>
    </row>
    <row r="24" spans="1:2" ht="15" customHeight="1" x14ac:dyDescent="0.25">
      <c r="A24" s="203" t="s">
        <v>912</v>
      </c>
      <c r="B24" s="203" t="s">
        <v>913</v>
      </c>
    </row>
    <row r="25" spans="1:2" ht="15" customHeight="1" x14ac:dyDescent="0.25">
      <c r="A25" s="204" t="s">
        <v>914</v>
      </c>
      <c r="B25" s="204" t="s">
        <v>915</v>
      </c>
    </row>
    <row r="26" spans="1:2" ht="15" customHeight="1" x14ac:dyDescent="0.25">
      <c r="A26" s="204" t="s">
        <v>916</v>
      </c>
      <c r="B26" s="204" t="s">
        <v>917</v>
      </c>
    </row>
    <row r="27" spans="1:2" ht="15" customHeight="1" x14ac:dyDescent="0.25">
      <c r="A27" s="204" t="s">
        <v>918</v>
      </c>
      <c r="B27" s="204" t="s">
        <v>919</v>
      </c>
    </row>
    <row r="28" spans="1:2" ht="15" customHeight="1" x14ac:dyDescent="0.25">
      <c r="A28" s="204" t="s">
        <v>920</v>
      </c>
      <c r="B28" s="204" t="s">
        <v>921</v>
      </c>
    </row>
    <row r="29" spans="1:2" ht="15" customHeight="1" x14ac:dyDescent="0.25">
      <c r="A29" s="204" t="s">
        <v>922</v>
      </c>
      <c r="B29" s="204" t="s">
        <v>923</v>
      </c>
    </row>
    <row r="30" spans="1:2" ht="15" customHeight="1" x14ac:dyDescent="0.25">
      <c r="A30" s="204" t="s">
        <v>924</v>
      </c>
      <c r="B30" s="204" t="s">
        <v>894</v>
      </c>
    </row>
    <row r="31" spans="1:2" ht="15" customHeight="1" x14ac:dyDescent="0.25">
      <c r="A31" s="203">
        <v>2</v>
      </c>
      <c r="B31" s="203" t="s">
        <v>925</v>
      </c>
    </row>
    <row r="32" spans="1:2" ht="15" customHeight="1" x14ac:dyDescent="0.25">
      <c r="A32" s="203" t="s">
        <v>926</v>
      </c>
      <c r="B32" s="203" t="s">
        <v>927</v>
      </c>
    </row>
    <row r="33" spans="1:2" ht="15" customHeight="1" x14ac:dyDescent="0.25">
      <c r="A33" s="204" t="s">
        <v>928</v>
      </c>
      <c r="B33" s="204" t="s">
        <v>929</v>
      </c>
    </row>
    <row r="34" spans="1:2" ht="15" customHeight="1" x14ac:dyDescent="0.25">
      <c r="A34" s="204" t="s">
        <v>930</v>
      </c>
      <c r="B34" s="204" t="s">
        <v>931</v>
      </c>
    </row>
    <row r="35" spans="1:2" ht="15" customHeight="1" x14ac:dyDescent="0.25">
      <c r="A35" s="204" t="s">
        <v>932</v>
      </c>
      <c r="B35" s="204" t="s">
        <v>933</v>
      </c>
    </row>
    <row r="36" spans="1:2" ht="15" customHeight="1" x14ac:dyDescent="0.25">
      <c r="A36" s="204" t="s">
        <v>934</v>
      </c>
      <c r="B36" s="204" t="s">
        <v>935</v>
      </c>
    </row>
    <row r="37" spans="1:2" ht="15" customHeight="1" x14ac:dyDescent="0.25">
      <c r="A37" s="204" t="s">
        <v>936</v>
      </c>
      <c r="B37" s="204" t="s">
        <v>937</v>
      </c>
    </row>
    <row r="38" spans="1:2" ht="15" customHeight="1" x14ac:dyDescent="0.25">
      <c r="A38" s="204" t="s">
        <v>938</v>
      </c>
      <c r="B38" s="204" t="s">
        <v>939</v>
      </c>
    </row>
    <row r="39" spans="1:2" ht="15" customHeight="1" x14ac:dyDescent="0.25">
      <c r="A39" s="204" t="s">
        <v>940</v>
      </c>
      <c r="B39" s="204" t="s">
        <v>941</v>
      </c>
    </row>
    <row r="40" spans="1:2" ht="15" customHeight="1" x14ac:dyDescent="0.25">
      <c r="A40" s="204" t="s">
        <v>942</v>
      </c>
      <c r="B40" s="204" t="s">
        <v>943</v>
      </c>
    </row>
    <row r="41" spans="1:2" ht="15" customHeight="1" x14ac:dyDescent="0.25">
      <c r="A41" s="204" t="s">
        <v>944</v>
      </c>
      <c r="B41" s="204" t="s">
        <v>945</v>
      </c>
    </row>
    <row r="42" spans="1:2" ht="15" customHeight="1" x14ac:dyDescent="0.25">
      <c r="A42" s="204" t="s">
        <v>946</v>
      </c>
      <c r="B42" s="204" t="s">
        <v>894</v>
      </c>
    </row>
    <row r="43" spans="1:2" ht="15" customHeight="1" x14ac:dyDescent="0.25">
      <c r="A43" s="203" t="s">
        <v>947</v>
      </c>
      <c r="B43" s="203" t="s">
        <v>948</v>
      </c>
    </row>
    <row r="44" spans="1:2" ht="15" customHeight="1" x14ac:dyDescent="0.25">
      <c r="A44" s="204" t="s">
        <v>949</v>
      </c>
      <c r="B44" s="204" t="s">
        <v>929</v>
      </c>
    </row>
    <row r="45" spans="1:2" ht="15" customHeight="1" x14ac:dyDescent="0.25">
      <c r="A45" s="204" t="s">
        <v>950</v>
      </c>
      <c r="B45" s="204" t="s">
        <v>931</v>
      </c>
    </row>
    <row r="46" spans="1:2" ht="15" customHeight="1" x14ac:dyDescent="0.25">
      <c r="A46" s="204" t="s">
        <v>951</v>
      </c>
      <c r="B46" s="204" t="s">
        <v>952</v>
      </c>
    </row>
    <row r="47" spans="1:2" ht="15" customHeight="1" x14ac:dyDescent="0.25">
      <c r="A47" s="204" t="s">
        <v>953</v>
      </c>
      <c r="B47" s="204" t="s">
        <v>954</v>
      </c>
    </row>
    <row r="48" spans="1:2" ht="15" customHeight="1" x14ac:dyDescent="0.25">
      <c r="A48" s="204" t="s">
        <v>955</v>
      </c>
      <c r="B48" s="204" t="s">
        <v>894</v>
      </c>
    </row>
    <row r="49" spans="1:2" ht="15" customHeight="1" x14ac:dyDescent="0.25">
      <c r="A49" s="203" t="s">
        <v>956</v>
      </c>
      <c r="B49" s="203" t="s">
        <v>957</v>
      </c>
    </row>
    <row r="50" spans="1:2" ht="15" customHeight="1" x14ac:dyDescent="0.25">
      <c r="A50" s="204" t="s">
        <v>958</v>
      </c>
      <c r="B50" s="204" t="s">
        <v>959</v>
      </c>
    </row>
    <row r="51" spans="1:2" ht="15" customHeight="1" x14ac:dyDescent="0.25">
      <c r="A51" s="204" t="s">
        <v>960</v>
      </c>
      <c r="B51" s="204" t="s">
        <v>961</v>
      </c>
    </row>
    <row r="52" spans="1:2" ht="15" customHeight="1" x14ac:dyDescent="0.25">
      <c r="A52" s="204" t="s">
        <v>962</v>
      </c>
      <c r="B52" s="204" t="s">
        <v>963</v>
      </c>
    </row>
    <row r="53" spans="1:2" ht="15" customHeight="1" x14ac:dyDescent="0.25">
      <c r="A53" s="204" t="s">
        <v>964</v>
      </c>
      <c r="B53" s="204" t="s">
        <v>952</v>
      </c>
    </row>
    <row r="54" spans="1:2" ht="15" customHeight="1" x14ac:dyDescent="0.25">
      <c r="A54" s="204" t="s">
        <v>965</v>
      </c>
      <c r="B54" s="204" t="s">
        <v>954</v>
      </c>
    </row>
    <row r="55" spans="1:2" ht="15" customHeight="1" x14ac:dyDescent="0.25">
      <c r="A55" s="204" t="s">
        <v>966</v>
      </c>
      <c r="B55" s="204" t="s">
        <v>894</v>
      </c>
    </row>
    <row r="56" spans="1:2" ht="15" customHeight="1" x14ac:dyDescent="0.25">
      <c r="A56" s="203" t="s">
        <v>967</v>
      </c>
      <c r="B56" s="203" t="s">
        <v>968</v>
      </c>
    </row>
    <row r="57" spans="1:2" ht="15" customHeight="1" x14ac:dyDescent="0.25">
      <c r="A57" s="204" t="s">
        <v>969</v>
      </c>
      <c r="B57" s="204" t="s">
        <v>970</v>
      </c>
    </row>
    <row r="58" spans="1:2" ht="15" customHeight="1" x14ac:dyDescent="0.25">
      <c r="A58" s="204" t="s">
        <v>971</v>
      </c>
      <c r="B58" s="204" t="s">
        <v>972</v>
      </c>
    </row>
    <row r="59" spans="1:2" ht="15" customHeight="1" x14ac:dyDescent="0.25">
      <c r="A59" s="204" t="s">
        <v>973</v>
      </c>
      <c r="B59" s="204" t="s">
        <v>954</v>
      </c>
    </row>
    <row r="60" spans="1:2" ht="15" customHeight="1" x14ac:dyDescent="0.25">
      <c r="A60" s="204" t="s">
        <v>974</v>
      </c>
      <c r="B60" s="204" t="s">
        <v>894</v>
      </c>
    </row>
    <row r="61" spans="1:2" ht="15" customHeight="1" x14ac:dyDescent="0.25">
      <c r="A61" s="203" t="s">
        <v>975</v>
      </c>
      <c r="B61" s="203" t="s">
        <v>976</v>
      </c>
    </row>
    <row r="62" spans="1:2" ht="15" customHeight="1" x14ac:dyDescent="0.25">
      <c r="A62" s="204" t="s">
        <v>977</v>
      </c>
      <c r="B62" s="204" t="s">
        <v>952</v>
      </c>
    </row>
    <row r="63" spans="1:2" ht="15" customHeight="1" x14ac:dyDescent="0.25">
      <c r="A63" s="204" t="s">
        <v>978</v>
      </c>
      <c r="B63" s="204" t="s">
        <v>954</v>
      </c>
    </row>
    <row r="64" spans="1:2" ht="15" customHeight="1" x14ac:dyDescent="0.25">
      <c r="A64" s="204" t="s">
        <v>979</v>
      </c>
      <c r="B64" s="204" t="s">
        <v>894</v>
      </c>
    </row>
    <row r="65" spans="1:2" ht="15" customHeight="1" x14ac:dyDescent="0.25">
      <c r="A65" s="203" t="s">
        <v>980</v>
      </c>
      <c r="B65" s="203" t="s">
        <v>981</v>
      </c>
    </row>
    <row r="66" spans="1:2" ht="15" customHeight="1" x14ac:dyDescent="0.25">
      <c r="A66" s="204" t="s">
        <v>982</v>
      </c>
      <c r="B66" s="204" t="s">
        <v>952</v>
      </c>
    </row>
    <row r="67" spans="1:2" ht="15" customHeight="1" x14ac:dyDescent="0.25">
      <c r="A67" s="204" t="s">
        <v>983</v>
      </c>
      <c r="B67" s="204" t="s">
        <v>961</v>
      </c>
    </row>
    <row r="68" spans="1:2" ht="15" customHeight="1" x14ac:dyDescent="0.25">
      <c r="A68" s="204" t="s">
        <v>984</v>
      </c>
      <c r="B68" s="204" t="s">
        <v>954</v>
      </c>
    </row>
    <row r="69" spans="1:2" ht="15" customHeight="1" x14ac:dyDescent="0.25">
      <c r="A69" s="204" t="s">
        <v>985</v>
      </c>
      <c r="B69" s="204" t="s">
        <v>894</v>
      </c>
    </row>
    <row r="70" spans="1:2" ht="15" customHeight="1" x14ac:dyDescent="0.25">
      <c r="A70" s="203" t="s">
        <v>986</v>
      </c>
      <c r="B70" s="203" t="s">
        <v>987</v>
      </c>
    </row>
    <row r="71" spans="1:2" ht="15" customHeight="1" x14ac:dyDescent="0.25">
      <c r="A71" s="204" t="s">
        <v>988</v>
      </c>
      <c r="B71" s="204" t="s">
        <v>989</v>
      </c>
    </row>
    <row r="72" spans="1:2" ht="15" customHeight="1" x14ac:dyDescent="0.25">
      <c r="A72" s="204" t="s">
        <v>990</v>
      </c>
      <c r="B72" s="204" t="s">
        <v>991</v>
      </c>
    </row>
    <row r="73" spans="1:2" ht="15" customHeight="1" x14ac:dyDescent="0.25">
      <c r="A73" s="204" t="s">
        <v>992</v>
      </c>
      <c r="B73" s="204" t="s">
        <v>993</v>
      </c>
    </row>
    <row r="74" spans="1:2" ht="15" customHeight="1" x14ac:dyDescent="0.25">
      <c r="A74" s="204" t="s">
        <v>994</v>
      </c>
      <c r="B74" s="204" t="s">
        <v>952</v>
      </c>
    </row>
    <row r="75" spans="1:2" ht="15" customHeight="1" x14ac:dyDescent="0.25">
      <c r="A75" s="204" t="s">
        <v>995</v>
      </c>
      <c r="B75" s="204" t="s">
        <v>954</v>
      </c>
    </row>
    <row r="76" spans="1:2" ht="15" customHeight="1" x14ac:dyDescent="0.25">
      <c r="A76" s="204" t="s">
        <v>996</v>
      </c>
      <c r="B76" s="204" t="s">
        <v>894</v>
      </c>
    </row>
    <row r="77" spans="1:2" ht="15" customHeight="1" x14ac:dyDescent="0.25">
      <c r="A77" s="203">
        <v>3</v>
      </c>
      <c r="B77" s="203" t="s">
        <v>997</v>
      </c>
    </row>
    <row r="78" spans="1:2" ht="15" customHeight="1" x14ac:dyDescent="0.25">
      <c r="A78" s="203" t="s">
        <v>998</v>
      </c>
      <c r="B78" s="203" t="s">
        <v>999</v>
      </c>
    </row>
    <row r="79" spans="1:2" ht="15" customHeight="1" x14ac:dyDescent="0.25">
      <c r="A79" s="204" t="s">
        <v>1000</v>
      </c>
      <c r="B79" s="204" t="s">
        <v>1001</v>
      </c>
    </row>
    <row r="80" spans="1:2" ht="15" customHeight="1" x14ac:dyDescent="0.25">
      <c r="A80" s="204" t="s">
        <v>1002</v>
      </c>
      <c r="B80" s="204" t="s">
        <v>1003</v>
      </c>
    </row>
    <row r="81" spans="1:2" ht="15" customHeight="1" x14ac:dyDescent="0.25">
      <c r="A81" s="204" t="s">
        <v>1004</v>
      </c>
      <c r="B81" s="204" t="s">
        <v>1005</v>
      </c>
    </row>
    <row r="82" spans="1:2" ht="15" customHeight="1" x14ac:dyDescent="0.25">
      <c r="A82" s="204" t="s">
        <v>1006</v>
      </c>
      <c r="B82" s="204" t="s">
        <v>894</v>
      </c>
    </row>
    <row r="83" spans="1:2" ht="15" customHeight="1" x14ac:dyDescent="0.25">
      <c r="A83" s="203" t="s">
        <v>1007</v>
      </c>
      <c r="B83" s="203" t="s">
        <v>1008</v>
      </c>
    </row>
    <row r="84" spans="1:2" ht="15" customHeight="1" x14ac:dyDescent="0.25">
      <c r="A84" s="204" t="s">
        <v>1009</v>
      </c>
      <c r="B84" s="204" t="s">
        <v>1010</v>
      </c>
    </row>
    <row r="85" spans="1:2" ht="15" customHeight="1" x14ac:dyDescent="0.25">
      <c r="A85" s="204" t="s">
        <v>1011</v>
      </c>
      <c r="B85" s="204" t="s">
        <v>1012</v>
      </c>
    </row>
    <row r="86" spans="1:2" ht="15" customHeight="1" x14ac:dyDescent="0.25">
      <c r="A86" s="204" t="s">
        <v>1013</v>
      </c>
      <c r="B86" s="204" t="s">
        <v>1014</v>
      </c>
    </row>
    <row r="87" spans="1:2" ht="15" customHeight="1" x14ac:dyDescent="0.25">
      <c r="A87" s="204" t="s">
        <v>1015</v>
      </c>
      <c r="B87" s="204" t="s">
        <v>1016</v>
      </c>
    </row>
    <row r="88" spans="1:2" ht="15" customHeight="1" x14ac:dyDescent="0.25">
      <c r="A88" s="204" t="s">
        <v>1017</v>
      </c>
      <c r="B88" s="204" t="s">
        <v>1018</v>
      </c>
    </row>
    <row r="89" spans="1:2" ht="15" customHeight="1" x14ac:dyDescent="0.25">
      <c r="A89" s="204" t="s">
        <v>1019</v>
      </c>
      <c r="B89" s="204" t="s">
        <v>1020</v>
      </c>
    </row>
    <row r="90" spans="1:2" ht="15" customHeight="1" x14ac:dyDescent="0.25">
      <c r="A90" s="203" t="s">
        <v>1021</v>
      </c>
      <c r="B90" s="203" t="s">
        <v>1022</v>
      </c>
    </row>
    <row r="91" spans="1:2" ht="15" customHeight="1" x14ac:dyDescent="0.25">
      <c r="A91" s="204" t="s">
        <v>1023</v>
      </c>
      <c r="B91" s="204" t="s">
        <v>1024</v>
      </c>
    </row>
    <row r="92" spans="1:2" ht="15" customHeight="1" x14ac:dyDescent="0.25">
      <c r="A92" s="204" t="s">
        <v>1025</v>
      </c>
      <c r="B92" s="204" t="s">
        <v>1026</v>
      </c>
    </row>
    <row r="93" spans="1:2" ht="15" customHeight="1" x14ac:dyDescent="0.25">
      <c r="A93" s="204" t="s">
        <v>1027</v>
      </c>
      <c r="B93" s="204" t="s">
        <v>1028</v>
      </c>
    </row>
    <row r="94" spans="1:2" ht="15" customHeight="1" x14ac:dyDescent="0.25">
      <c r="A94" s="204" t="s">
        <v>1029</v>
      </c>
      <c r="B94" s="204" t="s">
        <v>1030</v>
      </c>
    </row>
    <row r="95" spans="1:2" ht="15" customHeight="1" x14ac:dyDescent="0.25">
      <c r="A95" s="204" t="s">
        <v>1031</v>
      </c>
      <c r="B95" s="204" t="s">
        <v>1032</v>
      </c>
    </row>
    <row r="96" spans="1:2" ht="15" customHeight="1" x14ac:dyDescent="0.25">
      <c r="A96" s="204" t="s">
        <v>1033</v>
      </c>
      <c r="B96" s="204" t="s">
        <v>1034</v>
      </c>
    </row>
    <row r="97" spans="1:2" ht="15" customHeight="1" x14ac:dyDescent="0.25">
      <c r="A97" s="204" t="s">
        <v>1035</v>
      </c>
      <c r="B97" s="204" t="s">
        <v>1036</v>
      </c>
    </row>
    <row r="98" spans="1:2" ht="15" customHeight="1" x14ac:dyDescent="0.25">
      <c r="A98" s="204" t="s">
        <v>1037</v>
      </c>
      <c r="B98" s="204" t="s">
        <v>1038</v>
      </c>
    </row>
    <row r="99" spans="1:2" ht="15" customHeight="1" x14ac:dyDescent="0.25">
      <c r="A99" s="204" t="s">
        <v>1039</v>
      </c>
      <c r="B99" s="204" t="s">
        <v>894</v>
      </c>
    </row>
    <row r="100" spans="1:2" ht="15" customHeight="1" x14ac:dyDescent="0.25">
      <c r="A100" s="203">
        <v>4</v>
      </c>
      <c r="B100" s="203" t="s">
        <v>1040</v>
      </c>
    </row>
    <row r="101" spans="1:2" ht="15" customHeight="1" x14ac:dyDescent="0.25">
      <c r="A101" s="203" t="s">
        <v>1041</v>
      </c>
      <c r="B101" s="203" t="s">
        <v>1042</v>
      </c>
    </row>
    <row r="102" spans="1:2" ht="15" customHeight="1" x14ac:dyDescent="0.25">
      <c r="A102" s="204" t="s">
        <v>1043</v>
      </c>
      <c r="B102" s="204" t="s">
        <v>1044</v>
      </c>
    </row>
    <row r="103" spans="1:2" ht="15" customHeight="1" x14ac:dyDescent="0.25">
      <c r="A103" s="204" t="s">
        <v>1045</v>
      </c>
      <c r="B103" s="204" t="s">
        <v>1046</v>
      </c>
    </row>
    <row r="104" spans="1:2" ht="15" customHeight="1" x14ac:dyDescent="0.25">
      <c r="A104" s="204" t="s">
        <v>1047</v>
      </c>
      <c r="B104" s="204" t="s">
        <v>1048</v>
      </c>
    </row>
    <row r="105" spans="1:2" ht="15" customHeight="1" x14ac:dyDescent="0.25">
      <c r="A105" s="204" t="s">
        <v>1049</v>
      </c>
      <c r="B105" s="204" t="s">
        <v>1050</v>
      </c>
    </row>
    <row r="106" spans="1:2" ht="15" customHeight="1" x14ac:dyDescent="0.25">
      <c r="A106" s="204" t="s">
        <v>1051</v>
      </c>
      <c r="B106" s="204" t="s">
        <v>1052</v>
      </c>
    </row>
    <row r="107" spans="1:2" ht="15" customHeight="1" x14ac:dyDescent="0.25">
      <c r="A107" s="204" t="s">
        <v>1053</v>
      </c>
      <c r="B107" s="204" t="s">
        <v>1054</v>
      </c>
    </row>
    <row r="108" spans="1:2" ht="15" customHeight="1" x14ac:dyDescent="0.25">
      <c r="A108" s="204" t="s">
        <v>1055</v>
      </c>
      <c r="B108" s="204" t="s">
        <v>1056</v>
      </c>
    </row>
    <row r="109" spans="1:2" ht="15" customHeight="1" x14ac:dyDescent="0.25">
      <c r="A109" s="204" t="s">
        <v>1057</v>
      </c>
      <c r="B109" s="204" t="s">
        <v>1058</v>
      </c>
    </row>
    <row r="110" spans="1:2" ht="15" customHeight="1" x14ac:dyDescent="0.25">
      <c r="A110" s="204" t="s">
        <v>1059</v>
      </c>
      <c r="B110" s="204" t="s">
        <v>1060</v>
      </c>
    </row>
    <row r="111" spans="1:2" ht="15" customHeight="1" x14ac:dyDescent="0.25">
      <c r="A111" s="204" t="s">
        <v>1061</v>
      </c>
      <c r="B111" s="204" t="s">
        <v>894</v>
      </c>
    </row>
    <row r="112" spans="1:2" ht="15" customHeight="1" x14ac:dyDescent="0.25">
      <c r="A112" s="203" t="s">
        <v>1062</v>
      </c>
      <c r="B112" s="203" t="s">
        <v>1063</v>
      </c>
    </row>
    <row r="113" spans="1:2" ht="15" customHeight="1" x14ac:dyDescent="0.25">
      <c r="A113" s="204" t="s">
        <v>1064</v>
      </c>
      <c r="B113" s="204" t="s">
        <v>1065</v>
      </c>
    </row>
    <row r="114" spans="1:2" ht="15" customHeight="1" x14ac:dyDescent="0.25">
      <c r="A114" s="204" t="s">
        <v>1066</v>
      </c>
      <c r="B114" s="204" t="s">
        <v>1067</v>
      </c>
    </row>
    <row r="115" spans="1:2" ht="15" customHeight="1" x14ac:dyDescent="0.25">
      <c r="A115" s="204" t="s">
        <v>1068</v>
      </c>
      <c r="B115" s="204" t="s">
        <v>1069</v>
      </c>
    </row>
    <row r="116" spans="1:2" ht="15" customHeight="1" x14ac:dyDescent="0.25">
      <c r="A116" s="204" t="s">
        <v>1070</v>
      </c>
      <c r="B116" s="204" t="s">
        <v>1071</v>
      </c>
    </row>
    <row r="117" spans="1:2" ht="15" customHeight="1" x14ac:dyDescent="0.25">
      <c r="A117" s="204" t="s">
        <v>1072</v>
      </c>
      <c r="B117" s="204" t="s">
        <v>1073</v>
      </c>
    </row>
    <row r="118" spans="1:2" ht="15" customHeight="1" x14ac:dyDescent="0.25">
      <c r="A118" s="204" t="s">
        <v>1074</v>
      </c>
      <c r="B118" s="204" t="s">
        <v>1075</v>
      </c>
    </row>
    <row r="119" spans="1:2" ht="15" customHeight="1" x14ac:dyDescent="0.25">
      <c r="A119" s="204" t="s">
        <v>1076</v>
      </c>
      <c r="B119" s="204" t="s">
        <v>1077</v>
      </c>
    </row>
    <row r="120" spans="1:2" ht="15" customHeight="1" x14ac:dyDescent="0.25">
      <c r="A120" s="204" t="s">
        <v>1078</v>
      </c>
      <c r="B120" s="204" t="s">
        <v>1079</v>
      </c>
    </row>
    <row r="121" spans="1:2" ht="15" customHeight="1" x14ac:dyDescent="0.25">
      <c r="A121" s="204" t="s">
        <v>1080</v>
      </c>
      <c r="B121" s="204" t="s">
        <v>1081</v>
      </c>
    </row>
    <row r="122" spans="1:2" ht="15" customHeight="1" x14ac:dyDescent="0.25">
      <c r="A122" s="204" t="s">
        <v>1082</v>
      </c>
      <c r="B122" s="204" t="s">
        <v>1083</v>
      </c>
    </row>
    <row r="123" spans="1:2" ht="15" customHeight="1" x14ac:dyDescent="0.25">
      <c r="A123" s="204" t="s">
        <v>1084</v>
      </c>
      <c r="B123" s="204" t="s">
        <v>894</v>
      </c>
    </row>
    <row r="124" spans="1:2" ht="15" customHeight="1" x14ac:dyDescent="0.25">
      <c r="A124" s="203">
        <v>5</v>
      </c>
      <c r="B124" s="203" t="s">
        <v>1085</v>
      </c>
    </row>
    <row r="125" spans="1:2" ht="15" customHeight="1" x14ac:dyDescent="0.25">
      <c r="A125" s="203" t="s">
        <v>1086</v>
      </c>
      <c r="B125" s="203" t="s">
        <v>1087</v>
      </c>
    </row>
    <row r="126" spans="1:2" ht="15" customHeight="1" x14ac:dyDescent="0.25">
      <c r="A126" s="204" t="s">
        <v>1088</v>
      </c>
      <c r="B126" s="204" t="s">
        <v>1089</v>
      </c>
    </row>
    <row r="127" spans="1:2" ht="15" customHeight="1" x14ac:dyDescent="0.25">
      <c r="A127" s="204" t="s">
        <v>1090</v>
      </c>
      <c r="B127" s="204" t="s">
        <v>1091</v>
      </c>
    </row>
    <row r="128" spans="1:2" ht="15" customHeight="1" x14ac:dyDescent="0.25">
      <c r="A128" s="204" t="s">
        <v>1092</v>
      </c>
      <c r="B128" s="204" t="s">
        <v>1093</v>
      </c>
    </row>
    <row r="129" spans="1:2" ht="15" customHeight="1" x14ac:dyDescent="0.25">
      <c r="A129" s="204" t="s">
        <v>1094</v>
      </c>
      <c r="B129" s="204" t="s">
        <v>1095</v>
      </c>
    </row>
    <row r="130" spans="1:2" ht="15" customHeight="1" x14ac:dyDescent="0.25">
      <c r="A130" s="204" t="s">
        <v>1096</v>
      </c>
      <c r="B130" s="204" t="s">
        <v>1097</v>
      </c>
    </row>
    <row r="131" spans="1:2" ht="15" customHeight="1" x14ac:dyDescent="0.25">
      <c r="A131" s="204" t="s">
        <v>1098</v>
      </c>
      <c r="B131" s="204" t="s">
        <v>1099</v>
      </c>
    </row>
    <row r="132" spans="1:2" ht="15" customHeight="1" x14ac:dyDescent="0.25">
      <c r="A132" s="204" t="s">
        <v>1100</v>
      </c>
      <c r="B132" s="204" t="s">
        <v>1101</v>
      </c>
    </row>
    <row r="133" spans="1:2" ht="15" customHeight="1" x14ac:dyDescent="0.25">
      <c r="A133" s="204" t="s">
        <v>1102</v>
      </c>
      <c r="B133" s="204" t="s">
        <v>1077</v>
      </c>
    </row>
    <row r="134" spans="1:2" ht="15" customHeight="1" x14ac:dyDescent="0.25">
      <c r="A134" s="204" t="s">
        <v>1103</v>
      </c>
      <c r="B134" s="204" t="s">
        <v>1104</v>
      </c>
    </row>
    <row r="135" spans="1:2" ht="15" customHeight="1" x14ac:dyDescent="0.25">
      <c r="A135" s="204" t="s">
        <v>1105</v>
      </c>
      <c r="B135" s="204" t="s">
        <v>1106</v>
      </c>
    </row>
    <row r="136" spans="1:2" ht="15" customHeight="1" x14ac:dyDescent="0.25">
      <c r="A136" s="204" t="s">
        <v>1107</v>
      </c>
      <c r="B136" s="204" t="s">
        <v>1108</v>
      </c>
    </row>
    <row r="137" spans="1:2" ht="15" customHeight="1" x14ac:dyDescent="0.25">
      <c r="A137" s="204" t="s">
        <v>1109</v>
      </c>
      <c r="B137" s="204" t="s">
        <v>1110</v>
      </c>
    </row>
    <row r="138" spans="1:2" ht="15" customHeight="1" x14ac:dyDescent="0.25">
      <c r="A138" s="204" t="s">
        <v>1111</v>
      </c>
      <c r="B138" s="204" t="s">
        <v>1112</v>
      </c>
    </row>
    <row r="139" spans="1:2" ht="15" customHeight="1" x14ac:dyDescent="0.25">
      <c r="A139" s="204" t="s">
        <v>1113</v>
      </c>
      <c r="B139" s="204" t="s">
        <v>1114</v>
      </c>
    </row>
    <row r="140" spans="1:2" ht="15" customHeight="1" x14ac:dyDescent="0.25">
      <c r="A140" s="204" t="s">
        <v>1115</v>
      </c>
      <c r="B140" s="204" t="s">
        <v>1116</v>
      </c>
    </row>
    <row r="141" spans="1:2" ht="15" customHeight="1" x14ac:dyDescent="0.25">
      <c r="A141" s="204" t="s">
        <v>1117</v>
      </c>
      <c r="B141" s="204" t="s">
        <v>1118</v>
      </c>
    </row>
    <row r="142" spans="1:2" ht="15" customHeight="1" x14ac:dyDescent="0.25">
      <c r="A142" s="204" t="s">
        <v>1119</v>
      </c>
      <c r="B142" s="204" t="s">
        <v>894</v>
      </c>
    </row>
    <row r="143" spans="1:2" ht="15" customHeight="1" x14ac:dyDescent="0.25">
      <c r="A143" s="203" t="s">
        <v>1120</v>
      </c>
      <c r="B143" s="203" t="s">
        <v>1121</v>
      </c>
    </row>
    <row r="144" spans="1:2" ht="15" customHeight="1" x14ac:dyDescent="0.25">
      <c r="A144" s="204" t="s">
        <v>1122</v>
      </c>
      <c r="B144" s="204" t="s">
        <v>1099</v>
      </c>
    </row>
    <row r="145" spans="1:2" ht="15" customHeight="1" x14ac:dyDescent="0.25">
      <c r="A145" s="204" t="s">
        <v>1123</v>
      </c>
      <c r="B145" s="204" t="s">
        <v>1101</v>
      </c>
    </row>
    <row r="146" spans="1:2" ht="15" customHeight="1" x14ac:dyDescent="0.25">
      <c r="A146" s="204" t="s">
        <v>1124</v>
      </c>
      <c r="B146" s="204" t="s">
        <v>1112</v>
      </c>
    </row>
    <row r="147" spans="1:2" ht="15" customHeight="1" x14ac:dyDescent="0.25">
      <c r="A147" s="204" t="s">
        <v>1125</v>
      </c>
      <c r="B147" s="204" t="s">
        <v>894</v>
      </c>
    </row>
    <row r="148" spans="1:2" ht="15" customHeight="1" x14ac:dyDescent="0.25">
      <c r="A148" s="203" t="s">
        <v>1126</v>
      </c>
      <c r="B148" s="203" t="s">
        <v>1127</v>
      </c>
    </row>
    <row r="149" spans="1:2" ht="15" customHeight="1" x14ac:dyDescent="0.25">
      <c r="A149" s="204" t="s">
        <v>1128</v>
      </c>
      <c r="B149" s="204" t="s">
        <v>1129</v>
      </c>
    </row>
    <row r="150" spans="1:2" ht="15" customHeight="1" x14ac:dyDescent="0.25">
      <c r="A150" s="204" t="s">
        <v>1130</v>
      </c>
      <c r="B150" s="204" t="s">
        <v>1131</v>
      </c>
    </row>
    <row r="151" spans="1:2" ht="15" customHeight="1" x14ac:dyDescent="0.25">
      <c r="A151" s="204" t="s">
        <v>1132</v>
      </c>
      <c r="B151" s="204" t="s">
        <v>894</v>
      </c>
    </row>
    <row r="152" spans="1:2" ht="15" customHeight="1" x14ac:dyDescent="0.25">
      <c r="A152" s="203">
        <v>6</v>
      </c>
      <c r="B152" s="203" t="s">
        <v>1133</v>
      </c>
    </row>
    <row r="153" spans="1:2" ht="15" customHeight="1" x14ac:dyDescent="0.25">
      <c r="A153" s="203" t="s">
        <v>1134</v>
      </c>
      <c r="B153" s="203" t="s">
        <v>1135</v>
      </c>
    </row>
    <row r="154" spans="1:2" ht="15" customHeight="1" x14ac:dyDescent="0.25">
      <c r="A154" s="204" t="s">
        <v>1136</v>
      </c>
      <c r="B154" s="204" t="s">
        <v>1137</v>
      </c>
    </row>
    <row r="155" spans="1:2" ht="15" customHeight="1" x14ac:dyDescent="0.25">
      <c r="A155" s="204" t="s">
        <v>1138</v>
      </c>
      <c r="B155" s="204" t="s">
        <v>1139</v>
      </c>
    </row>
    <row r="156" spans="1:2" ht="15" customHeight="1" x14ac:dyDescent="0.25">
      <c r="A156" s="204" t="s">
        <v>1140</v>
      </c>
      <c r="B156" s="204" t="s">
        <v>1141</v>
      </c>
    </row>
    <row r="157" spans="1:2" ht="15" customHeight="1" x14ac:dyDescent="0.25">
      <c r="A157" s="204" t="s">
        <v>1142</v>
      </c>
      <c r="B157" s="204" t="s">
        <v>1143</v>
      </c>
    </row>
    <row r="158" spans="1:2" ht="15" customHeight="1" x14ac:dyDescent="0.25">
      <c r="A158" s="204" t="s">
        <v>1144</v>
      </c>
      <c r="B158" s="204" t="s">
        <v>1145</v>
      </c>
    </row>
    <row r="159" spans="1:2" ht="15" customHeight="1" x14ac:dyDescent="0.25">
      <c r="A159" s="204" t="s">
        <v>1146</v>
      </c>
      <c r="B159" s="204" t="s">
        <v>1147</v>
      </c>
    </row>
    <row r="160" spans="1:2" ht="15" customHeight="1" x14ac:dyDescent="0.25">
      <c r="A160" s="204" t="s">
        <v>1148</v>
      </c>
      <c r="B160" s="204" t="s">
        <v>894</v>
      </c>
    </row>
    <row r="161" spans="1:2" ht="15" customHeight="1" x14ac:dyDescent="0.25">
      <c r="A161" s="203" t="s">
        <v>1149</v>
      </c>
      <c r="B161" s="203" t="s">
        <v>1150</v>
      </c>
    </row>
    <row r="162" spans="1:2" ht="15" customHeight="1" x14ac:dyDescent="0.25">
      <c r="A162" s="204" t="s">
        <v>1151</v>
      </c>
      <c r="B162" s="204" t="s">
        <v>1152</v>
      </c>
    </row>
    <row r="163" spans="1:2" ht="15" customHeight="1" x14ac:dyDescent="0.25">
      <c r="A163" s="204" t="s">
        <v>1153</v>
      </c>
      <c r="B163" s="204" t="s">
        <v>1154</v>
      </c>
    </row>
    <row r="164" spans="1:2" ht="15" customHeight="1" x14ac:dyDescent="0.25">
      <c r="A164" s="204" t="s">
        <v>1155</v>
      </c>
      <c r="B164" s="204" t="s">
        <v>1156</v>
      </c>
    </row>
    <row r="165" spans="1:2" ht="15" customHeight="1" x14ac:dyDescent="0.25">
      <c r="A165" s="204" t="s">
        <v>1157</v>
      </c>
      <c r="B165" s="204" t="s">
        <v>1158</v>
      </c>
    </row>
    <row r="166" spans="1:2" ht="15" customHeight="1" x14ac:dyDescent="0.25">
      <c r="A166" s="204" t="s">
        <v>1159</v>
      </c>
      <c r="B166" s="204" t="s">
        <v>894</v>
      </c>
    </row>
    <row r="167" spans="1:2" ht="15" customHeight="1" x14ac:dyDescent="0.25">
      <c r="A167" s="203" t="s">
        <v>1160</v>
      </c>
      <c r="B167" s="203" t="s">
        <v>1161</v>
      </c>
    </row>
    <row r="168" spans="1:2" ht="15" customHeight="1" x14ac:dyDescent="0.25">
      <c r="A168" s="204" t="s">
        <v>1162</v>
      </c>
      <c r="B168" s="204" t="s">
        <v>1163</v>
      </c>
    </row>
    <row r="169" spans="1:2" ht="15" customHeight="1" x14ac:dyDescent="0.25">
      <c r="A169" s="204" t="s">
        <v>1164</v>
      </c>
      <c r="B169" s="204" t="s">
        <v>1165</v>
      </c>
    </row>
    <row r="170" spans="1:2" ht="15" customHeight="1" x14ac:dyDescent="0.25">
      <c r="A170" s="204" t="s">
        <v>1166</v>
      </c>
      <c r="B170" s="204" t="s">
        <v>1167</v>
      </c>
    </row>
    <row r="171" spans="1:2" ht="15" customHeight="1" x14ac:dyDescent="0.25">
      <c r="A171" s="204" t="s">
        <v>1168</v>
      </c>
      <c r="B171" s="204" t="s">
        <v>1169</v>
      </c>
    </row>
    <row r="172" spans="1:2" ht="15" customHeight="1" x14ac:dyDescent="0.25">
      <c r="A172" s="204" t="s">
        <v>1170</v>
      </c>
      <c r="B172" s="204" t="s">
        <v>1171</v>
      </c>
    </row>
    <row r="173" spans="1:2" ht="15" customHeight="1" x14ac:dyDescent="0.25">
      <c r="A173" s="204" t="s">
        <v>1172</v>
      </c>
      <c r="B173" s="204" t="s">
        <v>894</v>
      </c>
    </row>
    <row r="174" spans="1:2" ht="15" customHeight="1" x14ac:dyDescent="0.25">
      <c r="A174" s="203" t="s">
        <v>1173</v>
      </c>
      <c r="B174" s="203" t="s">
        <v>1174</v>
      </c>
    </row>
    <row r="175" spans="1:2" ht="15" customHeight="1" x14ac:dyDescent="0.25">
      <c r="A175" s="204" t="s">
        <v>1175</v>
      </c>
      <c r="B175" s="204" t="s">
        <v>1176</v>
      </c>
    </row>
    <row r="176" spans="1:2" ht="15" customHeight="1" x14ac:dyDescent="0.25">
      <c r="A176" s="204" t="s">
        <v>1177</v>
      </c>
      <c r="B176" s="204" t="s">
        <v>1129</v>
      </c>
    </row>
    <row r="177" spans="1:2" ht="15" customHeight="1" x14ac:dyDescent="0.25">
      <c r="A177" s="204" t="s">
        <v>1178</v>
      </c>
      <c r="B177" s="204" t="s">
        <v>1179</v>
      </c>
    </row>
    <row r="178" spans="1:2" ht="15" customHeight="1" x14ac:dyDescent="0.25">
      <c r="A178" s="204" t="s">
        <v>1180</v>
      </c>
      <c r="B178" s="204" t="s">
        <v>894</v>
      </c>
    </row>
    <row r="179" spans="1:2" ht="15" customHeight="1" x14ac:dyDescent="0.25">
      <c r="A179" s="203" t="s">
        <v>1181</v>
      </c>
      <c r="B179" s="203" t="s">
        <v>954</v>
      </c>
    </row>
    <row r="180" spans="1:2" ht="15" customHeight="1" x14ac:dyDescent="0.25">
      <c r="A180" s="204" t="s">
        <v>1182</v>
      </c>
      <c r="B180" s="204" t="s">
        <v>1077</v>
      </c>
    </row>
    <row r="181" spans="1:2" ht="15" customHeight="1" x14ac:dyDescent="0.25">
      <c r="A181" s="204" t="s">
        <v>1183</v>
      </c>
      <c r="B181" s="204" t="s">
        <v>1184</v>
      </c>
    </row>
    <row r="182" spans="1:2" ht="15" customHeight="1" x14ac:dyDescent="0.25">
      <c r="A182" s="203" t="s">
        <v>1185</v>
      </c>
      <c r="B182" s="203" t="s">
        <v>1186</v>
      </c>
    </row>
    <row r="183" spans="1:2" ht="15" customHeight="1" x14ac:dyDescent="0.25">
      <c r="A183" s="204" t="s">
        <v>1187</v>
      </c>
      <c r="B183" s="204" t="s">
        <v>1188</v>
      </c>
    </row>
    <row r="184" spans="1:2" ht="15" customHeight="1" x14ac:dyDescent="0.25">
      <c r="A184" s="204" t="s">
        <v>1189</v>
      </c>
      <c r="B184" s="204" t="s">
        <v>1190</v>
      </c>
    </row>
    <row r="185" spans="1:2" ht="15" customHeight="1" x14ac:dyDescent="0.25">
      <c r="A185" s="204" t="s">
        <v>1191</v>
      </c>
      <c r="B185" s="204" t="s">
        <v>894</v>
      </c>
    </row>
    <row r="186" spans="1:2" ht="15" customHeight="1" x14ac:dyDescent="0.25">
      <c r="A186" s="203" t="s">
        <v>1192</v>
      </c>
      <c r="B186" s="203" t="s">
        <v>1193</v>
      </c>
    </row>
    <row r="187" spans="1:2" ht="15" customHeight="1" x14ac:dyDescent="0.25">
      <c r="A187" s="204" t="s">
        <v>1194</v>
      </c>
      <c r="B187" s="204" t="s">
        <v>1195</v>
      </c>
    </row>
    <row r="188" spans="1:2" ht="15" customHeight="1" x14ac:dyDescent="0.25">
      <c r="A188" s="204" t="s">
        <v>1196</v>
      </c>
      <c r="B188" s="204" t="s">
        <v>1197</v>
      </c>
    </row>
    <row r="189" spans="1:2" ht="15" customHeight="1" x14ac:dyDescent="0.25">
      <c r="A189" s="204" t="s">
        <v>1198</v>
      </c>
      <c r="B189" s="204" t="s">
        <v>1199</v>
      </c>
    </row>
    <row r="190" spans="1:2" ht="15" customHeight="1" x14ac:dyDescent="0.25">
      <c r="A190" s="204" t="s">
        <v>1200</v>
      </c>
      <c r="B190" s="204" t="s">
        <v>1201</v>
      </c>
    </row>
    <row r="191" spans="1:2" ht="15" customHeight="1" x14ac:dyDescent="0.25">
      <c r="A191" s="204" t="s">
        <v>1202</v>
      </c>
      <c r="B191" s="204" t="s">
        <v>894</v>
      </c>
    </row>
    <row r="192" spans="1:2" ht="15" customHeight="1" x14ac:dyDescent="0.25">
      <c r="A192" s="203" t="s">
        <v>1203</v>
      </c>
      <c r="B192" s="203" t="s">
        <v>1204</v>
      </c>
    </row>
    <row r="193" spans="1:2" ht="15" customHeight="1" x14ac:dyDescent="0.25">
      <c r="A193" s="204" t="s">
        <v>1205</v>
      </c>
      <c r="B193" s="204" t="s">
        <v>1206</v>
      </c>
    </row>
    <row r="194" spans="1:2" ht="15" customHeight="1" x14ac:dyDescent="0.25">
      <c r="A194" s="204" t="s">
        <v>1207</v>
      </c>
      <c r="B194" s="204" t="s">
        <v>894</v>
      </c>
    </row>
    <row r="195" spans="1:2" ht="15" customHeight="1" x14ac:dyDescent="0.25">
      <c r="A195" s="203" t="s">
        <v>1208</v>
      </c>
      <c r="B195" s="203" t="s">
        <v>1209</v>
      </c>
    </row>
    <row r="196" spans="1:2" ht="15" customHeight="1" x14ac:dyDescent="0.25">
      <c r="A196" s="204" t="s">
        <v>1210</v>
      </c>
      <c r="B196" s="204" t="s">
        <v>1211</v>
      </c>
    </row>
    <row r="197" spans="1:2" ht="15" customHeight="1" x14ac:dyDescent="0.25">
      <c r="A197" s="204" t="s">
        <v>1212</v>
      </c>
      <c r="B197" s="204" t="s">
        <v>1213</v>
      </c>
    </row>
    <row r="198" spans="1:2" ht="15" customHeight="1" x14ac:dyDescent="0.25">
      <c r="A198" s="204" t="s">
        <v>1214</v>
      </c>
      <c r="B198" s="204" t="s">
        <v>1215</v>
      </c>
    </row>
    <row r="199" spans="1:2" ht="15" customHeight="1" x14ac:dyDescent="0.25">
      <c r="A199" s="204" t="s">
        <v>1216</v>
      </c>
      <c r="B199" s="204" t="s">
        <v>894</v>
      </c>
    </row>
    <row r="200" spans="1:2" ht="15" customHeight="1" x14ac:dyDescent="0.25">
      <c r="A200" s="203" t="s">
        <v>1217</v>
      </c>
      <c r="B200" s="203" t="s">
        <v>1218</v>
      </c>
    </row>
    <row r="201" spans="1:2" ht="15" customHeight="1" x14ac:dyDescent="0.25">
      <c r="A201" s="204" t="s">
        <v>1219</v>
      </c>
      <c r="B201" s="204" t="s">
        <v>1220</v>
      </c>
    </row>
    <row r="202" spans="1:2" ht="15" customHeight="1" x14ac:dyDescent="0.25">
      <c r="A202" s="204" t="s">
        <v>1221</v>
      </c>
      <c r="B202" s="204" t="s">
        <v>894</v>
      </c>
    </row>
    <row r="203" spans="1:2" ht="15" customHeight="1" x14ac:dyDescent="0.25">
      <c r="A203" s="203" t="s">
        <v>1222</v>
      </c>
      <c r="B203" s="203" t="s">
        <v>1223</v>
      </c>
    </row>
    <row r="204" spans="1:2" ht="15" customHeight="1" x14ac:dyDescent="0.25">
      <c r="A204" s="204" t="s">
        <v>1224</v>
      </c>
      <c r="B204" s="204" t="s">
        <v>1225</v>
      </c>
    </row>
    <row r="205" spans="1:2" ht="15" customHeight="1" x14ac:dyDescent="0.25">
      <c r="A205" s="204" t="s">
        <v>1226</v>
      </c>
      <c r="B205" s="204" t="s">
        <v>894</v>
      </c>
    </row>
    <row r="206" spans="1:2" ht="15" customHeight="1" x14ac:dyDescent="0.25">
      <c r="A206" s="203" t="s">
        <v>1227</v>
      </c>
      <c r="B206" s="203" t="s">
        <v>1228</v>
      </c>
    </row>
    <row r="207" spans="1:2" ht="15" customHeight="1" x14ac:dyDescent="0.25">
      <c r="A207" s="204" t="s">
        <v>1229</v>
      </c>
      <c r="B207" s="204" t="s">
        <v>1230</v>
      </c>
    </row>
    <row r="208" spans="1:2" ht="15" customHeight="1" x14ac:dyDescent="0.25">
      <c r="A208" s="204" t="s">
        <v>1231</v>
      </c>
      <c r="B208" s="204" t="s">
        <v>1232</v>
      </c>
    </row>
    <row r="209" spans="1:2" ht="15" customHeight="1" x14ac:dyDescent="0.25">
      <c r="A209" s="204" t="s">
        <v>1233</v>
      </c>
      <c r="B209" s="204" t="s">
        <v>1234</v>
      </c>
    </row>
    <row r="210" spans="1:2" ht="15" customHeight="1" x14ac:dyDescent="0.25">
      <c r="A210" s="204" t="s">
        <v>1235</v>
      </c>
      <c r="B210" s="204" t="s">
        <v>1236</v>
      </c>
    </row>
    <row r="211" spans="1:2" ht="15" customHeight="1" x14ac:dyDescent="0.25">
      <c r="A211" s="204" t="s">
        <v>1237</v>
      </c>
      <c r="B211" s="204" t="s">
        <v>1238</v>
      </c>
    </row>
    <row r="212" spans="1:2" ht="15" customHeight="1" x14ac:dyDescent="0.25">
      <c r="A212" s="204" t="s">
        <v>1239</v>
      </c>
      <c r="B212" s="204" t="s">
        <v>894</v>
      </c>
    </row>
    <row r="213" spans="1:2" ht="15" customHeight="1" x14ac:dyDescent="0.25">
      <c r="A213" s="203">
        <v>7</v>
      </c>
      <c r="B213" s="203" t="s">
        <v>1240</v>
      </c>
    </row>
    <row r="214" spans="1:2" ht="15" customHeight="1" x14ac:dyDescent="0.25">
      <c r="A214" s="204" t="s">
        <v>1241</v>
      </c>
      <c r="B214" s="204" t="s">
        <v>1242</v>
      </c>
    </row>
    <row r="215" spans="1:2" ht="15" customHeight="1" x14ac:dyDescent="0.25">
      <c r="A215" s="204" t="s">
        <v>1243</v>
      </c>
      <c r="B215" s="204" t="s">
        <v>1244</v>
      </c>
    </row>
    <row r="216" spans="1:2" ht="15" customHeight="1" x14ac:dyDescent="0.25">
      <c r="A216" s="204" t="s">
        <v>1245</v>
      </c>
      <c r="B216" s="204" t="s">
        <v>1246</v>
      </c>
    </row>
    <row r="217" spans="1:2" ht="15" customHeight="1" x14ac:dyDescent="0.25">
      <c r="A217" s="204" t="s">
        <v>1247</v>
      </c>
      <c r="B217" s="204" t="s">
        <v>1248</v>
      </c>
    </row>
    <row r="218" spans="1:2" ht="15" customHeight="1" x14ac:dyDescent="0.25">
      <c r="A218" s="204" t="s">
        <v>1249</v>
      </c>
      <c r="B218" s="204" t="s">
        <v>1250</v>
      </c>
    </row>
    <row r="219" spans="1:2" ht="15" customHeight="1" x14ac:dyDescent="0.25">
      <c r="A219" s="204" t="s">
        <v>1251</v>
      </c>
      <c r="B219" s="204" t="s">
        <v>1252</v>
      </c>
    </row>
    <row r="220" spans="1:2" ht="15" customHeight="1" x14ac:dyDescent="0.25">
      <c r="A220" s="204" t="s">
        <v>1253</v>
      </c>
      <c r="B220" s="204" t="s">
        <v>1254</v>
      </c>
    </row>
    <row r="221" spans="1:2" ht="15" customHeight="1" x14ac:dyDescent="0.25">
      <c r="A221" s="204" t="s">
        <v>1255</v>
      </c>
      <c r="B221" s="204" t="s">
        <v>1256</v>
      </c>
    </row>
    <row r="222" spans="1:2" ht="15" customHeight="1" x14ac:dyDescent="0.25">
      <c r="A222" s="204" t="s">
        <v>1257</v>
      </c>
      <c r="B222" s="204" t="s">
        <v>1077</v>
      </c>
    </row>
    <row r="223" spans="1:2" ht="15" customHeight="1" x14ac:dyDescent="0.25">
      <c r="A223" s="204" t="s">
        <v>1258</v>
      </c>
      <c r="B223" s="204" t="s">
        <v>1259</v>
      </c>
    </row>
    <row r="224" spans="1:2" ht="15" customHeight="1" x14ac:dyDescent="0.25">
      <c r="A224" s="204" t="s">
        <v>1260</v>
      </c>
      <c r="B224" s="204" t="s">
        <v>894</v>
      </c>
    </row>
    <row r="225" spans="1:2" ht="15" customHeight="1" x14ac:dyDescent="0.25">
      <c r="A225" s="203" t="s">
        <v>1261</v>
      </c>
      <c r="B225" s="203" t="s">
        <v>1262</v>
      </c>
    </row>
    <row r="226" spans="1:2" ht="15" customHeight="1" x14ac:dyDescent="0.25">
      <c r="A226" s="204" t="s">
        <v>1263</v>
      </c>
      <c r="B226" s="204" t="s">
        <v>1244</v>
      </c>
    </row>
    <row r="227" spans="1:2" ht="15" customHeight="1" x14ac:dyDescent="0.25">
      <c r="A227" s="204" t="s">
        <v>1264</v>
      </c>
      <c r="B227" s="204" t="s">
        <v>1246</v>
      </c>
    </row>
    <row r="228" spans="1:2" ht="15" customHeight="1" x14ac:dyDescent="0.25">
      <c r="A228" s="204" t="s">
        <v>1265</v>
      </c>
      <c r="B228" s="204" t="s">
        <v>1248</v>
      </c>
    </row>
    <row r="229" spans="1:2" ht="15" customHeight="1" x14ac:dyDescent="0.25">
      <c r="A229" s="204" t="s">
        <v>1266</v>
      </c>
      <c r="B229" s="204" t="s">
        <v>1250</v>
      </c>
    </row>
    <row r="230" spans="1:2" ht="15" customHeight="1" x14ac:dyDescent="0.25">
      <c r="A230" s="204" t="s">
        <v>1267</v>
      </c>
      <c r="B230" s="204" t="s">
        <v>1252</v>
      </c>
    </row>
    <row r="231" spans="1:2" ht="15" customHeight="1" x14ac:dyDescent="0.25">
      <c r="A231" s="204" t="s">
        <v>1268</v>
      </c>
      <c r="B231" s="204" t="s">
        <v>1254</v>
      </c>
    </row>
    <row r="232" spans="1:2" ht="15" customHeight="1" x14ac:dyDescent="0.25">
      <c r="A232" s="204" t="s">
        <v>1269</v>
      </c>
      <c r="B232" s="204" t="s">
        <v>1256</v>
      </c>
    </row>
    <row r="233" spans="1:2" ht="15" customHeight="1" x14ac:dyDescent="0.25">
      <c r="A233" s="204" t="s">
        <v>1270</v>
      </c>
      <c r="B233" s="204" t="s">
        <v>1077</v>
      </c>
    </row>
    <row r="234" spans="1:2" ht="15" customHeight="1" x14ac:dyDescent="0.25">
      <c r="A234" s="204" t="s">
        <v>1271</v>
      </c>
      <c r="B234" s="204" t="s">
        <v>1272</v>
      </c>
    </row>
    <row r="235" spans="1:2" ht="15" customHeight="1" x14ac:dyDescent="0.25">
      <c r="A235" s="204" t="s">
        <v>1273</v>
      </c>
      <c r="B235" s="204" t="s">
        <v>1274</v>
      </c>
    </row>
    <row r="236" spans="1:2" ht="15" customHeight="1" x14ac:dyDescent="0.25">
      <c r="A236" s="204" t="s">
        <v>1275</v>
      </c>
      <c r="B236" s="204" t="s">
        <v>1276</v>
      </c>
    </row>
    <row r="237" spans="1:2" ht="15" customHeight="1" x14ac:dyDescent="0.25">
      <c r="A237" s="204" t="s">
        <v>1277</v>
      </c>
      <c r="B237" s="204" t="s">
        <v>1278</v>
      </c>
    </row>
    <row r="238" spans="1:2" ht="15" customHeight="1" x14ac:dyDescent="0.25">
      <c r="A238" s="204" t="s">
        <v>1279</v>
      </c>
      <c r="B238" s="204" t="s">
        <v>1280</v>
      </c>
    </row>
    <row r="239" spans="1:2" ht="15" customHeight="1" x14ac:dyDescent="0.25">
      <c r="A239" s="204" t="s">
        <v>1281</v>
      </c>
      <c r="B239" s="204" t="s">
        <v>1282</v>
      </c>
    </row>
    <row r="240" spans="1:2" ht="15" customHeight="1" x14ac:dyDescent="0.25">
      <c r="A240" s="204" t="s">
        <v>1283</v>
      </c>
      <c r="B240" s="204" t="s">
        <v>894</v>
      </c>
    </row>
    <row r="241" spans="1:2" ht="15" customHeight="1" x14ac:dyDescent="0.25">
      <c r="A241" s="203" t="s">
        <v>1284</v>
      </c>
      <c r="B241" s="203" t="s">
        <v>1285</v>
      </c>
    </row>
    <row r="242" spans="1:2" ht="15" customHeight="1" x14ac:dyDescent="0.25">
      <c r="A242" s="204" t="s">
        <v>1286</v>
      </c>
      <c r="B242" s="204" t="s">
        <v>1244</v>
      </c>
    </row>
    <row r="243" spans="1:2" ht="15" customHeight="1" x14ac:dyDescent="0.25">
      <c r="A243" s="204" t="s">
        <v>1287</v>
      </c>
      <c r="B243" s="204" t="s">
        <v>1246</v>
      </c>
    </row>
    <row r="244" spans="1:2" ht="15" customHeight="1" x14ac:dyDescent="0.25">
      <c r="A244" s="204" t="s">
        <v>1288</v>
      </c>
      <c r="B244" s="204" t="s">
        <v>1248</v>
      </c>
    </row>
    <row r="245" spans="1:2" ht="15" customHeight="1" x14ac:dyDescent="0.25">
      <c r="A245" s="204" t="s">
        <v>1289</v>
      </c>
      <c r="B245" s="204" t="s">
        <v>1250</v>
      </c>
    </row>
    <row r="246" spans="1:2" ht="15" customHeight="1" x14ac:dyDescent="0.25">
      <c r="A246" s="204" t="s">
        <v>1290</v>
      </c>
      <c r="B246" s="204" t="s">
        <v>1252</v>
      </c>
    </row>
    <row r="247" spans="1:2" ht="15" customHeight="1" x14ac:dyDescent="0.25">
      <c r="A247" s="204" t="s">
        <v>1291</v>
      </c>
      <c r="B247" s="204" t="s">
        <v>1254</v>
      </c>
    </row>
    <row r="248" spans="1:2" ht="15" customHeight="1" x14ac:dyDescent="0.25">
      <c r="A248" s="204" t="s">
        <v>1292</v>
      </c>
      <c r="B248" s="204" t="s">
        <v>1256</v>
      </c>
    </row>
    <row r="249" spans="1:2" ht="15" customHeight="1" x14ac:dyDescent="0.25">
      <c r="A249" s="204" t="s">
        <v>1293</v>
      </c>
      <c r="B249" s="204" t="s">
        <v>1077</v>
      </c>
    </row>
    <row r="250" spans="1:2" ht="15" customHeight="1" x14ac:dyDescent="0.25">
      <c r="A250" s="204" t="s">
        <v>1294</v>
      </c>
      <c r="B250" s="204" t="s">
        <v>1295</v>
      </c>
    </row>
    <row r="251" spans="1:2" ht="15" customHeight="1" x14ac:dyDescent="0.25">
      <c r="A251" s="204" t="s">
        <v>1296</v>
      </c>
      <c r="B251" s="204" t="s">
        <v>894</v>
      </c>
    </row>
    <row r="252" spans="1:2" ht="15" customHeight="1" x14ac:dyDescent="0.25">
      <c r="A252" s="203" t="s">
        <v>1297</v>
      </c>
      <c r="B252" s="203" t="s">
        <v>1298</v>
      </c>
    </row>
    <row r="253" spans="1:2" ht="15" customHeight="1" x14ac:dyDescent="0.25">
      <c r="A253" s="204" t="s">
        <v>1299</v>
      </c>
      <c r="B253" s="204" t="s">
        <v>1244</v>
      </c>
    </row>
    <row r="254" spans="1:2" ht="15" customHeight="1" x14ac:dyDescent="0.25">
      <c r="A254" s="204" t="s">
        <v>1300</v>
      </c>
      <c r="B254" s="204" t="s">
        <v>1246</v>
      </c>
    </row>
    <row r="255" spans="1:2" ht="15" customHeight="1" x14ac:dyDescent="0.25">
      <c r="A255" s="204" t="s">
        <v>1301</v>
      </c>
      <c r="B255" s="204" t="s">
        <v>1248</v>
      </c>
    </row>
    <row r="256" spans="1:2" ht="15" customHeight="1" x14ac:dyDescent="0.25">
      <c r="A256" s="204" t="s">
        <v>1302</v>
      </c>
      <c r="B256" s="204" t="s">
        <v>1250</v>
      </c>
    </row>
    <row r="257" spans="1:2" ht="15" customHeight="1" x14ac:dyDescent="0.25">
      <c r="A257" s="204" t="s">
        <v>1303</v>
      </c>
      <c r="B257" s="204" t="s">
        <v>1252</v>
      </c>
    </row>
    <row r="258" spans="1:2" ht="15" customHeight="1" x14ac:dyDescent="0.25">
      <c r="A258" s="204" t="s">
        <v>1304</v>
      </c>
      <c r="B258" s="204" t="s">
        <v>1254</v>
      </c>
    </row>
    <row r="259" spans="1:2" ht="15" customHeight="1" x14ac:dyDescent="0.25">
      <c r="A259" s="204" t="s">
        <v>1305</v>
      </c>
      <c r="B259" s="204" t="s">
        <v>1256</v>
      </c>
    </row>
    <row r="260" spans="1:2" ht="15" customHeight="1" x14ac:dyDescent="0.25">
      <c r="A260" s="204" t="s">
        <v>1306</v>
      </c>
      <c r="B260" s="204" t="s">
        <v>1077</v>
      </c>
    </row>
    <row r="261" spans="1:2" ht="15" customHeight="1" x14ac:dyDescent="0.25">
      <c r="A261" s="204" t="s">
        <v>1307</v>
      </c>
      <c r="B261" s="204" t="s">
        <v>1308</v>
      </c>
    </row>
    <row r="262" spans="1:2" ht="15" customHeight="1" x14ac:dyDescent="0.25">
      <c r="A262" s="204" t="s">
        <v>1309</v>
      </c>
      <c r="B262" s="204" t="s">
        <v>1310</v>
      </c>
    </row>
    <row r="263" spans="1:2" ht="15" customHeight="1" x14ac:dyDescent="0.25">
      <c r="A263" s="204" t="s">
        <v>1311</v>
      </c>
      <c r="B263" s="204" t="s">
        <v>894</v>
      </c>
    </row>
    <row r="264" spans="1:2" ht="15" customHeight="1" x14ac:dyDescent="0.25">
      <c r="A264" s="203" t="s">
        <v>1312</v>
      </c>
      <c r="B264" s="203" t="s">
        <v>1313</v>
      </c>
    </row>
    <row r="265" spans="1:2" ht="15" customHeight="1" x14ac:dyDescent="0.25">
      <c r="A265" s="204" t="s">
        <v>1314</v>
      </c>
      <c r="B265" s="204" t="s">
        <v>1244</v>
      </c>
    </row>
    <row r="266" spans="1:2" ht="15" customHeight="1" x14ac:dyDescent="0.25">
      <c r="A266" s="204" t="s">
        <v>1315</v>
      </c>
      <c r="B266" s="204" t="s">
        <v>1246</v>
      </c>
    </row>
    <row r="267" spans="1:2" ht="15" customHeight="1" x14ac:dyDescent="0.25">
      <c r="A267" s="204" t="s">
        <v>1316</v>
      </c>
      <c r="B267" s="204" t="s">
        <v>1248</v>
      </c>
    </row>
    <row r="268" spans="1:2" ht="15" customHeight="1" x14ac:dyDescent="0.25">
      <c r="A268" s="204" t="s">
        <v>1317</v>
      </c>
      <c r="B268" s="204" t="s">
        <v>1250</v>
      </c>
    </row>
    <row r="269" spans="1:2" ht="15" customHeight="1" x14ac:dyDescent="0.25">
      <c r="A269" s="204" t="s">
        <v>1318</v>
      </c>
      <c r="B269" s="204" t="s">
        <v>1252</v>
      </c>
    </row>
    <row r="270" spans="1:2" ht="15" customHeight="1" x14ac:dyDescent="0.25">
      <c r="A270" s="204" t="s">
        <v>1319</v>
      </c>
      <c r="B270" s="204" t="s">
        <v>1254</v>
      </c>
    </row>
    <row r="271" spans="1:2" ht="15" customHeight="1" x14ac:dyDescent="0.25">
      <c r="A271" s="204" t="s">
        <v>1320</v>
      </c>
      <c r="B271" s="204" t="s">
        <v>1256</v>
      </c>
    </row>
    <row r="272" spans="1:2" ht="15" customHeight="1" x14ac:dyDescent="0.25">
      <c r="A272" s="204" t="s">
        <v>1321</v>
      </c>
      <c r="B272" s="204" t="s">
        <v>1077</v>
      </c>
    </row>
    <row r="273" spans="1:2" ht="15" customHeight="1" x14ac:dyDescent="0.25">
      <c r="A273" s="204" t="s">
        <v>1322</v>
      </c>
      <c r="B273" s="204" t="s">
        <v>1323</v>
      </c>
    </row>
    <row r="274" spans="1:2" ht="15" customHeight="1" x14ac:dyDescent="0.25">
      <c r="A274" s="204" t="s">
        <v>1324</v>
      </c>
      <c r="B274" s="204" t="s">
        <v>1310</v>
      </c>
    </row>
    <row r="275" spans="1:2" ht="15" customHeight="1" x14ac:dyDescent="0.25">
      <c r="A275" s="204" t="s">
        <v>1325</v>
      </c>
      <c r="B275" s="204" t="s">
        <v>1326</v>
      </c>
    </row>
    <row r="276" spans="1:2" ht="15" customHeight="1" x14ac:dyDescent="0.25">
      <c r="A276" s="204" t="s">
        <v>1327</v>
      </c>
      <c r="B276" s="204" t="s">
        <v>894</v>
      </c>
    </row>
    <row r="277" spans="1:2" ht="15" customHeight="1" x14ac:dyDescent="0.25">
      <c r="A277" s="203" t="s">
        <v>1328</v>
      </c>
      <c r="B277" s="203" t="s">
        <v>1329</v>
      </c>
    </row>
    <row r="278" spans="1:2" ht="15" customHeight="1" x14ac:dyDescent="0.25">
      <c r="A278" s="204" t="s">
        <v>1330</v>
      </c>
      <c r="B278" s="204" t="s">
        <v>1244</v>
      </c>
    </row>
    <row r="279" spans="1:2" ht="15" customHeight="1" x14ac:dyDescent="0.25">
      <c r="A279" s="204" t="s">
        <v>1331</v>
      </c>
      <c r="B279" s="204" t="s">
        <v>1246</v>
      </c>
    </row>
    <row r="280" spans="1:2" ht="15" customHeight="1" x14ac:dyDescent="0.25">
      <c r="A280" s="204" t="s">
        <v>1332</v>
      </c>
      <c r="B280" s="204" t="s">
        <v>1248</v>
      </c>
    </row>
    <row r="281" spans="1:2" ht="15" customHeight="1" x14ac:dyDescent="0.25">
      <c r="A281" s="204" t="s">
        <v>1333</v>
      </c>
      <c r="B281" s="204" t="s">
        <v>1250</v>
      </c>
    </row>
    <row r="282" spans="1:2" ht="15" customHeight="1" x14ac:dyDescent="0.25">
      <c r="A282" s="204" t="s">
        <v>1334</v>
      </c>
      <c r="B282" s="204" t="s">
        <v>1252</v>
      </c>
    </row>
    <row r="283" spans="1:2" ht="15" customHeight="1" x14ac:dyDescent="0.25">
      <c r="A283" s="204" t="s">
        <v>1335</v>
      </c>
      <c r="B283" s="204" t="s">
        <v>1254</v>
      </c>
    </row>
    <row r="284" spans="1:2" ht="15" customHeight="1" x14ac:dyDescent="0.25">
      <c r="A284" s="204" t="s">
        <v>1336</v>
      </c>
      <c r="B284" s="204" t="s">
        <v>1256</v>
      </c>
    </row>
    <row r="285" spans="1:2" ht="15" customHeight="1" x14ac:dyDescent="0.25">
      <c r="A285" s="204" t="s">
        <v>1337</v>
      </c>
      <c r="B285" s="204" t="s">
        <v>1077</v>
      </c>
    </row>
    <row r="286" spans="1:2" ht="15" customHeight="1" x14ac:dyDescent="0.25">
      <c r="A286" s="204" t="s">
        <v>1338</v>
      </c>
      <c r="B286" s="204" t="s">
        <v>1339</v>
      </c>
    </row>
    <row r="287" spans="1:2" ht="15" customHeight="1" x14ac:dyDescent="0.25">
      <c r="A287" s="204" t="s">
        <v>1340</v>
      </c>
      <c r="B287" s="204" t="s">
        <v>894</v>
      </c>
    </row>
    <row r="288" spans="1:2" ht="15" customHeight="1" x14ac:dyDescent="0.25">
      <c r="A288" s="203" t="s">
        <v>1341</v>
      </c>
      <c r="B288" s="203" t="s">
        <v>1342</v>
      </c>
    </row>
    <row r="289" spans="1:2" ht="15" customHeight="1" x14ac:dyDescent="0.25">
      <c r="A289" s="204" t="s">
        <v>1343</v>
      </c>
      <c r="B289" s="204" t="s">
        <v>1244</v>
      </c>
    </row>
    <row r="290" spans="1:2" ht="15" customHeight="1" x14ac:dyDescent="0.25">
      <c r="A290" s="204" t="s">
        <v>1344</v>
      </c>
      <c r="B290" s="204" t="s">
        <v>1246</v>
      </c>
    </row>
    <row r="291" spans="1:2" ht="15" customHeight="1" x14ac:dyDescent="0.25">
      <c r="A291" s="204" t="s">
        <v>1345</v>
      </c>
      <c r="B291" s="204" t="s">
        <v>1248</v>
      </c>
    </row>
    <row r="292" spans="1:2" ht="15" customHeight="1" x14ac:dyDescent="0.25">
      <c r="A292" s="204" t="s">
        <v>1346</v>
      </c>
      <c r="B292" s="204" t="s">
        <v>1250</v>
      </c>
    </row>
    <row r="293" spans="1:2" ht="15" customHeight="1" x14ac:dyDescent="0.25">
      <c r="A293" s="204" t="s">
        <v>1347</v>
      </c>
      <c r="B293" s="204" t="s">
        <v>1252</v>
      </c>
    </row>
    <row r="294" spans="1:2" ht="15" customHeight="1" x14ac:dyDescent="0.25">
      <c r="A294" s="204" t="s">
        <v>1348</v>
      </c>
      <c r="B294" s="204" t="s">
        <v>1254</v>
      </c>
    </row>
    <row r="295" spans="1:2" ht="15" customHeight="1" x14ac:dyDescent="0.25">
      <c r="A295" s="204" t="s">
        <v>1349</v>
      </c>
      <c r="B295" s="204" t="s">
        <v>1256</v>
      </c>
    </row>
    <row r="296" spans="1:2" ht="15" customHeight="1" x14ac:dyDescent="0.25">
      <c r="A296" s="204" t="s">
        <v>1350</v>
      </c>
      <c r="B296" s="204" t="s">
        <v>1077</v>
      </c>
    </row>
    <row r="297" spans="1:2" ht="15" customHeight="1" x14ac:dyDescent="0.25">
      <c r="A297" s="204" t="s">
        <v>1351</v>
      </c>
      <c r="B297" s="204" t="s">
        <v>1352</v>
      </c>
    </row>
    <row r="298" spans="1:2" ht="15" customHeight="1" x14ac:dyDescent="0.25">
      <c r="A298" s="204" t="s">
        <v>1353</v>
      </c>
      <c r="B298" s="204" t="s">
        <v>894</v>
      </c>
    </row>
    <row r="299" spans="1:2" ht="15" customHeight="1" x14ac:dyDescent="0.25">
      <c r="A299" s="203">
        <v>8</v>
      </c>
      <c r="B299" s="203" t="s">
        <v>1354</v>
      </c>
    </row>
    <row r="300" spans="1:2" ht="15" customHeight="1" x14ac:dyDescent="0.25">
      <c r="A300" s="203" t="s">
        <v>1355</v>
      </c>
      <c r="B300" s="203" t="s">
        <v>1356</v>
      </c>
    </row>
    <row r="301" spans="1:2" ht="15" customHeight="1" x14ac:dyDescent="0.25">
      <c r="A301" s="204" t="s">
        <v>1357</v>
      </c>
      <c r="B301" s="204" t="s">
        <v>1358</v>
      </c>
    </row>
    <row r="302" spans="1:2" ht="15" customHeight="1" x14ac:dyDescent="0.25">
      <c r="A302" s="204" t="s">
        <v>1359</v>
      </c>
      <c r="B302" s="204" t="s">
        <v>1360</v>
      </c>
    </row>
    <row r="303" spans="1:2" ht="15" customHeight="1" x14ac:dyDescent="0.25">
      <c r="A303" s="204" t="s">
        <v>1361</v>
      </c>
      <c r="B303" s="204" t="s">
        <v>1362</v>
      </c>
    </row>
    <row r="304" spans="1:2" ht="15" customHeight="1" x14ac:dyDescent="0.25">
      <c r="A304" s="204" t="s">
        <v>1363</v>
      </c>
      <c r="B304" s="204" t="s">
        <v>1364</v>
      </c>
    </row>
    <row r="305" spans="1:2" ht="15" customHeight="1" x14ac:dyDescent="0.25">
      <c r="A305" s="204" t="s">
        <v>1365</v>
      </c>
      <c r="B305" s="204" t="s">
        <v>1366</v>
      </c>
    </row>
    <row r="306" spans="1:2" ht="15" customHeight="1" x14ac:dyDescent="0.25">
      <c r="A306" s="204" t="s">
        <v>1367</v>
      </c>
      <c r="B306" s="204" t="s">
        <v>1368</v>
      </c>
    </row>
    <row r="307" spans="1:2" ht="15" customHeight="1" x14ac:dyDescent="0.25">
      <c r="A307" s="204" t="s">
        <v>1369</v>
      </c>
      <c r="B307" s="204" t="s">
        <v>1370</v>
      </c>
    </row>
    <row r="308" spans="1:2" ht="15" customHeight="1" x14ac:dyDescent="0.25">
      <c r="A308" s="204" t="s">
        <v>1371</v>
      </c>
      <c r="B308" s="204" t="s">
        <v>1372</v>
      </c>
    </row>
    <row r="309" spans="1:2" ht="15" customHeight="1" x14ac:dyDescent="0.25">
      <c r="A309" s="204" t="s">
        <v>1373</v>
      </c>
      <c r="B309" s="204" t="s">
        <v>1374</v>
      </c>
    </row>
    <row r="310" spans="1:2" ht="15" customHeight="1" x14ac:dyDescent="0.25">
      <c r="A310" s="204" t="s">
        <v>1375</v>
      </c>
      <c r="B310" s="204" t="s">
        <v>1376</v>
      </c>
    </row>
    <row r="311" spans="1:2" ht="15" customHeight="1" x14ac:dyDescent="0.25">
      <c r="A311" s="204" t="s">
        <v>1377</v>
      </c>
      <c r="B311" s="204" t="s">
        <v>1378</v>
      </c>
    </row>
    <row r="312" spans="1:2" ht="15" customHeight="1" x14ac:dyDescent="0.25">
      <c r="A312" s="204" t="s">
        <v>1379</v>
      </c>
      <c r="B312" s="204" t="s">
        <v>894</v>
      </c>
    </row>
    <row r="313" spans="1:2" ht="15" customHeight="1" x14ac:dyDescent="0.25">
      <c r="A313" s="203" t="s">
        <v>1380</v>
      </c>
      <c r="B313" s="203" t="s">
        <v>1381</v>
      </c>
    </row>
    <row r="314" spans="1:2" ht="15" customHeight="1" x14ac:dyDescent="0.25">
      <c r="A314" s="204" t="s">
        <v>1382</v>
      </c>
      <c r="B314" s="204" t="s">
        <v>1383</v>
      </c>
    </row>
    <row r="315" spans="1:2" ht="15" customHeight="1" x14ac:dyDescent="0.25">
      <c r="A315" s="204" t="s">
        <v>1384</v>
      </c>
      <c r="B315" s="204" t="s">
        <v>1385</v>
      </c>
    </row>
    <row r="316" spans="1:2" ht="15" customHeight="1" x14ac:dyDescent="0.25">
      <c r="A316" s="204" t="s">
        <v>1386</v>
      </c>
      <c r="B316" s="204" t="s">
        <v>1387</v>
      </c>
    </row>
    <row r="317" spans="1:2" ht="15" customHeight="1" x14ac:dyDescent="0.25">
      <c r="A317" s="204" t="s">
        <v>1388</v>
      </c>
      <c r="B317" s="204" t="s">
        <v>894</v>
      </c>
    </row>
    <row r="318" spans="1:2" ht="15" customHeight="1" x14ac:dyDescent="0.25">
      <c r="A318" s="203" t="s">
        <v>1389</v>
      </c>
      <c r="B318" s="203" t="s">
        <v>1390</v>
      </c>
    </row>
    <row r="319" spans="1:2" ht="15" customHeight="1" x14ac:dyDescent="0.25">
      <c r="A319" s="204" t="s">
        <v>1391</v>
      </c>
      <c r="B319" s="204" t="s">
        <v>1392</v>
      </c>
    </row>
    <row r="320" spans="1:2" ht="15" customHeight="1" x14ac:dyDescent="0.25">
      <c r="A320" s="204" t="s">
        <v>1393</v>
      </c>
      <c r="B320" s="204" t="s">
        <v>1394</v>
      </c>
    </row>
    <row r="321" spans="1:2" ht="15" customHeight="1" x14ac:dyDescent="0.25">
      <c r="A321" s="204" t="s">
        <v>1395</v>
      </c>
      <c r="B321" s="204" t="s">
        <v>1396</v>
      </c>
    </row>
    <row r="322" spans="1:2" ht="15" customHeight="1" x14ac:dyDescent="0.25">
      <c r="A322" s="204" t="s">
        <v>1397</v>
      </c>
      <c r="B322" s="204" t="s">
        <v>1398</v>
      </c>
    </row>
    <row r="323" spans="1:2" ht="15" customHeight="1" x14ac:dyDescent="0.25">
      <c r="A323" s="204" t="s">
        <v>1399</v>
      </c>
      <c r="B323" s="204" t="s">
        <v>1400</v>
      </c>
    </row>
    <row r="324" spans="1:2" ht="15" customHeight="1" x14ac:dyDescent="0.25">
      <c r="A324" s="204" t="s">
        <v>1401</v>
      </c>
      <c r="B324" s="204" t="s">
        <v>1402</v>
      </c>
    </row>
    <row r="325" spans="1:2" ht="15" customHeight="1" x14ac:dyDescent="0.25">
      <c r="A325" s="204" t="s">
        <v>1403</v>
      </c>
      <c r="B325" s="204" t="s">
        <v>1404</v>
      </c>
    </row>
    <row r="326" spans="1:2" ht="15" customHeight="1" x14ac:dyDescent="0.25">
      <c r="A326" s="204" t="s">
        <v>1405</v>
      </c>
      <c r="B326" s="204" t="s">
        <v>1406</v>
      </c>
    </row>
    <row r="327" spans="1:2" ht="15" customHeight="1" x14ac:dyDescent="0.25">
      <c r="A327" s="204" t="s">
        <v>1407</v>
      </c>
      <c r="B327" s="204" t="s">
        <v>1408</v>
      </c>
    </row>
    <row r="328" spans="1:2" ht="15" customHeight="1" x14ac:dyDescent="0.25">
      <c r="A328" s="204" t="s">
        <v>1409</v>
      </c>
      <c r="B328" s="204" t="s">
        <v>1410</v>
      </c>
    </row>
    <row r="329" spans="1:2" ht="15" customHeight="1" x14ac:dyDescent="0.25">
      <c r="A329" s="204" t="s">
        <v>1411</v>
      </c>
      <c r="B329" s="204" t="s">
        <v>894</v>
      </c>
    </row>
    <row r="330" spans="1:2" ht="15" customHeight="1" x14ac:dyDescent="0.25">
      <c r="A330" s="203" t="s">
        <v>1412</v>
      </c>
      <c r="B330" s="203" t="s">
        <v>1413</v>
      </c>
    </row>
    <row r="331" spans="1:2" ht="15" customHeight="1" x14ac:dyDescent="0.25">
      <c r="A331" s="204" t="s">
        <v>1414</v>
      </c>
      <c r="B331" s="204" t="s">
        <v>1415</v>
      </c>
    </row>
    <row r="332" spans="1:2" ht="15" customHeight="1" x14ac:dyDescent="0.25">
      <c r="A332" s="204" t="s">
        <v>1416</v>
      </c>
      <c r="B332" s="204" t="s">
        <v>1417</v>
      </c>
    </row>
    <row r="333" spans="1:2" ht="15" customHeight="1" x14ac:dyDescent="0.25">
      <c r="A333" s="204" t="s">
        <v>1418</v>
      </c>
      <c r="B333" s="204" t="s">
        <v>1419</v>
      </c>
    </row>
    <row r="334" spans="1:2" ht="15" customHeight="1" x14ac:dyDescent="0.25">
      <c r="A334" s="204" t="s">
        <v>1420</v>
      </c>
      <c r="B334" s="204" t="s">
        <v>1421</v>
      </c>
    </row>
    <row r="335" spans="1:2" ht="15" customHeight="1" x14ac:dyDescent="0.25">
      <c r="A335" s="204" t="s">
        <v>1422</v>
      </c>
      <c r="B335" s="204" t="s">
        <v>1423</v>
      </c>
    </row>
    <row r="336" spans="1:2" ht="15" customHeight="1" x14ac:dyDescent="0.25">
      <c r="A336" s="204" t="s">
        <v>1424</v>
      </c>
      <c r="B336" s="204" t="s">
        <v>1425</v>
      </c>
    </row>
    <row r="337" spans="1:2" ht="15" customHeight="1" x14ac:dyDescent="0.25">
      <c r="A337" s="204" t="s">
        <v>1426</v>
      </c>
      <c r="B337" s="204" t="s">
        <v>1427</v>
      </c>
    </row>
    <row r="338" spans="1:2" ht="15" customHeight="1" x14ac:dyDescent="0.25">
      <c r="A338" s="204" t="s">
        <v>1428</v>
      </c>
      <c r="B338" s="204" t="s">
        <v>1429</v>
      </c>
    </row>
    <row r="339" spans="1:2" ht="15" customHeight="1" x14ac:dyDescent="0.25">
      <c r="A339" s="204" t="s">
        <v>1430</v>
      </c>
      <c r="B339" s="204" t="s">
        <v>1431</v>
      </c>
    </row>
    <row r="340" spans="1:2" ht="15" customHeight="1" x14ac:dyDescent="0.25">
      <c r="A340" s="204" t="s">
        <v>1432</v>
      </c>
      <c r="B340" s="204" t="s">
        <v>894</v>
      </c>
    </row>
    <row r="341" spans="1:2" ht="15" customHeight="1" x14ac:dyDescent="0.25">
      <c r="A341" s="203" t="s">
        <v>1433</v>
      </c>
      <c r="B341" s="203" t="s">
        <v>1434</v>
      </c>
    </row>
    <row r="342" spans="1:2" ht="15" customHeight="1" x14ac:dyDescent="0.25">
      <c r="A342" s="204" t="s">
        <v>1435</v>
      </c>
      <c r="B342" s="204" t="s">
        <v>1436</v>
      </c>
    </row>
    <row r="343" spans="1:2" ht="15" customHeight="1" x14ac:dyDescent="0.25">
      <c r="A343" s="203">
        <v>9</v>
      </c>
      <c r="B343" s="203" t="s">
        <v>1437</v>
      </c>
    </row>
    <row r="344" spans="1:2" ht="15" customHeight="1" x14ac:dyDescent="0.25">
      <c r="A344" s="203" t="s">
        <v>1438</v>
      </c>
      <c r="B344" s="203" t="s">
        <v>1437</v>
      </c>
    </row>
    <row r="345" spans="1:2" ht="15" customHeight="1" x14ac:dyDescent="0.25">
      <c r="A345" s="204" t="s">
        <v>1439</v>
      </c>
      <c r="B345" s="204" t="s">
        <v>1440</v>
      </c>
    </row>
    <row r="346" spans="1:2" ht="15" customHeight="1" x14ac:dyDescent="0.25">
      <c r="A346" s="204" t="s">
        <v>1441</v>
      </c>
      <c r="B346" s="204" t="s">
        <v>1442</v>
      </c>
    </row>
    <row r="347" spans="1:2" ht="15" customHeight="1" x14ac:dyDescent="0.25">
      <c r="A347" s="204" t="s">
        <v>1443</v>
      </c>
      <c r="B347" s="204" t="s">
        <v>1444</v>
      </c>
    </row>
    <row r="348" spans="1:2" ht="15" customHeight="1" x14ac:dyDescent="0.25">
      <c r="A348" s="204" t="s">
        <v>1445</v>
      </c>
      <c r="B348" s="204" t="s">
        <v>1446</v>
      </c>
    </row>
    <row r="349" spans="1:2" ht="15" customHeight="1" x14ac:dyDescent="0.25">
      <c r="A349" s="204" t="s">
        <v>1447</v>
      </c>
      <c r="B349" s="204" t="s">
        <v>1448</v>
      </c>
    </row>
    <row r="350" spans="1:2" ht="15" customHeight="1" x14ac:dyDescent="0.25">
      <c r="A350" s="204" t="s">
        <v>1449</v>
      </c>
      <c r="B350" s="204" t="s">
        <v>1450</v>
      </c>
    </row>
    <row r="351" spans="1:2" ht="15" customHeight="1" x14ac:dyDescent="0.25">
      <c r="A351" s="204" t="s">
        <v>1451</v>
      </c>
      <c r="B351" s="204" t="s">
        <v>1452</v>
      </c>
    </row>
    <row r="352" spans="1:2" ht="15" customHeight="1" x14ac:dyDescent="0.25">
      <c r="A352" s="204" t="s">
        <v>1453</v>
      </c>
      <c r="B352" s="204" t="s">
        <v>1454</v>
      </c>
    </row>
    <row r="353" spans="1:2" ht="15" customHeight="1" x14ac:dyDescent="0.25">
      <c r="A353" s="204" t="s">
        <v>1455</v>
      </c>
      <c r="B353" s="204" t="s">
        <v>1456</v>
      </c>
    </row>
    <row r="354" spans="1:2" ht="15" customHeight="1" x14ac:dyDescent="0.25">
      <c r="A354" s="204" t="s">
        <v>1457</v>
      </c>
      <c r="B354" s="204" t="s">
        <v>1458</v>
      </c>
    </row>
    <row r="355" spans="1:2" ht="15" customHeight="1" x14ac:dyDescent="0.25">
      <c r="A355" s="204" t="s">
        <v>1459</v>
      </c>
      <c r="B355" s="204" t="s">
        <v>1460</v>
      </c>
    </row>
    <row r="356" spans="1:2" ht="15" customHeight="1" x14ac:dyDescent="0.25">
      <c r="A356" s="204" t="s">
        <v>1461</v>
      </c>
      <c r="B356" s="204" t="s">
        <v>1462</v>
      </c>
    </row>
    <row r="357" spans="1:2" ht="15" customHeight="1" x14ac:dyDescent="0.25">
      <c r="A357" s="204" t="s">
        <v>1463</v>
      </c>
      <c r="B357" s="204" t="s">
        <v>894</v>
      </c>
    </row>
    <row r="358" spans="1:2" ht="15" customHeight="1" x14ac:dyDescent="0.25">
      <c r="A358" s="203">
        <v>10</v>
      </c>
      <c r="B358" s="203" t="s">
        <v>1464</v>
      </c>
    </row>
    <row r="359" spans="1:2" ht="15" customHeight="1" x14ac:dyDescent="0.25">
      <c r="A359" s="203" t="s">
        <v>1465</v>
      </c>
      <c r="B359" s="203" t="s">
        <v>1466</v>
      </c>
    </row>
    <row r="360" spans="1:2" ht="15" customHeight="1" x14ac:dyDescent="0.25">
      <c r="A360" s="204" t="s">
        <v>1467</v>
      </c>
      <c r="B360" s="204" t="s">
        <v>1468</v>
      </c>
    </row>
    <row r="361" spans="1:2" ht="15" customHeight="1" x14ac:dyDescent="0.25">
      <c r="A361" s="204" t="s">
        <v>1469</v>
      </c>
      <c r="B361" s="204" t="s">
        <v>1470</v>
      </c>
    </row>
    <row r="362" spans="1:2" ht="15" customHeight="1" x14ac:dyDescent="0.25">
      <c r="A362" s="204" t="s">
        <v>1471</v>
      </c>
      <c r="B362" s="204" t="s">
        <v>1472</v>
      </c>
    </row>
    <row r="363" spans="1:2" ht="15" customHeight="1" x14ac:dyDescent="0.25">
      <c r="A363" s="204" t="s">
        <v>1473</v>
      </c>
      <c r="B363" s="204" t="s">
        <v>1474</v>
      </c>
    </row>
    <row r="364" spans="1:2" ht="15" customHeight="1" x14ac:dyDescent="0.25">
      <c r="A364" s="204" t="s">
        <v>1475</v>
      </c>
      <c r="B364" s="204" t="s">
        <v>1476</v>
      </c>
    </row>
    <row r="365" spans="1:2" ht="15" customHeight="1" x14ac:dyDescent="0.25">
      <c r="A365" s="204" t="s">
        <v>1477</v>
      </c>
      <c r="B365" s="204" t="s">
        <v>1478</v>
      </c>
    </row>
    <row r="366" spans="1:2" ht="15" customHeight="1" x14ac:dyDescent="0.25">
      <c r="A366" s="204" t="s">
        <v>1479</v>
      </c>
      <c r="B366" s="204" t="s">
        <v>1480</v>
      </c>
    </row>
    <row r="367" spans="1:2" ht="15" customHeight="1" x14ac:dyDescent="0.25">
      <c r="A367" s="204" t="s">
        <v>1481</v>
      </c>
      <c r="B367" s="204" t="s">
        <v>1482</v>
      </c>
    </row>
    <row r="368" spans="1:2" ht="15" customHeight="1" x14ac:dyDescent="0.25">
      <c r="A368" s="204" t="s">
        <v>1483</v>
      </c>
      <c r="B368" s="204" t="s">
        <v>1484</v>
      </c>
    </row>
    <row r="369" spans="1:2" ht="15" customHeight="1" x14ac:dyDescent="0.25">
      <c r="A369" s="204" t="s">
        <v>1485</v>
      </c>
      <c r="B369" s="204" t="s">
        <v>1486</v>
      </c>
    </row>
    <row r="370" spans="1:2" ht="15" customHeight="1" x14ac:dyDescent="0.25">
      <c r="A370" s="204" t="s">
        <v>1487</v>
      </c>
      <c r="B370" s="204" t="s">
        <v>1488</v>
      </c>
    </row>
    <row r="371" spans="1:2" ht="15" customHeight="1" x14ac:dyDescent="0.25">
      <c r="A371" s="204" t="s">
        <v>1489</v>
      </c>
      <c r="B371" s="204" t="s">
        <v>1490</v>
      </c>
    </row>
    <row r="372" spans="1:2" ht="15" customHeight="1" x14ac:dyDescent="0.25">
      <c r="A372" s="204" t="s">
        <v>1491</v>
      </c>
      <c r="B372" s="204" t="s">
        <v>1492</v>
      </c>
    </row>
    <row r="373" spans="1:2" ht="15" customHeight="1" x14ac:dyDescent="0.25">
      <c r="A373" s="204" t="s">
        <v>1493</v>
      </c>
      <c r="B373" s="204" t="s">
        <v>1494</v>
      </c>
    </row>
    <row r="374" spans="1:2" ht="15" customHeight="1" x14ac:dyDescent="0.25">
      <c r="A374" s="204" t="s">
        <v>1495</v>
      </c>
      <c r="B374" s="204" t="s">
        <v>1077</v>
      </c>
    </row>
    <row r="375" spans="1:2" ht="15" customHeight="1" x14ac:dyDescent="0.25">
      <c r="A375" s="204" t="s">
        <v>1496</v>
      </c>
      <c r="B375" s="204" t="s">
        <v>1497</v>
      </c>
    </row>
    <row r="376" spans="1:2" ht="15" customHeight="1" x14ac:dyDescent="0.25">
      <c r="A376" s="204" t="s">
        <v>1498</v>
      </c>
      <c r="B376" s="204" t="s">
        <v>1499</v>
      </c>
    </row>
    <row r="377" spans="1:2" ht="15" customHeight="1" x14ac:dyDescent="0.25">
      <c r="A377" s="204" t="s">
        <v>1500</v>
      </c>
      <c r="B377" s="204" t="s">
        <v>1501</v>
      </c>
    </row>
    <row r="378" spans="1:2" ht="15" customHeight="1" x14ac:dyDescent="0.25">
      <c r="A378" s="204" t="s">
        <v>1502</v>
      </c>
      <c r="B378" s="204" t="s">
        <v>1503</v>
      </c>
    </row>
    <row r="379" spans="1:2" ht="15" customHeight="1" x14ac:dyDescent="0.25">
      <c r="A379" s="204" t="s">
        <v>1504</v>
      </c>
      <c r="B379" s="204" t="s">
        <v>1505</v>
      </c>
    </row>
    <row r="380" spans="1:2" ht="15" customHeight="1" x14ac:dyDescent="0.25">
      <c r="A380" s="204" t="s">
        <v>1506</v>
      </c>
      <c r="B380" s="204" t="s">
        <v>1507</v>
      </c>
    </row>
    <row r="381" spans="1:2" ht="15" customHeight="1" x14ac:dyDescent="0.25">
      <c r="A381" s="204" t="s">
        <v>1508</v>
      </c>
      <c r="B381" s="204" t="s">
        <v>894</v>
      </c>
    </row>
    <row r="382" spans="1:2" ht="15" customHeight="1" x14ac:dyDescent="0.25">
      <c r="A382" s="203" t="s">
        <v>1509</v>
      </c>
      <c r="B382" s="203" t="s">
        <v>1510</v>
      </c>
    </row>
    <row r="383" spans="1:2" ht="15" customHeight="1" x14ac:dyDescent="0.25">
      <c r="A383" s="204" t="s">
        <v>1511</v>
      </c>
      <c r="B383" s="204" t="s">
        <v>1512</v>
      </c>
    </row>
    <row r="384" spans="1:2" ht="15" customHeight="1" x14ac:dyDescent="0.25">
      <c r="A384" s="204" t="s">
        <v>1513</v>
      </c>
      <c r="B384" s="204" t="s">
        <v>1514</v>
      </c>
    </row>
    <row r="385" spans="1:2" ht="15" customHeight="1" x14ac:dyDescent="0.25">
      <c r="A385" s="204" t="s">
        <v>1515</v>
      </c>
      <c r="B385" s="204" t="s">
        <v>1516</v>
      </c>
    </row>
    <row r="386" spans="1:2" ht="15" customHeight="1" x14ac:dyDescent="0.25">
      <c r="A386" s="204" t="s">
        <v>1517</v>
      </c>
      <c r="B386" s="204" t="s">
        <v>1518</v>
      </c>
    </row>
    <row r="387" spans="1:2" ht="15" customHeight="1" x14ac:dyDescent="0.25">
      <c r="A387" s="204" t="s">
        <v>1519</v>
      </c>
      <c r="B387" s="204" t="s">
        <v>1520</v>
      </c>
    </row>
    <row r="388" spans="1:2" ht="15" customHeight="1" x14ac:dyDescent="0.25">
      <c r="A388" s="204" t="s">
        <v>1521</v>
      </c>
      <c r="B388" s="204" t="s">
        <v>1522</v>
      </c>
    </row>
    <row r="389" spans="1:2" ht="15" customHeight="1" x14ac:dyDescent="0.25">
      <c r="A389" s="204" t="s">
        <v>1523</v>
      </c>
      <c r="B389" s="204" t="s">
        <v>1524</v>
      </c>
    </row>
    <row r="390" spans="1:2" ht="15" customHeight="1" x14ac:dyDescent="0.25">
      <c r="A390" s="204" t="s">
        <v>1525</v>
      </c>
      <c r="B390" s="204" t="s">
        <v>1526</v>
      </c>
    </row>
    <row r="391" spans="1:2" ht="15" customHeight="1" x14ac:dyDescent="0.25">
      <c r="A391" s="204" t="s">
        <v>1527</v>
      </c>
      <c r="B391" s="204" t="s">
        <v>1528</v>
      </c>
    </row>
    <row r="392" spans="1:2" ht="15" customHeight="1" x14ac:dyDescent="0.25">
      <c r="A392" s="204" t="s">
        <v>1529</v>
      </c>
      <c r="B392" s="204" t="s">
        <v>1530</v>
      </c>
    </row>
    <row r="393" spans="1:2" ht="15" customHeight="1" x14ac:dyDescent="0.25">
      <c r="A393" s="204" t="s">
        <v>1531</v>
      </c>
      <c r="B393" s="204" t="s">
        <v>894</v>
      </c>
    </row>
    <row r="394" spans="1:2" ht="15" customHeight="1" x14ac:dyDescent="0.25">
      <c r="A394" s="203" t="s">
        <v>1532</v>
      </c>
      <c r="B394" s="203" t="s">
        <v>1533</v>
      </c>
    </row>
    <row r="395" spans="1:2" ht="15" customHeight="1" x14ac:dyDescent="0.25">
      <c r="A395" s="204" t="s">
        <v>1534</v>
      </c>
      <c r="B395" s="204" t="s">
        <v>1535</v>
      </c>
    </row>
    <row r="396" spans="1:2" ht="15" customHeight="1" x14ac:dyDescent="0.25">
      <c r="A396" s="204" t="s">
        <v>1536</v>
      </c>
      <c r="B396" s="204" t="s">
        <v>1537</v>
      </c>
    </row>
    <row r="397" spans="1:2" ht="15" customHeight="1" x14ac:dyDescent="0.25">
      <c r="A397" s="204" t="s">
        <v>1538</v>
      </c>
      <c r="B397" s="204" t="s">
        <v>1539</v>
      </c>
    </row>
    <row r="398" spans="1:2" ht="15" customHeight="1" x14ac:dyDescent="0.25">
      <c r="A398" s="204" t="s">
        <v>1540</v>
      </c>
      <c r="B398" s="204" t="s">
        <v>1541</v>
      </c>
    </row>
    <row r="399" spans="1:2" ht="15" customHeight="1" x14ac:dyDescent="0.25">
      <c r="A399" s="204" t="s">
        <v>1542</v>
      </c>
      <c r="B399" s="204" t="s">
        <v>1543</v>
      </c>
    </row>
    <row r="400" spans="1:2" ht="15" customHeight="1" x14ac:dyDescent="0.25">
      <c r="A400" s="204" t="s">
        <v>1544</v>
      </c>
      <c r="B400" s="204" t="s">
        <v>1545</v>
      </c>
    </row>
    <row r="401" spans="1:2" ht="15" customHeight="1" x14ac:dyDescent="0.25">
      <c r="A401" s="204" t="s">
        <v>1546</v>
      </c>
      <c r="B401" s="204" t="s">
        <v>1547</v>
      </c>
    </row>
    <row r="402" spans="1:2" ht="15" customHeight="1" x14ac:dyDescent="0.25">
      <c r="A402" s="204" t="s">
        <v>1548</v>
      </c>
      <c r="B402" s="204" t="s">
        <v>1549</v>
      </c>
    </row>
    <row r="403" spans="1:2" ht="15" customHeight="1" x14ac:dyDescent="0.25">
      <c r="A403" s="204" t="s">
        <v>1550</v>
      </c>
      <c r="B403" s="204" t="s">
        <v>1551</v>
      </c>
    </row>
    <row r="404" spans="1:2" ht="15" customHeight="1" x14ac:dyDescent="0.25">
      <c r="A404" s="204" t="s">
        <v>1552</v>
      </c>
      <c r="B404" s="204" t="s">
        <v>1553</v>
      </c>
    </row>
    <row r="405" spans="1:2" ht="15" customHeight="1" x14ac:dyDescent="0.25">
      <c r="A405" s="204" t="s">
        <v>1554</v>
      </c>
      <c r="B405" s="204" t="s">
        <v>1555</v>
      </c>
    </row>
    <row r="406" spans="1:2" ht="15" customHeight="1" x14ac:dyDescent="0.25">
      <c r="A406" s="204" t="s">
        <v>1556</v>
      </c>
      <c r="B406" s="204" t="s">
        <v>1557</v>
      </c>
    </row>
    <row r="407" spans="1:2" ht="15" customHeight="1" x14ac:dyDescent="0.25">
      <c r="A407" s="204" t="s">
        <v>1558</v>
      </c>
      <c r="B407" s="204" t="s">
        <v>1559</v>
      </c>
    </row>
    <row r="408" spans="1:2" ht="15" customHeight="1" x14ac:dyDescent="0.25">
      <c r="A408" s="204" t="s">
        <v>1560</v>
      </c>
      <c r="B408" s="204" t="s">
        <v>1516</v>
      </c>
    </row>
    <row r="409" spans="1:2" ht="15" customHeight="1" x14ac:dyDescent="0.25">
      <c r="A409" s="204" t="s">
        <v>1561</v>
      </c>
      <c r="B409" s="204" t="s">
        <v>1562</v>
      </c>
    </row>
    <row r="410" spans="1:2" ht="15" customHeight="1" x14ac:dyDescent="0.25">
      <c r="A410" s="204" t="s">
        <v>1563</v>
      </c>
      <c r="B410" s="204" t="s">
        <v>1526</v>
      </c>
    </row>
    <row r="411" spans="1:2" ht="15" customHeight="1" x14ac:dyDescent="0.25">
      <c r="A411" s="204" t="s">
        <v>1564</v>
      </c>
      <c r="B411" s="204" t="s">
        <v>1565</v>
      </c>
    </row>
    <row r="412" spans="1:2" ht="15" customHeight="1" x14ac:dyDescent="0.25">
      <c r="A412" s="204" t="s">
        <v>1566</v>
      </c>
      <c r="B412" s="204" t="s">
        <v>1522</v>
      </c>
    </row>
    <row r="413" spans="1:2" ht="15" customHeight="1" x14ac:dyDescent="0.25">
      <c r="A413" s="204" t="s">
        <v>1567</v>
      </c>
      <c r="B413" s="204" t="s">
        <v>1568</v>
      </c>
    </row>
    <row r="414" spans="1:2" ht="15" customHeight="1" x14ac:dyDescent="0.25">
      <c r="A414" s="204" t="s">
        <v>1569</v>
      </c>
      <c r="B414" s="204" t="s">
        <v>1570</v>
      </c>
    </row>
    <row r="415" spans="1:2" ht="15" customHeight="1" x14ac:dyDescent="0.25">
      <c r="A415" s="204" t="s">
        <v>1571</v>
      </c>
      <c r="B415" s="204" t="s">
        <v>1572</v>
      </c>
    </row>
    <row r="416" spans="1:2" ht="15" customHeight="1" x14ac:dyDescent="0.25">
      <c r="A416" s="204" t="s">
        <v>1573</v>
      </c>
      <c r="B416" s="204" t="s">
        <v>894</v>
      </c>
    </row>
    <row r="417" spans="1:2" ht="15" customHeight="1" x14ac:dyDescent="0.25">
      <c r="A417" s="203" t="s">
        <v>1574</v>
      </c>
      <c r="B417" s="203" t="s">
        <v>1575</v>
      </c>
    </row>
    <row r="418" spans="1:2" ht="15" customHeight="1" x14ac:dyDescent="0.25">
      <c r="A418" s="204" t="s">
        <v>1576</v>
      </c>
      <c r="B418" s="204" t="s">
        <v>1577</v>
      </c>
    </row>
    <row r="419" spans="1:2" ht="15" customHeight="1" x14ac:dyDescent="0.25">
      <c r="A419" s="204" t="s">
        <v>1578</v>
      </c>
      <c r="B419" s="204" t="s">
        <v>1579</v>
      </c>
    </row>
    <row r="420" spans="1:2" ht="15" customHeight="1" x14ac:dyDescent="0.25">
      <c r="A420" s="204" t="s">
        <v>1580</v>
      </c>
      <c r="B420" s="204" t="s">
        <v>1581</v>
      </c>
    </row>
    <row r="421" spans="1:2" ht="15" customHeight="1" x14ac:dyDescent="0.25">
      <c r="A421" s="204" t="s">
        <v>1582</v>
      </c>
      <c r="B421" s="204" t="s">
        <v>1583</v>
      </c>
    </row>
    <row r="422" spans="1:2" ht="15" customHeight="1" x14ac:dyDescent="0.25">
      <c r="A422" s="204" t="s">
        <v>1584</v>
      </c>
      <c r="B422" s="204" t="s">
        <v>1585</v>
      </c>
    </row>
    <row r="423" spans="1:2" ht="15" customHeight="1" x14ac:dyDescent="0.25">
      <c r="A423" s="204" t="s">
        <v>1586</v>
      </c>
      <c r="B423" s="204" t="s">
        <v>1587</v>
      </c>
    </row>
    <row r="424" spans="1:2" ht="15" customHeight="1" x14ac:dyDescent="0.25">
      <c r="A424" s="204" t="s">
        <v>1588</v>
      </c>
      <c r="B424" s="204" t="s">
        <v>1589</v>
      </c>
    </row>
    <row r="425" spans="1:2" ht="15" customHeight="1" x14ac:dyDescent="0.25">
      <c r="A425" s="204" t="s">
        <v>1590</v>
      </c>
      <c r="B425" s="204" t="s">
        <v>1522</v>
      </c>
    </row>
    <row r="426" spans="1:2" ht="15" customHeight="1" x14ac:dyDescent="0.25">
      <c r="A426" s="204" t="s">
        <v>1591</v>
      </c>
      <c r="B426" s="204" t="s">
        <v>1592</v>
      </c>
    </row>
    <row r="427" spans="1:2" ht="15" customHeight="1" x14ac:dyDescent="0.25">
      <c r="A427" s="204" t="s">
        <v>1593</v>
      </c>
      <c r="B427" s="204" t="s">
        <v>894</v>
      </c>
    </row>
    <row r="428" spans="1:2" ht="15" customHeight="1" x14ac:dyDescent="0.25">
      <c r="A428" s="203" t="s">
        <v>1594</v>
      </c>
      <c r="B428" s="203" t="s">
        <v>1595</v>
      </c>
    </row>
    <row r="429" spans="1:2" ht="15" customHeight="1" x14ac:dyDescent="0.25">
      <c r="A429" s="204" t="s">
        <v>1596</v>
      </c>
      <c r="B429" s="204" t="s">
        <v>1577</v>
      </c>
    </row>
    <row r="430" spans="1:2" ht="15" customHeight="1" x14ac:dyDescent="0.25">
      <c r="A430" s="204" t="s">
        <v>1597</v>
      </c>
      <c r="B430" s="204" t="s">
        <v>1583</v>
      </c>
    </row>
    <row r="431" spans="1:2" ht="15" customHeight="1" x14ac:dyDescent="0.25">
      <c r="A431" s="204" t="s">
        <v>1598</v>
      </c>
      <c r="B431" s="204" t="s">
        <v>1585</v>
      </c>
    </row>
    <row r="432" spans="1:2" ht="15" customHeight="1" x14ac:dyDescent="0.25">
      <c r="A432" s="204" t="s">
        <v>1599</v>
      </c>
      <c r="B432" s="204" t="s">
        <v>1587</v>
      </c>
    </row>
    <row r="433" spans="1:2" ht="15" customHeight="1" x14ac:dyDescent="0.25">
      <c r="A433" s="204" t="s">
        <v>1600</v>
      </c>
      <c r="B433" s="204" t="s">
        <v>1589</v>
      </c>
    </row>
    <row r="434" spans="1:2" ht="15" customHeight="1" x14ac:dyDescent="0.25">
      <c r="A434" s="204" t="s">
        <v>1601</v>
      </c>
      <c r="B434" s="204" t="s">
        <v>1522</v>
      </c>
    </row>
    <row r="435" spans="1:2" ht="15" customHeight="1" x14ac:dyDescent="0.25">
      <c r="A435" s="204" t="s">
        <v>1602</v>
      </c>
      <c r="B435" s="204" t="s">
        <v>1603</v>
      </c>
    </row>
    <row r="436" spans="1:2" ht="15" customHeight="1" x14ac:dyDescent="0.25">
      <c r="A436" s="204" t="s">
        <v>1604</v>
      </c>
      <c r="B436" s="204" t="s">
        <v>1605</v>
      </c>
    </row>
    <row r="437" spans="1:2" ht="15" customHeight="1" x14ac:dyDescent="0.25">
      <c r="A437" s="204" t="s">
        <v>1606</v>
      </c>
      <c r="B437" s="204" t="s">
        <v>1607</v>
      </c>
    </row>
    <row r="438" spans="1:2" ht="15" customHeight="1" x14ac:dyDescent="0.25">
      <c r="A438" s="204" t="s">
        <v>1608</v>
      </c>
      <c r="B438" s="204" t="s">
        <v>894</v>
      </c>
    </row>
    <row r="439" spans="1:2" ht="15" customHeight="1" x14ac:dyDescent="0.25">
      <c r="A439" s="203" t="s">
        <v>1609</v>
      </c>
      <c r="B439" s="203" t="s">
        <v>1610</v>
      </c>
    </row>
    <row r="440" spans="1:2" ht="15" customHeight="1" x14ac:dyDescent="0.25">
      <c r="A440" s="204" t="s">
        <v>1611</v>
      </c>
      <c r="B440" s="204" t="s">
        <v>1577</v>
      </c>
    </row>
    <row r="441" spans="1:2" ht="15" customHeight="1" x14ac:dyDescent="0.25">
      <c r="A441" s="204" t="s">
        <v>1612</v>
      </c>
      <c r="B441" s="204" t="s">
        <v>1579</v>
      </c>
    </row>
    <row r="442" spans="1:2" ht="15" customHeight="1" x14ac:dyDescent="0.25">
      <c r="A442" s="204" t="s">
        <v>1613</v>
      </c>
      <c r="B442" s="204" t="s">
        <v>1583</v>
      </c>
    </row>
    <row r="443" spans="1:2" ht="15" customHeight="1" x14ac:dyDescent="0.25">
      <c r="A443" s="204" t="s">
        <v>1614</v>
      </c>
      <c r="B443" s="204" t="s">
        <v>1585</v>
      </c>
    </row>
    <row r="444" spans="1:2" ht="15" customHeight="1" x14ac:dyDescent="0.25">
      <c r="A444" s="204" t="s">
        <v>1615</v>
      </c>
      <c r="B444" s="204" t="s">
        <v>1587</v>
      </c>
    </row>
    <row r="445" spans="1:2" ht="15" customHeight="1" x14ac:dyDescent="0.25">
      <c r="A445" s="204" t="s">
        <v>1616</v>
      </c>
      <c r="B445" s="204" t="s">
        <v>1589</v>
      </c>
    </row>
    <row r="446" spans="1:2" ht="15" customHeight="1" x14ac:dyDescent="0.25">
      <c r="A446" s="204" t="s">
        <v>1617</v>
      </c>
      <c r="B446" s="204" t="s">
        <v>1522</v>
      </c>
    </row>
    <row r="447" spans="1:2" ht="15" customHeight="1" x14ac:dyDescent="0.25">
      <c r="A447" s="204" t="s">
        <v>1618</v>
      </c>
      <c r="B447" s="204" t="s">
        <v>1619</v>
      </c>
    </row>
    <row r="448" spans="1:2" ht="15" customHeight="1" x14ac:dyDescent="0.25">
      <c r="A448" s="204" t="s">
        <v>1620</v>
      </c>
      <c r="B448" s="204" t="s">
        <v>894</v>
      </c>
    </row>
    <row r="449" spans="1:2" ht="15" customHeight="1" x14ac:dyDescent="0.25">
      <c r="A449" s="203" t="s">
        <v>1621</v>
      </c>
      <c r="B449" s="203" t="s">
        <v>1622</v>
      </c>
    </row>
    <row r="450" spans="1:2" ht="15" customHeight="1" x14ac:dyDescent="0.25">
      <c r="A450" s="204" t="s">
        <v>1623</v>
      </c>
      <c r="B450" s="204" t="s">
        <v>1577</v>
      </c>
    </row>
    <row r="451" spans="1:2" ht="15" customHeight="1" x14ac:dyDescent="0.25">
      <c r="A451" s="204" t="s">
        <v>1624</v>
      </c>
      <c r="B451" s="204" t="s">
        <v>1579</v>
      </c>
    </row>
    <row r="452" spans="1:2" ht="15" customHeight="1" x14ac:dyDescent="0.25">
      <c r="A452" s="204" t="s">
        <v>1625</v>
      </c>
      <c r="B452" s="204" t="s">
        <v>1587</v>
      </c>
    </row>
    <row r="453" spans="1:2" ht="15" customHeight="1" x14ac:dyDescent="0.25">
      <c r="A453" s="204" t="s">
        <v>1626</v>
      </c>
      <c r="B453" s="204" t="s">
        <v>1585</v>
      </c>
    </row>
    <row r="454" spans="1:2" ht="15" customHeight="1" x14ac:dyDescent="0.25">
      <c r="A454" s="204" t="s">
        <v>1627</v>
      </c>
      <c r="B454" s="204" t="s">
        <v>1589</v>
      </c>
    </row>
    <row r="455" spans="1:2" ht="15" customHeight="1" x14ac:dyDescent="0.25">
      <c r="A455" s="204" t="s">
        <v>1628</v>
      </c>
      <c r="B455" s="204" t="s">
        <v>1522</v>
      </c>
    </row>
    <row r="456" spans="1:2" ht="15" customHeight="1" x14ac:dyDescent="0.25">
      <c r="A456" s="204" t="s">
        <v>1629</v>
      </c>
      <c r="B456" s="204" t="s">
        <v>1630</v>
      </c>
    </row>
    <row r="457" spans="1:2" ht="15" customHeight="1" x14ac:dyDescent="0.25">
      <c r="A457" s="204" t="s">
        <v>1631</v>
      </c>
      <c r="B457" s="204" t="s">
        <v>894</v>
      </c>
    </row>
    <row r="458" spans="1:2" ht="15" customHeight="1" x14ac:dyDescent="0.25">
      <c r="A458" s="203" t="s">
        <v>1632</v>
      </c>
      <c r="B458" s="203" t="s">
        <v>1633</v>
      </c>
    </row>
    <row r="459" spans="1:2" ht="15" customHeight="1" x14ac:dyDescent="0.25">
      <c r="A459" s="204" t="s">
        <v>1634</v>
      </c>
      <c r="B459" s="204" t="s">
        <v>1635</v>
      </c>
    </row>
    <row r="460" spans="1:2" ht="15" customHeight="1" x14ac:dyDescent="0.25">
      <c r="A460" s="204" t="s">
        <v>1636</v>
      </c>
      <c r="B460" s="204" t="s">
        <v>1637</v>
      </c>
    </row>
    <row r="461" spans="1:2" ht="15" customHeight="1" x14ac:dyDescent="0.25">
      <c r="A461" s="204" t="s">
        <v>1638</v>
      </c>
      <c r="B461" s="204" t="s">
        <v>1639</v>
      </c>
    </row>
    <row r="462" spans="1:2" ht="15" customHeight="1" x14ac:dyDescent="0.25">
      <c r="A462" s="204" t="s">
        <v>1640</v>
      </c>
      <c r="B462" s="204" t="s">
        <v>1605</v>
      </c>
    </row>
    <row r="463" spans="1:2" ht="15" customHeight="1" x14ac:dyDescent="0.25">
      <c r="A463" s="204" t="s">
        <v>1641</v>
      </c>
      <c r="B463" s="204" t="s">
        <v>1642</v>
      </c>
    </row>
    <row r="464" spans="1:2" ht="15" customHeight="1" x14ac:dyDescent="0.25">
      <c r="A464" s="204" t="s">
        <v>1643</v>
      </c>
      <c r="B464" s="204" t="s">
        <v>1549</v>
      </c>
    </row>
    <row r="465" spans="1:2" ht="15" customHeight="1" x14ac:dyDescent="0.25">
      <c r="A465" s="204" t="s">
        <v>1644</v>
      </c>
      <c r="B465" s="204" t="s">
        <v>1645</v>
      </c>
    </row>
    <row r="466" spans="1:2" ht="15" customHeight="1" x14ac:dyDescent="0.25">
      <c r="A466" s="204" t="s">
        <v>1646</v>
      </c>
      <c r="B466" s="204" t="s">
        <v>1535</v>
      </c>
    </row>
    <row r="467" spans="1:2" ht="15" customHeight="1" x14ac:dyDescent="0.25">
      <c r="A467" s="204" t="s">
        <v>1647</v>
      </c>
      <c r="B467" s="204" t="s">
        <v>1553</v>
      </c>
    </row>
    <row r="468" spans="1:2" ht="15" customHeight="1" x14ac:dyDescent="0.25">
      <c r="A468" s="204" t="s">
        <v>1648</v>
      </c>
      <c r="B468" s="204" t="s">
        <v>1649</v>
      </c>
    </row>
    <row r="469" spans="1:2" ht="15" customHeight="1" x14ac:dyDescent="0.25">
      <c r="A469" s="204" t="s">
        <v>1650</v>
      </c>
      <c r="B469" s="204" t="s">
        <v>1526</v>
      </c>
    </row>
    <row r="470" spans="1:2" ht="15" customHeight="1" x14ac:dyDescent="0.25">
      <c r="A470" s="204" t="s">
        <v>1651</v>
      </c>
      <c r="B470" s="204" t="s">
        <v>1652</v>
      </c>
    </row>
    <row r="471" spans="1:2" ht="15" customHeight="1" x14ac:dyDescent="0.25">
      <c r="A471" s="204" t="s">
        <v>1653</v>
      </c>
      <c r="B471" s="204" t="s">
        <v>1522</v>
      </c>
    </row>
    <row r="472" spans="1:2" ht="15" customHeight="1" x14ac:dyDescent="0.25">
      <c r="A472" s="204" t="s">
        <v>1654</v>
      </c>
      <c r="B472" s="204" t="s">
        <v>1655</v>
      </c>
    </row>
    <row r="473" spans="1:2" ht="15" customHeight="1" x14ac:dyDescent="0.25">
      <c r="A473" s="204" t="s">
        <v>1656</v>
      </c>
      <c r="B473" s="204" t="s">
        <v>894</v>
      </c>
    </row>
    <row r="474" spans="1:2" ht="15" customHeight="1" x14ac:dyDescent="0.25">
      <c r="A474" s="203" t="s">
        <v>1657</v>
      </c>
      <c r="B474" s="203" t="s">
        <v>1658</v>
      </c>
    </row>
    <row r="475" spans="1:2" ht="15" customHeight="1" x14ac:dyDescent="0.25">
      <c r="A475" s="204" t="s">
        <v>1659</v>
      </c>
      <c r="B475" s="204" t="s">
        <v>1660</v>
      </c>
    </row>
    <row r="476" spans="1:2" ht="15" customHeight="1" x14ac:dyDescent="0.25">
      <c r="A476" s="204" t="s">
        <v>1661</v>
      </c>
      <c r="B476" s="204" t="s">
        <v>1662</v>
      </c>
    </row>
    <row r="477" spans="1:2" ht="15" customHeight="1" x14ac:dyDescent="0.25">
      <c r="A477" s="204" t="s">
        <v>1663</v>
      </c>
      <c r="B477" s="204" t="s">
        <v>1664</v>
      </c>
    </row>
    <row r="478" spans="1:2" ht="15" customHeight="1" x14ac:dyDescent="0.25">
      <c r="A478" s="204" t="s">
        <v>1665</v>
      </c>
      <c r="B478" s="204" t="s">
        <v>1666</v>
      </c>
    </row>
    <row r="479" spans="1:2" ht="15" customHeight="1" x14ac:dyDescent="0.25">
      <c r="A479" s="204" t="s">
        <v>1667</v>
      </c>
      <c r="B479" s="204" t="s">
        <v>1668</v>
      </c>
    </row>
    <row r="480" spans="1:2" ht="15" customHeight="1" x14ac:dyDescent="0.25">
      <c r="A480" s="204" t="s">
        <v>1669</v>
      </c>
      <c r="B480" s="204" t="s">
        <v>1553</v>
      </c>
    </row>
    <row r="481" spans="1:2" ht="15" customHeight="1" x14ac:dyDescent="0.25">
      <c r="A481" s="204" t="s">
        <v>1670</v>
      </c>
      <c r="B481" s="204" t="s">
        <v>1671</v>
      </c>
    </row>
    <row r="482" spans="1:2" ht="15" customHeight="1" x14ac:dyDescent="0.25">
      <c r="A482" s="204" t="s">
        <v>1672</v>
      </c>
      <c r="B482" s="204" t="s">
        <v>1673</v>
      </c>
    </row>
    <row r="483" spans="1:2" ht="15" customHeight="1" x14ac:dyDescent="0.25">
      <c r="A483" s="204" t="s">
        <v>1674</v>
      </c>
      <c r="B483" s="204" t="s">
        <v>1675</v>
      </c>
    </row>
    <row r="484" spans="1:2" ht="15" customHeight="1" x14ac:dyDescent="0.25">
      <c r="A484" s="204" t="s">
        <v>1676</v>
      </c>
      <c r="B484" s="204" t="s">
        <v>1677</v>
      </c>
    </row>
    <row r="485" spans="1:2" ht="15" customHeight="1" x14ac:dyDescent="0.25">
      <c r="A485" s="204" t="s">
        <v>1678</v>
      </c>
      <c r="B485" s="204" t="s">
        <v>1679</v>
      </c>
    </row>
    <row r="486" spans="1:2" ht="15" customHeight="1" x14ac:dyDescent="0.25">
      <c r="A486" s="204" t="s">
        <v>1680</v>
      </c>
      <c r="B486" s="204" t="s">
        <v>1681</v>
      </c>
    </row>
    <row r="487" spans="1:2" ht="15" customHeight="1" x14ac:dyDescent="0.25">
      <c r="A487" s="204" t="s">
        <v>1682</v>
      </c>
      <c r="B487" s="204" t="s">
        <v>1683</v>
      </c>
    </row>
    <row r="488" spans="1:2" ht="15" customHeight="1" x14ac:dyDescent="0.25">
      <c r="A488" s="204" t="s">
        <v>1684</v>
      </c>
      <c r="B488" s="204" t="s">
        <v>894</v>
      </c>
    </row>
    <row r="489" spans="1:2" ht="15" customHeight="1" x14ac:dyDescent="0.25">
      <c r="A489" s="203" t="s">
        <v>1685</v>
      </c>
      <c r="B489" s="203" t="s">
        <v>1686</v>
      </c>
    </row>
    <row r="490" spans="1:2" ht="15" customHeight="1" x14ac:dyDescent="0.25">
      <c r="A490" s="204" t="s">
        <v>1687</v>
      </c>
      <c r="B490" s="204" t="s">
        <v>1660</v>
      </c>
    </row>
    <row r="491" spans="1:2" ht="15" customHeight="1" x14ac:dyDescent="0.25">
      <c r="A491" s="204" t="s">
        <v>1688</v>
      </c>
      <c r="B491" s="204" t="s">
        <v>1662</v>
      </c>
    </row>
    <row r="492" spans="1:2" ht="15" customHeight="1" x14ac:dyDescent="0.25">
      <c r="A492" s="204" t="s">
        <v>1689</v>
      </c>
      <c r="B492" s="204" t="s">
        <v>1690</v>
      </c>
    </row>
    <row r="493" spans="1:2" ht="15" customHeight="1" x14ac:dyDescent="0.25">
      <c r="A493" s="204" t="s">
        <v>1691</v>
      </c>
      <c r="B493" s="204" t="s">
        <v>1666</v>
      </c>
    </row>
    <row r="494" spans="1:2" ht="15" customHeight="1" x14ac:dyDescent="0.25">
      <c r="A494" s="204" t="s">
        <v>1692</v>
      </c>
      <c r="B494" s="204" t="s">
        <v>1693</v>
      </c>
    </row>
    <row r="495" spans="1:2" ht="15" customHeight="1" x14ac:dyDescent="0.25">
      <c r="A495" s="204" t="s">
        <v>1694</v>
      </c>
      <c r="B495" s="204" t="s">
        <v>1553</v>
      </c>
    </row>
    <row r="496" spans="1:2" ht="15" customHeight="1" x14ac:dyDescent="0.25">
      <c r="A496" s="204" t="s">
        <v>1695</v>
      </c>
      <c r="B496" s="204" t="s">
        <v>1696</v>
      </c>
    </row>
    <row r="497" spans="1:2" ht="15" customHeight="1" x14ac:dyDescent="0.25">
      <c r="A497" s="204" t="s">
        <v>1697</v>
      </c>
      <c r="B497" s="204" t="s">
        <v>1673</v>
      </c>
    </row>
    <row r="498" spans="1:2" ht="15" customHeight="1" x14ac:dyDescent="0.25">
      <c r="A498" s="204" t="s">
        <v>1698</v>
      </c>
      <c r="B498" s="204" t="s">
        <v>1699</v>
      </c>
    </row>
    <row r="499" spans="1:2" ht="15" customHeight="1" x14ac:dyDescent="0.25">
      <c r="A499" s="204" t="s">
        <v>1700</v>
      </c>
      <c r="B499" s="204" t="s">
        <v>1677</v>
      </c>
    </row>
    <row r="500" spans="1:2" ht="15" customHeight="1" x14ac:dyDescent="0.25">
      <c r="A500" s="204" t="s">
        <v>1701</v>
      </c>
      <c r="B500" s="204" t="s">
        <v>1702</v>
      </c>
    </row>
    <row r="501" spans="1:2" ht="15" customHeight="1" x14ac:dyDescent="0.25">
      <c r="A501" s="204" t="s">
        <v>1703</v>
      </c>
      <c r="B501" s="204" t="s">
        <v>1681</v>
      </c>
    </row>
    <row r="502" spans="1:2" ht="15" customHeight="1" x14ac:dyDescent="0.25">
      <c r="A502" s="204" t="s">
        <v>1704</v>
      </c>
      <c r="B502" s="204" t="s">
        <v>1705</v>
      </c>
    </row>
    <row r="503" spans="1:2" ht="15" customHeight="1" x14ac:dyDescent="0.25">
      <c r="A503" s="204" t="s">
        <v>1706</v>
      </c>
      <c r="B503" s="204" t="s">
        <v>894</v>
      </c>
    </row>
    <row r="504" spans="1:2" ht="15" customHeight="1" x14ac:dyDescent="0.25">
      <c r="A504" s="203" t="s">
        <v>1707</v>
      </c>
      <c r="B504" s="203" t="s">
        <v>1708</v>
      </c>
    </row>
    <row r="505" spans="1:2" ht="15" customHeight="1" x14ac:dyDescent="0.25">
      <c r="A505" s="204" t="s">
        <v>1709</v>
      </c>
      <c r="B505" s="204" t="s">
        <v>1710</v>
      </c>
    </row>
    <row r="506" spans="1:2" ht="15" customHeight="1" x14ac:dyDescent="0.25">
      <c r="A506" s="204" t="s">
        <v>1711</v>
      </c>
      <c r="B506" s="204" t="s">
        <v>1635</v>
      </c>
    </row>
    <row r="507" spans="1:2" ht="15" customHeight="1" x14ac:dyDescent="0.25">
      <c r="A507" s="204" t="s">
        <v>1712</v>
      </c>
      <c r="B507" s="204" t="s">
        <v>1713</v>
      </c>
    </row>
    <row r="508" spans="1:2" ht="15" customHeight="1" x14ac:dyDescent="0.25">
      <c r="A508" s="204" t="s">
        <v>1714</v>
      </c>
      <c r="B508" s="204" t="s">
        <v>1715</v>
      </c>
    </row>
    <row r="509" spans="1:2" ht="15" customHeight="1" x14ac:dyDescent="0.25">
      <c r="A509" s="204" t="s">
        <v>1716</v>
      </c>
      <c r="B509" s="204" t="s">
        <v>1717</v>
      </c>
    </row>
    <row r="510" spans="1:2" ht="15" customHeight="1" x14ac:dyDescent="0.25">
      <c r="A510" s="204" t="s">
        <v>1718</v>
      </c>
      <c r="B510" s="204" t="s">
        <v>1719</v>
      </c>
    </row>
    <row r="511" spans="1:2" ht="15" customHeight="1" x14ac:dyDescent="0.25">
      <c r="A511" s="204" t="s">
        <v>1720</v>
      </c>
      <c r="B511" s="204" t="s">
        <v>1721</v>
      </c>
    </row>
    <row r="512" spans="1:2" ht="15" customHeight="1" x14ac:dyDescent="0.25">
      <c r="A512" s="204" t="s">
        <v>1722</v>
      </c>
      <c r="B512" s="204" t="s">
        <v>1723</v>
      </c>
    </row>
    <row r="513" spans="1:2" ht="15" customHeight="1" x14ac:dyDescent="0.25">
      <c r="A513" s="204" t="s">
        <v>1724</v>
      </c>
      <c r="B513" s="204" t="s">
        <v>1516</v>
      </c>
    </row>
    <row r="514" spans="1:2" ht="15" customHeight="1" x14ac:dyDescent="0.25">
      <c r="A514" s="204" t="s">
        <v>1725</v>
      </c>
      <c r="B514" s="204" t="s">
        <v>1726</v>
      </c>
    </row>
    <row r="515" spans="1:2" ht="15" customHeight="1" x14ac:dyDescent="0.25">
      <c r="A515" s="204" t="s">
        <v>1727</v>
      </c>
      <c r="B515" s="204" t="s">
        <v>1526</v>
      </c>
    </row>
    <row r="516" spans="1:2" ht="15" customHeight="1" x14ac:dyDescent="0.25">
      <c r="A516" s="204" t="s">
        <v>1728</v>
      </c>
      <c r="B516" s="204" t="s">
        <v>1729</v>
      </c>
    </row>
    <row r="517" spans="1:2" ht="15" customHeight="1" x14ac:dyDescent="0.25">
      <c r="A517" s="204" t="s">
        <v>1730</v>
      </c>
      <c r="B517" s="204" t="s">
        <v>1731</v>
      </c>
    </row>
    <row r="518" spans="1:2" ht="15" customHeight="1" x14ac:dyDescent="0.25">
      <c r="A518" s="204" t="s">
        <v>1732</v>
      </c>
      <c r="B518" s="204" t="s">
        <v>1733</v>
      </c>
    </row>
    <row r="519" spans="1:2" ht="15" customHeight="1" x14ac:dyDescent="0.25">
      <c r="A519" s="204" t="s">
        <v>1734</v>
      </c>
      <c r="B519" s="204" t="s">
        <v>894</v>
      </c>
    </row>
    <row r="520" spans="1:2" ht="15" customHeight="1" x14ac:dyDescent="0.25">
      <c r="A520" s="203" t="s">
        <v>1735</v>
      </c>
      <c r="B520" s="203" t="s">
        <v>1736</v>
      </c>
    </row>
    <row r="521" spans="1:2" ht="15" customHeight="1" x14ac:dyDescent="0.25">
      <c r="A521" s="204" t="s">
        <v>1737</v>
      </c>
      <c r="B521" s="204" t="s">
        <v>1738</v>
      </c>
    </row>
    <row r="522" spans="1:2" ht="15" customHeight="1" x14ac:dyDescent="0.25">
      <c r="A522" s="204" t="s">
        <v>1739</v>
      </c>
      <c r="B522" s="204" t="s">
        <v>1635</v>
      </c>
    </row>
    <row r="523" spans="1:2" ht="15" customHeight="1" x14ac:dyDescent="0.25">
      <c r="A523" s="204" t="s">
        <v>1740</v>
      </c>
      <c r="B523" s="204" t="s">
        <v>1589</v>
      </c>
    </row>
    <row r="524" spans="1:2" ht="15" customHeight="1" x14ac:dyDescent="0.25">
      <c r="A524" s="204" t="s">
        <v>1741</v>
      </c>
      <c r="B524" s="204" t="s">
        <v>1742</v>
      </c>
    </row>
    <row r="525" spans="1:2" ht="15" customHeight="1" x14ac:dyDescent="0.25">
      <c r="A525" s="204" t="s">
        <v>1743</v>
      </c>
      <c r="B525" s="204" t="s">
        <v>1744</v>
      </c>
    </row>
    <row r="526" spans="1:2" ht="15" customHeight="1" x14ac:dyDescent="0.25">
      <c r="A526" s="204" t="s">
        <v>1745</v>
      </c>
      <c r="B526" s="204" t="s">
        <v>1516</v>
      </c>
    </row>
    <row r="527" spans="1:2" ht="15" customHeight="1" x14ac:dyDescent="0.25">
      <c r="A527" s="204" t="s">
        <v>1746</v>
      </c>
      <c r="B527" s="204" t="s">
        <v>1747</v>
      </c>
    </row>
    <row r="528" spans="1:2" ht="15" customHeight="1" x14ac:dyDescent="0.25">
      <c r="A528" s="204" t="s">
        <v>1748</v>
      </c>
      <c r="B528" s="204" t="s">
        <v>1749</v>
      </c>
    </row>
    <row r="529" spans="1:2" ht="15" customHeight="1" x14ac:dyDescent="0.25">
      <c r="A529" s="204" t="s">
        <v>1750</v>
      </c>
      <c r="B529" s="204" t="s">
        <v>1751</v>
      </c>
    </row>
    <row r="530" spans="1:2" ht="15" customHeight="1" x14ac:dyDescent="0.25">
      <c r="A530" s="204" t="s">
        <v>1752</v>
      </c>
      <c r="B530" s="204" t="s">
        <v>954</v>
      </c>
    </row>
    <row r="531" spans="1:2" ht="15" customHeight="1" x14ac:dyDescent="0.25">
      <c r="A531" s="204" t="s">
        <v>1753</v>
      </c>
      <c r="B531" s="204" t="s">
        <v>894</v>
      </c>
    </row>
    <row r="532" spans="1:2" ht="15" customHeight="1" x14ac:dyDescent="0.25">
      <c r="A532" s="203" t="s">
        <v>1754</v>
      </c>
      <c r="B532" s="203" t="s">
        <v>1755</v>
      </c>
    </row>
    <row r="533" spans="1:2" ht="15" customHeight="1" x14ac:dyDescent="0.25">
      <c r="A533" s="204" t="s">
        <v>1756</v>
      </c>
      <c r="B533" s="204" t="s">
        <v>1757</v>
      </c>
    </row>
    <row r="534" spans="1:2" ht="15" customHeight="1" x14ac:dyDescent="0.25">
      <c r="A534" s="204" t="s">
        <v>1758</v>
      </c>
      <c r="B534" s="204" t="s">
        <v>1759</v>
      </c>
    </row>
    <row r="535" spans="1:2" ht="15" customHeight="1" x14ac:dyDescent="0.25">
      <c r="A535" s="204" t="s">
        <v>1760</v>
      </c>
      <c r="B535" s="204" t="s">
        <v>1761</v>
      </c>
    </row>
    <row r="536" spans="1:2" ht="15" customHeight="1" x14ac:dyDescent="0.25">
      <c r="A536" s="204" t="s">
        <v>1762</v>
      </c>
      <c r="B536" s="204" t="s">
        <v>1589</v>
      </c>
    </row>
    <row r="537" spans="1:2" ht="15" customHeight="1" x14ac:dyDescent="0.25">
      <c r="A537" s="204" t="s">
        <v>1763</v>
      </c>
      <c r="B537" s="204" t="s">
        <v>1764</v>
      </c>
    </row>
    <row r="538" spans="1:2" ht="15" customHeight="1" x14ac:dyDescent="0.25">
      <c r="A538" s="204" t="s">
        <v>1765</v>
      </c>
      <c r="B538" s="204" t="s">
        <v>1766</v>
      </c>
    </row>
    <row r="539" spans="1:2" ht="15" customHeight="1" x14ac:dyDescent="0.25">
      <c r="A539" s="204" t="s">
        <v>1767</v>
      </c>
      <c r="B539" s="204" t="s">
        <v>1768</v>
      </c>
    </row>
    <row r="540" spans="1:2" ht="15" customHeight="1" x14ac:dyDescent="0.25">
      <c r="A540" s="204" t="s">
        <v>1769</v>
      </c>
      <c r="B540" s="204" t="s">
        <v>1516</v>
      </c>
    </row>
    <row r="541" spans="1:2" ht="15" customHeight="1" x14ac:dyDescent="0.25">
      <c r="A541" s="204" t="s">
        <v>1770</v>
      </c>
      <c r="B541" s="204" t="s">
        <v>1771</v>
      </c>
    </row>
    <row r="542" spans="1:2" ht="15" customHeight="1" x14ac:dyDescent="0.25">
      <c r="A542" s="204" t="s">
        <v>1772</v>
      </c>
      <c r="B542" s="204" t="s">
        <v>1773</v>
      </c>
    </row>
    <row r="543" spans="1:2" ht="15" customHeight="1" x14ac:dyDescent="0.25">
      <c r="A543" s="204" t="s">
        <v>1774</v>
      </c>
      <c r="B543" s="204" t="s">
        <v>894</v>
      </c>
    </row>
    <row r="544" spans="1:2" ht="15" customHeight="1" x14ac:dyDescent="0.25">
      <c r="A544" s="203" t="s">
        <v>1775</v>
      </c>
      <c r="B544" s="203" t="s">
        <v>1776</v>
      </c>
    </row>
    <row r="545" spans="1:2" ht="15" customHeight="1" x14ac:dyDescent="0.25">
      <c r="A545" s="204" t="s">
        <v>1777</v>
      </c>
      <c r="B545" s="204" t="s">
        <v>1778</v>
      </c>
    </row>
    <row r="546" spans="1:2" ht="15" customHeight="1" x14ac:dyDescent="0.25">
      <c r="A546" s="203">
        <v>11</v>
      </c>
      <c r="B546" s="203" t="s">
        <v>1779</v>
      </c>
    </row>
    <row r="547" spans="1:2" ht="15" customHeight="1" x14ac:dyDescent="0.25">
      <c r="A547" s="203" t="s">
        <v>1780</v>
      </c>
      <c r="B547" s="203" t="s">
        <v>1781</v>
      </c>
    </row>
    <row r="548" spans="1:2" ht="15" customHeight="1" x14ac:dyDescent="0.25">
      <c r="A548" s="204" t="s">
        <v>1782</v>
      </c>
      <c r="B548" s="204" t="s">
        <v>1783</v>
      </c>
    </row>
    <row r="549" spans="1:2" ht="15" customHeight="1" x14ac:dyDescent="0.25">
      <c r="A549" s="204" t="s">
        <v>1784</v>
      </c>
      <c r="B549" s="204" t="s">
        <v>1785</v>
      </c>
    </row>
    <row r="550" spans="1:2" ht="15" customHeight="1" x14ac:dyDescent="0.25">
      <c r="A550" s="204" t="s">
        <v>1786</v>
      </c>
      <c r="B550" s="204" t="s">
        <v>1787</v>
      </c>
    </row>
    <row r="551" spans="1:2" ht="15" customHeight="1" x14ac:dyDescent="0.25">
      <c r="A551" s="204" t="s">
        <v>1788</v>
      </c>
      <c r="B551" s="204" t="s">
        <v>1789</v>
      </c>
    </row>
    <row r="552" spans="1:2" ht="15" customHeight="1" x14ac:dyDescent="0.25">
      <c r="A552" s="204" t="s">
        <v>1790</v>
      </c>
      <c r="B552" s="204" t="s">
        <v>1791</v>
      </c>
    </row>
    <row r="553" spans="1:2" ht="15" customHeight="1" x14ac:dyDescent="0.25">
      <c r="A553" s="204" t="s">
        <v>1792</v>
      </c>
      <c r="B553" s="204" t="s">
        <v>1793</v>
      </c>
    </row>
    <row r="554" spans="1:2" ht="15" customHeight="1" x14ac:dyDescent="0.25">
      <c r="A554" s="204" t="s">
        <v>1794</v>
      </c>
      <c r="B554" s="204" t="s">
        <v>1795</v>
      </c>
    </row>
    <row r="555" spans="1:2" ht="15" customHeight="1" x14ac:dyDescent="0.25">
      <c r="A555" s="204" t="s">
        <v>1796</v>
      </c>
      <c r="B555" s="204" t="s">
        <v>1797</v>
      </c>
    </row>
    <row r="556" spans="1:2" ht="15" customHeight="1" x14ac:dyDescent="0.25">
      <c r="A556" s="204" t="s">
        <v>1798</v>
      </c>
      <c r="B556" s="204" t="s">
        <v>1799</v>
      </c>
    </row>
    <row r="557" spans="1:2" ht="15" customHeight="1" x14ac:dyDescent="0.25">
      <c r="A557" s="204" t="s">
        <v>1800</v>
      </c>
      <c r="B557" s="204" t="s">
        <v>1801</v>
      </c>
    </row>
    <row r="558" spans="1:2" ht="15" customHeight="1" x14ac:dyDescent="0.25">
      <c r="A558" s="204" t="s">
        <v>1802</v>
      </c>
      <c r="B558" s="204" t="s">
        <v>1803</v>
      </c>
    </row>
    <row r="559" spans="1:2" ht="15" customHeight="1" x14ac:dyDescent="0.25">
      <c r="A559" s="204" t="s">
        <v>1804</v>
      </c>
      <c r="B559" s="204" t="s">
        <v>1805</v>
      </c>
    </row>
    <row r="560" spans="1:2" ht="15" customHeight="1" x14ac:dyDescent="0.25">
      <c r="A560" s="204" t="s">
        <v>1806</v>
      </c>
      <c r="B560" s="204" t="s">
        <v>1807</v>
      </c>
    </row>
    <row r="561" spans="1:2" ht="15" customHeight="1" x14ac:dyDescent="0.25">
      <c r="A561" s="204" t="s">
        <v>1808</v>
      </c>
      <c r="B561" s="204" t="s">
        <v>894</v>
      </c>
    </row>
    <row r="562" spans="1:2" ht="15" customHeight="1" x14ac:dyDescent="0.25">
      <c r="A562" s="203" t="s">
        <v>1809</v>
      </c>
      <c r="B562" s="203" t="s">
        <v>1810</v>
      </c>
    </row>
    <row r="563" spans="1:2" ht="15" customHeight="1" x14ac:dyDescent="0.25">
      <c r="A563" s="204" t="s">
        <v>1811</v>
      </c>
      <c r="B563" s="204" t="s">
        <v>1812</v>
      </c>
    </row>
    <row r="564" spans="1:2" ht="15" customHeight="1" x14ac:dyDescent="0.25">
      <c r="A564" s="204" t="s">
        <v>1813</v>
      </c>
      <c r="B564" s="204" t="s">
        <v>1814</v>
      </c>
    </row>
    <row r="565" spans="1:2" ht="15" customHeight="1" x14ac:dyDescent="0.25">
      <c r="A565" s="204" t="s">
        <v>1815</v>
      </c>
      <c r="B565" s="204" t="s">
        <v>1816</v>
      </c>
    </row>
    <row r="566" spans="1:2" ht="15" customHeight="1" x14ac:dyDescent="0.25">
      <c r="A566" s="204" t="s">
        <v>1817</v>
      </c>
      <c r="B566" s="204" t="s">
        <v>1818</v>
      </c>
    </row>
    <row r="567" spans="1:2" ht="15" customHeight="1" x14ac:dyDescent="0.25">
      <c r="A567" s="204" t="s">
        <v>1819</v>
      </c>
      <c r="B567" s="204" t="s">
        <v>1807</v>
      </c>
    </row>
    <row r="568" spans="1:2" ht="15" customHeight="1" x14ac:dyDescent="0.25">
      <c r="A568" s="204" t="s">
        <v>1820</v>
      </c>
      <c r="B568" s="204" t="s">
        <v>894</v>
      </c>
    </row>
    <row r="569" spans="1:2" ht="15" customHeight="1" x14ac:dyDescent="0.25">
      <c r="A569" s="203" t="s">
        <v>1821</v>
      </c>
      <c r="B569" s="203" t="s">
        <v>1822</v>
      </c>
    </row>
    <row r="570" spans="1:2" ht="15" customHeight="1" x14ac:dyDescent="0.25">
      <c r="A570" s="204" t="s">
        <v>1823</v>
      </c>
      <c r="B570" s="204" t="s">
        <v>1824</v>
      </c>
    </row>
    <row r="571" spans="1:2" ht="15" customHeight="1" x14ac:dyDescent="0.25">
      <c r="A571" s="204" t="s">
        <v>1825</v>
      </c>
      <c r="B571" s="204" t="s">
        <v>1826</v>
      </c>
    </row>
    <row r="572" spans="1:2" ht="15" customHeight="1" x14ac:dyDescent="0.25">
      <c r="A572" s="203" t="s">
        <v>1827</v>
      </c>
      <c r="B572" s="203" t="s">
        <v>1828</v>
      </c>
    </row>
    <row r="573" spans="1:2" ht="15" customHeight="1" x14ac:dyDescent="0.25">
      <c r="A573" s="204" t="s">
        <v>1829</v>
      </c>
      <c r="B573" s="204" t="s">
        <v>1830</v>
      </c>
    </row>
    <row r="574" spans="1:2" ht="15" customHeight="1" x14ac:dyDescent="0.25">
      <c r="A574" s="204" t="s">
        <v>1831</v>
      </c>
      <c r="B574" s="204" t="s">
        <v>1832</v>
      </c>
    </row>
    <row r="575" spans="1:2" ht="15" customHeight="1" x14ac:dyDescent="0.25">
      <c r="A575" s="204" t="s">
        <v>1833</v>
      </c>
      <c r="B575" s="204" t="s">
        <v>1587</v>
      </c>
    </row>
    <row r="576" spans="1:2" ht="15" customHeight="1" x14ac:dyDescent="0.25">
      <c r="A576" s="204" t="s">
        <v>1834</v>
      </c>
      <c r="B576" s="204" t="s">
        <v>1835</v>
      </c>
    </row>
    <row r="577" spans="1:2" ht="15" customHeight="1" x14ac:dyDescent="0.25">
      <c r="A577" s="204" t="s">
        <v>1836</v>
      </c>
      <c r="B577" s="204" t="s">
        <v>894</v>
      </c>
    </row>
    <row r="578" spans="1:2" ht="15" customHeight="1" x14ac:dyDescent="0.25">
      <c r="A578" s="203">
        <v>12</v>
      </c>
      <c r="B578" s="203" t="s">
        <v>1837</v>
      </c>
    </row>
    <row r="579" spans="1:2" ht="15" customHeight="1" x14ac:dyDescent="0.25">
      <c r="A579" s="203" t="s">
        <v>1838</v>
      </c>
      <c r="B579" s="203" t="s">
        <v>1839</v>
      </c>
    </row>
    <row r="580" spans="1:2" ht="15" customHeight="1" x14ac:dyDescent="0.25">
      <c r="A580" s="204" t="s">
        <v>1840</v>
      </c>
      <c r="B580" s="204" t="s">
        <v>1841</v>
      </c>
    </row>
    <row r="581" spans="1:2" ht="15" customHeight="1" x14ac:dyDescent="0.25">
      <c r="A581" s="204" t="s">
        <v>1842</v>
      </c>
      <c r="B581" s="204" t="s">
        <v>1843</v>
      </c>
    </row>
    <row r="582" spans="1:2" ht="15" customHeight="1" x14ac:dyDescent="0.25">
      <c r="A582" s="204" t="s">
        <v>1844</v>
      </c>
      <c r="B582" s="204" t="s">
        <v>1845</v>
      </c>
    </row>
    <row r="583" spans="1:2" ht="15" customHeight="1" x14ac:dyDescent="0.25">
      <c r="A583" s="204" t="s">
        <v>1846</v>
      </c>
      <c r="B583" s="204" t="s">
        <v>1847</v>
      </c>
    </row>
    <row r="584" spans="1:2" ht="15" customHeight="1" x14ac:dyDescent="0.25">
      <c r="A584" s="204" t="s">
        <v>1848</v>
      </c>
      <c r="B584" s="204" t="s">
        <v>1849</v>
      </c>
    </row>
    <row r="585" spans="1:2" ht="15" customHeight="1" x14ac:dyDescent="0.25">
      <c r="A585" s="204" t="s">
        <v>1850</v>
      </c>
      <c r="B585" s="204" t="s">
        <v>1851</v>
      </c>
    </row>
    <row r="586" spans="1:2" ht="15" customHeight="1" x14ac:dyDescent="0.25">
      <c r="A586" s="204" t="s">
        <v>1852</v>
      </c>
      <c r="B586" s="204" t="s">
        <v>1853</v>
      </c>
    </row>
    <row r="587" spans="1:2" ht="15" customHeight="1" x14ac:dyDescent="0.25">
      <c r="A587" s="204" t="s">
        <v>1854</v>
      </c>
      <c r="B587" s="204" t="s">
        <v>1855</v>
      </c>
    </row>
    <row r="588" spans="1:2" ht="15" customHeight="1" x14ac:dyDescent="0.25">
      <c r="A588" s="204" t="s">
        <v>1856</v>
      </c>
      <c r="B588" s="204" t="s">
        <v>1857</v>
      </c>
    </row>
    <row r="589" spans="1:2" ht="15" customHeight="1" x14ac:dyDescent="0.25">
      <c r="A589" s="204" t="s">
        <v>1858</v>
      </c>
      <c r="B589" s="204" t="s">
        <v>1859</v>
      </c>
    </row>
    <row r="590" spans="1:2" ht="15" customHeight="1" x14ac:dyDescent="0.25">
      <c r="A590" s="204" t="s">
        <v>1860</v>
      </c>
      <c r="B590" s="204" t="s">
        <v>1861</v>
      </c>
    </row>
    <row r="591" spans="1:2" ht="15" customHeight="1" x14ac:dyDescent="0.25">
      <c r="A591" s="204" t="s">
        <v>1862</v>
      </c>
      <c r="B591" s="204" t="s">
        <v>1863</v>
      </c>
    </row>
    <row r="592" spans="1:2" ht="15" customHeight="1" x14ac:dyDescent="0.25">
      <c r="A592" s="204" t="s">
        <v>1864</v>
      </c>
      <c r="B592" s="204" t="s">
        <v>1865</v>
      </c>
    </row>
    <row r="593" spans="1:2" ht="15" customHeight="1" x14ac:dyDescent="0.25">
      <c r="A593" s="204" t="s">
        <v>1866</v>
      </c>
      <c r="B593" s="204" t="s">
        <v>1867</v>
      </c>
    </row>
    <row r="594" spans="1:2" ht="15" customHeight="1" x14ac:dyDescent="0.25">
      <c r="A594" s="204" t="s">
        <v>1868</v>
      </c>
      <c r="B594" s="204" t="s">
        <v>1869</v>
      </c>
    </row>
    <row r="595" spans="1:2" ht="15" customHeight="1" x14ac:dyDescent="0.25">
      <c r="A595" s="204" t="s">
        <v>1870</v>
      </c>
      <c r="B595" s="204" t="s">
        <v>1871</v>
      </c>
    </row>
    <row r="596" spans="1:2" ht="15" customHeight="1" x14ac:dyDescent="0.25">
      <c r="A596" s="204" t="s">
        <v>1872</v>
      </c>
      <c r="B596" s="204" t="s">
        <v>1873</v>
      </c>
    </row>
    <row r="597" spans="1:2" ht="15" customHeight="1" x14ac:dyDescent="0.25">
      <c r="A597" s="204" t="s">
        <v>1874</v>
      </c>
      <c r="B597" s="204" t="s">
        <v>1875</v>
      </c>
    </row>
    <row r="598" spans="1:2" ht="15" customHeight="1" x14ac:dyDescent="0.25">
      <c r="A598" s="204" t="s">
        <v>1876</v>
      </c>
      <c r="B598" s="204" t="s">
        <v>1877</v>
      </c>
    </row>
    <row r="599" spans="1:2" ht="15" customHeight="1" x14ac:dyDescent="0.25">
      <c r="A599" s="204" t="s">
        <v>1878</v>
      </c>
      <c r="B599" s="204" t="s">
        <v>1879</v>
      </c>
    </row>
    <row r="600" spans="1:2" ht="15" customHeight="1" x14ac:dyDescent="0.25">
      <c r="A600" s="204" t="s">
        <v>1880</v>
      </c>
      <c r="B600" s="204" t="s">
        <v>894</v>
      </c>
    </row>
    <row r="601" spans="1:2" ht="15" customHeight="1" x14ac:dyDescent="0.25">
      <c r="A601" s="203" t="s">
        <v>1881</v>
      </c>
      <c r="B601" s="203" t="s">
        <v>1882</v>
      </c>
    </row>
    <row r="602" spans="1:2" ht="15" customHeight="1" x14ac:dyDescent="0.25">
      <c r="A602" s="204" t="s">
        <v>1883</v>
      </c>
      <c r="B602" s="204" t="s">
        <v>1884</v>
      </c>
    </row>
    <row r="603" spans="1:2" ht="15" customHeight="1" x14ac:dyDescent="0.25">
      <c r="A603" s="204" t="s">
        <v>1885</v>
      </c>
      <c r="B603" s="204" t="s">
        <v>1886</v>
      </c>
    </row>
    <row r="604" spans="1:2" ht="15" customHeight="1" x14ac:dyDescent="0.25">
      <c r="A604" s="203">
        <v>13</v>
      </c>
      <c r="B604" s="203" t="s">
        <v>1887</v>
      </c>
    </row>
    <row r="605" spans="1:2" ht="15" customHeight="1" x14ac:dyDescent="0.25">
      <c r="A605" s="203" t="s">
        <v>1888</v>
      </c>
      <c r="B605" s="203" t="s">
        <v>1889</v>
      </c>
    </row>
    <row r="606" spans="1:2" ht="15" customHeight="1" x14ac:dyDescent="0.25">
      <c r="A606" s="204" t="s">
        <v>1890</v>
      </c>
      <c r="B606" s="204" t="s">
        <v>1891</v>
      </c>
    </row>
    <row r="607" spans="1:2" ht="15" customHeight="1" x14ac:dyDescent="0.25">
      <c r="A607" s="204" t="s">
        <v>1892</v>
      </c>
      <c r="B607" s="204" t="s">
        <v>1893</v>
      </c>
    </row>
    <row r="608" spans="1:2" ht="15" customHeight="1" x14ac:dyDescent="0.25">
      <c r="A608" s="204" t="s">
        <v>1894</v>
      </c>
      <c r="B608" s="204" t="s">
        <v>1895</v>
      </c>
    </row>
    <row r="609" spans="1:2" ht="15" customHeight="1" x14ac:dyDescent="0.25">
      <c r="A609" s="204" t="s">
        <v>1896</v>
      </c>
      <c r="B609" s="204" t="s">
        <v>1897</v>
      </c>
    </row>
    <row r="610" spans="1:2" ht="15" customHeight="1" x14ac:dyDescent="0.25">
      <c r="A610" s="204" t="s">
        <v>1898</v>
      </c>
      <c r="B610" s="204" t="s">
        <v>1899</v>
      </c>
    </row>
    <row r="611" spans="1:2" ht="15" customHeight="1" x14ac:dyDescent="0.25">
      <c r="A611" s="204" t="s">
        <v>1900</v>
      </c>
      <c r="B611" s="204" t="s">
        <v>1901</v>
      </c>
    </row>
    <row r="612" spans="1:2" ht="15" customHeight="1" x14ac:dyDescent="0.25">
      <c r="A612" s="204" t="s">
        <v>1902</v>
      </c>
      <c r="B612" s="204" t="s">
        <v>1903</v>
      </c>
    </row>
    <row r="613" spans="1:2" ht="15" customHeight="1" x14ac:dyDescent="0.25">
      <c r="A613" s="204" t="s">
        <v>1904</v>
      </c>
      <c r="B613" s="204" t="s">
        <v>1905</v>
      </c>
    </row>
    <row r="614" spans="1:2" ht="15" customHeight="1" x14ac:dyDescent="0.25">
      <c r="A614" s="203" t="s">
        <v>1906</v>
      </c>
      <c r="B614" s="203" t="s">
        <v>1907</v>
      </c>
    </row>
    <row r="615" spans="1:2" ht="15" customHeight="1" x14ac:dyDescent="0.25">
      <c r="A615" s="204" t="s">
        <v>1908</v>
      </c>
      <c r="B615" s="204" t="s">
        <v>1909</v>
      </c>
    </row>
    <row r="616" spans="1:2" ht="15" customHeight="1" x14ac:dyDescent="0.25">
      <c r="A616" s="204" t="s">
        <v>1910</v>
      </c>
      <c r="B616" s="204" t="s">
        <v>1911</v>
      </c>
    </row>
    <row r="617" spans="1:2" ht="15" customHeight="1" x14ac:dyDescent="0.25">
      <c r="A617" s="204" t="s">
        <v>1912</v>
      </c>
      <c r="B617" s="204" t="s">
        <v>1913</v>
      </c>
    </row>
    <row r="618" spans="1:2" ht="15" customHeight="1" x14ac:dyDescent="0.25">
      <c r="A618" s="204" t="s">
        <v>1914</v>
      </c>
      <c r="B618" s="204" t="s">
        <v>1915</v>
      </c>
    </row>
    <row r="619" spans="1:2" ht="15" customHeight="1" x14ac:dyDescent="0.25">
      <c r="A619" s="204" t="s">
        <v>1916</v>
      </c>
      <c r="B619" s="204" t="s">
        <v>1917</v>
      </c>
    </row>
    <row r="620" spans="1:2" ht="15" customHeight="1" x14ac:dyDescent="0.25">
      <c r="A620" s="203" t="s">
        <v>1918</v>
      </c>
      <c r="B620" s="203" t="s">
        <v>1919</v>
      </c>
    </row>
    <row r="621" spans="1:2" ht="15" customHeight="1" x14ac:dyDescent="0.25">
      <c r="A621" s="204" t="s">
        <v>1920</v>
      </c>
      <c r="B621" s="204" t="s">
        <v>1921</v>
      </c>
    </row>
    <row r="622" spans="1:2" ht="15" customHeight="1" x14ac:dyDescent="0.25">
      <c r="A622" s="204" t="s">
        <v>1922</v>
      </c>
      <c r="B622" s="204" t="s">
        <v>1923</v>
      </c>
    </row>
    <row r="623" spans="1:2" ht="15" customHeight="1" x14ac:dyDescent="0.25">
      <c r="A623" s="204" t="s">
        <v>1924</v>
      </c>
      <c r="B623" s="204" t="s">
        <v>1925</v>
      </c>
    </row>
    <row r="624" spans="1:2" ht="15" customHeight="1" x14ac:dyDescent="0.25">
      <c r="A624" s="204" t="s">
        <v>1926</v>
      </c>
      <c r="B624" s="204" t="s">
        <v>1927</v>
      </c>
    </row>
    <row r="625" spans="1:2" ht="15" customHeight="1" x14ac:dyDescent="0.25">
      <c r="A625" s="204" t="s">
        <v>1928</v>
      </c>
      <c r="B625" s="204" t="s">
        <v>1929</v>
      </c>
    </row>
    <row r="626" spans="1:2" ht="15" customHeight="1" x14ac:dyDescent="0.25">
      <c r="A626" s="204" t="s">
        <v>1930</v>
      </c>
      <c r="B626" s="204" t="s">
        <v>1931</v>
      </c>
    </row>
    <row r="627" spans="1:2" ht="15" customHeight="1" x14ac:dyDescent="0.25">
      <c r="A627" s="203" t="s">
        <v>1932</v>
      </c>
      <c r="B627" s="203" t="s">
        <v>1933</v>
      </c>
    </row>
    <row r="628" spans="1:2" ht="15" customHeight="1" x14ac:dyDescent="0.25">
      <c r="A628" s="204" t="s">
        <v>1934</v>
      </c>
      <c r="B628" s="204" t="s">
        <v>1935</v>
      </c>
    </row>
    <row r="629" spans="1:2" ht="15" customHeight="1" x14ac:dyDescent="0.25">
      <c r="A629" s="204" t="s">
        <v>1936</v>
      </c>
      <c r="B629" s="204" t="s">
        <v>1937</v>
      </c>
    </row>
    <row r="630" spans="1:2" ht="15" customHeight="1" x14ac:dyDescent="0.25">
      <c r="A630" s="204" t="s">
        <v>1938</v>
      </c>
      <c r="B630" s="204" t="s">
        <v>1939</v>
      </c>
    </row>
    <row r="631" spans="1:2" ht="15" customHeight="1" x14ac:dyDescent="0.25">
      <c r="A631" s="203" t="s">
        <v>1940</v>
      </c>
      <c r="B631" s="203" t="s">
        <v>1941</v>
      </c>
    </row>
    <row r="632" spans="1:2" ht="15" customHeight="1" x14ac:dyDescent="0.25">
      <c r="A632" s="204" t="s">
        <v>1942</v>
      </c>
      <c r="B632" s="204" t="s">
        <v>1943</v>
      </c>
    </row>
    <row r="633" spans="1:2" ht="15" customHeight="1" x14ac:dyDescent="0.25">
      <c r="A633" s="204" t="s">
        <v>1944</v>
      </c>
      <c r="B633" s="204" t="s">
        <v>1945</v>
      </c>
    </row>
    <row r="634" spans="1:2" ht="15" customHeight="1" x14ac:dyDescent="0.25">
      <c r="A634" s="204" t="s">
        <v>1946</v>
      </c>
      <c r="B634" s="204" t="s">
        <v>1947</v>
      </c>
    </row>
    <row r="635" spans="1:2" ht="15" customHeight="1" x14ac:dyDescent="0.25">
      <c r="A635" s="204" t="s">
        <v>1948</v>
      </c>
      <c r="B635" s="204" t="s">
        <v>1949</v>
      </c>
    </row>
    <row r="636" spans="1:2" ht="15" customHeight="1" x14ac:dyDescent="0.25">
      <c r="A636" s="204" t="s">
        <v>1950</v>
      </c>
      <c r="B636" s="204" t="s">
        <v>1951</v>
      </c>
    </row>
    <row r="637" spans="1:2" ht="15" customHeight="1" x14ac:dyDescent="0.25">
      <c r="A637" s="204" t="s">
        <v>1952</v>
      </c>
      <c r="B637" s="204" t="s">
        <v>1953</v>
      </c>
    </row>
    <row r="638" spans="1:2" ht="15" customHeight="1" x14ac:dyDescent="0.25">
      <c r="A638" s="203" t="s">
        <v>1954</v>
      </c>
      <c r="B638" s="203" t="s">
        <v>1955</v>
      </c>
    </row>
    <row r="639" spans="1:2" ht="15" customHeight="1" x14ac:dyDescent="0.25">
      <c r="A639" s="204" t="s">
        <v>1956</v>
      </c>
      <c r="B639" s="204" t="s">
        <v>1957</v>
      </c>
    </row>
    <row r="640" spans="1:2" ht="15" customHeight="1" x14ac:dyDescent="0.25">
      <c r="A640" s="204" t="s">
        <v>1958</v>
      </c>
      <c r="B640" s="204" t="s">
        <v>1959</v>
      </c>
    </row>
    <row r="641" spans="1:2" ht="15" customHeight="1" x14ac:dyDescent="0.25">
      <c r="A641" s="204" t="s">
        <v>1960</v>
      </c>
      <c r="B641" s="204" t="s">
        <v>1961</v>
      </c>
    </row>
    <row r="642" spans="1:2" ht="15" customHeight="1" x14ac:dyDescent="0.25">
      <c r="A642" s="203" t="s">
        <v>1962</v>
      </c>
      <c r="B642" s="203" t="s">
        <v>1963</v>
      </c>
    </row>
    <row r="643" spans="1:2" ht="15" customHeight="1" x14ac:dyDescent="0.25">
      <c r="A643" s="204" t="s">
        <v>1964</v>
      </c>
      <c r="B643" s="204" t="s">
        <v>1965</v>
      </c>
    </row>
    <row r="644" spans="1:2" ht="15" customHeight="1" x14ac:dyDescent="0.25">
      <c r="A644" s="204" t="s">
        <v>1966</v>
      </c>
      <c r="B644" s="204" t="s">
        <v>1967</v>
      </c>
    </row>
    <row r="645" spans="1:2" ht="15" customHeight="1" x14ac:dyDescent="0.25">
      <c r="A645" s="204" t="s">
        <v>1968</v>
      </c>
      <c r="B645" s="204" t="s">
        <v>894</v>
      </c>
    </row>
    <row r="646" spans="1:2" ht="15" customHeight="1" x14ac:dyDescent="0.25">
      <c r="A646" s="203">
        <v>14</v>
      </c>
      <c r="B646" s="203" t="s">
        <v>1969</v>
      </c>
    </row>
    <row r="647" spans="1:2" ht="15" customHeight="1" x14ac:dyDescent="0.25">
      <c r="A647" s="203" t="s">
        <v>1970</v>
      </c>
      <c r="B647" s="203" t="s">
        <v>1971</v>
      </c>
    </row>
    <row r="648" spans="1:2" ht="15" customHeight="1" x14ac:dyDescent="0.25">
      <c r="A648" s="204" t="s">
        <v>1972</v>
      </c>
      <c r="B648" s="204" t="s">
        <v>1973</v>
      </c>
    </row>
    <row r="649" spans="1:2" ht="15" customHeight="1" x14ac:dyDescent="0.25">
      <c r="A649" s="204" t="s">
        <v>1974</v>
      </c>
      <c r="B649" s="204" t="s">
        <v>1975</v>
      </c>
    </row>
    <row r="650" spans="1:2" ht="15" customHeight="1" x14ac:dyDescent="0.25">
      <c r="A650" s="204" t="s">
        <v>1976</v>
      </c>
      <c r="B650" s="204" t="s">
        <v>1977</v>
      </c>
    </row>
    <row r="651" spans="1:2" ht="15" customHeight="1" x14ac:dyDescent="0.25">
      <c r="A651" s="204" t="s">
        <v>1978</v>
      </c>
      <c r="B651" s="204" t="s">
        <v>1979</v>
      </c>
    </row>
    <row r="652" spans="1:2" ht="15" customHeight="1" x14ac:dyDescent="0.25">
      <c r="A652" s="204" t="s">
        <v>1980</v>
      </c>
      <c r="B652" s="204" t="s">
        <v>1981</v>
      </c>
    </row>
    <row r="653" spans="1:2" ht="15" customHeight="1" x14ac:dyDescent="0.25">
      <c r="A653" s="203">
        <v>15</v>
      </c>
      <c r="B653" s="203" t="s">
        <v>1982</v>
      </c>
    </row>
    <row r="654" spans="1:2" ht="15" customHeight="1" x14ac:dyDescent="0.25">
      <c r="A654" s="203" t="s">
        <v>1983</v>
      </c>
      <c r="B654" s="203" t="s">
        <v>1984</v>
      </c>
    </row>
    <row r="655" spans="1:2" ht="15" customHeight="1" x14ac:dyDescent="0.25">
      <c r="A655" s="204" t="s">
        <v>1985</v>
      </c>
      <c r="B655" s="204" t="s">
        <v>1986</v>
      </c>
    </row>
    <row r="656" spans="1:2" ht="15" customHeight="1" x14ac:dyDescent="0.25">
      <c r="A656" s="204" t="s">
        <v>1987</v>
      </c>
      <c r="B656" s="204" t="s">
        <v>1988</v>
      </c>
    </row>
    <row r="657" spans="1:2" ht="15" customHeight="1" x14ac:dyDescent="0.25">
      <c r="A657" s="204" t="s">
        <v>1989</v>
      </c>
      <c r="B657" s="204" t="s">
        <v>1990</v>
      </c>
    </row>
    <row r="658" spans="1:2" ht="15" customHeight="1" x14ac:dyDescent="0.25">
      <c r="A658" s="204" t="s">
        <v>1991</v>
      </c>
      <c r="B658" s="204" t="s">
        <v>1992</v>
      </c>
    </row>
    <row r="659" spans="1:2" ht="15" customHeight="1" x14ac:dyDescent="0.25">
      <c r="A659" s="204" t="s">
        <v>1993</v>
      </c>
      <c r="B659" s="204" t="s">
        <v>1994</v>
      </c>
    </row>
    <row r="660" spans="1:2" ht="15" customHeight="1" x14ac:dyDescent="0.25">
      <c r="A660" s="204" t="s">
        <v>1995</v>
      </c>
      <c r="B660" s="204" t="s">
        <v>1996</v>
      </c>
    </row>
    <row r="661" spans="1:2" ht="15" customHeight="1" x14ac:dyDescent="0.25">
      <c r="A661" s="204" t="s">
        <v>1997</v>
      </c>
      <c r="B661" s="204" t="s">
        <v>1998</v>
      </c>
    </row>
    <row r="662" spans="1:2" ht="15" customHeight="1" x14ac:dyDescent="0.25">
      <c r="A662" s="204" t="s">
        <v>1999</v>
      </c>
      <c r="B662" s="204" t="s">
        <v>2000</v>
      </c>
    </row>
    <row r="663" spans="1:2" ht="15" customHeight="1" x14ac:dyDescent="0.25">
      <c r="A663" s="204" t="s">
        <v>2001</v>
      </c>
      <c r="B663" s="204" t="s">
        <v>2002</v>
      </c>
    </row>
    <row r="664" spans="1:2" ht="15" customHeight="1" x14ac:dyDescent="0.25">
      <c r="A664" s="204" t="s">
        <v>2003</v>
      </c>
      <c r="B664" s="204" t="s">
        <v>2004</v>
      </c>
    </row>
    <row r="665" spans="1:2" ht="15" customHeight="1" x14ac:dyDescent="0.25">
      <c r="A665" s="203" t="s">
        <v>2005</v>
      </c>
      <c r="B665" s="203" t="s">
        <v>2006</v>
      </c>
    </row>
    <row r="666" spans="1:2" ht="15" customHeight="1" x14ac:dyDescent="0.25">
      <c r="A666" s="204" t="s">
        <v>2007</v>
      </c>
      <c r="B666" s="204" t="s">
        <v>2008</v>
      </c>
    </row>
    <row r="667" spans="1:2" ht="15" customHeight="1" x14ac:dyDescent="0.25">
      <c r="A667" s="204" t="s">
        <v>2009</v>
      </c>
      <c r="B667" s="204" t="s">
        <v>2010</v>
      </c>
    </row>
    <row r="668" spans="1:2" ht="15" customHeight="1" x14ac:dyDescent="0.25">
      <c r="A668" s="203">
        <v>16</v>
      </c>
      <c r="B668" s="203" t="s">
        <v>2011</v>
      </c>
    </row>
    <row r="669" spans="1:2" ht="15" customHeight="1" x14ac:dyDescent="0.25">
      <c r="A669" s="203" t="s">
        <v>2012</v>
      </c>
      <c r="B669" s="203" t="s">
        <v>2013</v>
      </c>
    </row>
    <row r="670" spans="1:2" ht="15" customHeight="1" x14ac:dyDescent="0.25">
      <c r="A670" s="204" t="s">
        <v>2014</v>
      </c>
      <c r="B670" s="204" t="s">
        <v>2015</v>
      </c>
    </row>
    <row r="671" spans="1:2" ht="15" customHeight="1" x14ac:dyDescent="0.25">
      <c r="A671" s="204" t="s">
        <v>2016</v>
      </c>
      <c r="B671" s="204" t="s">
        <v>2017</v>
      </c>
    </row>
    <row r="672" spans="1:2" ht="15" customHeight="1" x14ac:dyDescent="0.25">
      <c r="A672" s="204" t="s">
        <v>2018</v>
      </c>
      <c r="B672" s="204" t="s">
        <v>2019</v>
      </c>
    </row>
    <row r="673" spans="1:2" ht="15" customHeight="1" x14ac:dyDescent="0.25">
      <c r="A673" s="204" t="s">
        <v>2020</v>
      </c>
      <c r="B673" s="204" t="s">
        <v>2021</v>
      </c>
    </row>
    <row r="674" spans="1:2" ht="15" customHeight="1" x14ac:dyDescent="0.25">
      <c r="A674" s="204" t="s">
        <v>2022</v>
      </c>
      <c r="B674" s="204" t="s">
        <v>2023</v>
      </c>
    </row>
    <row r="675" spans="1:2" ht="15" customHeight="1" x14ac:dyDescent="0.25">
      <c r="A675" s="204" t="s">
        <v>2024</v>
      </c>
      <c r="B675" s="204" t="s">
        <v>2025</v>
      </c>
    </row>
    <row r="676" spans="1:2" ht="15" customHeight="1" x14ac:dyDescent="0.25">
      <c r="A676" s="204" t="s">
        <v>2026</v>
      </c>
      <c r="B676" s="204" t="s">
        <v>2027</v>
      </c>
    </row>
    <row r="677" spans="1:2" ht="15" customHeight="1" x14ac:dyDescent="0.25">
      <c r="A677" s="204" t="s">
        <v>2028</v>
      </c>
      <c r="B677" s="204" t="s">
        <v>2029</v>
      </c>
    </row>
    <row r="678" spans="1:2" ht="15" customHeight="1" x14ac:dyDescent="0.25">
      <c r="A678" s="204" t="s">
        <v>2030</v>
      </c>
      <c r="B678" s="204" t="s">
        <v>2031</v>
      </c>
    </row>
    <row r="679" spans="1:2" ht="15" customHeight="1" x14ac:dyDescent="0.25">
      <c r="A679" s="204" t="s">
        <v>2032</v>
      </c>
      <c r="B679" s="204" t="s">
        <v>2033</v>
      </c>
    </row>
    <row r="680" spans="1:2" ht="15" customHeight="1" x14ac:dyDescent="0.25">
      <c r="A680" s="204" t="s">
        <v>2034</v>
      </c>
      <c r="B680" s="204" t="s">
        <v>2035</v>
      </c>
    </row>
    <row r="681" spans="1:2" ht="15" customHeight="1" x14ac:dyDescent="0.25">
      <c r="A681" s="204" t="s">
        <v>2036</v>
      </c>
      <c r="B681" s="204" t="s">
        <v>2037</v>
      </c>
    </row>
    <row r="682" spans="1:2" ht="15" customHeight="1" x14ac:dyDescent="0.25">
      <c r="A682" s="204" t="s">
        <v>2038</v>
      </c>
      <c r="B682" s="204" t="s">
        <v>2039</v>
      </c>
    </row>
    <row r="683" spans="1:2" ht="15" customHeight="1" x14ac:dyDescent="0.25">
      <c r="A683" s="204" t="s">
        <v>2040</v>
      </c>
      <c r="B683" s="204" t="s">
        <v>2041</v>
      </c>
    </row>
    <row r="684" spans="1:2" ht="15" customHeight="1" x14ac:dyDescent="0.25">
      <c r="A684" s="204" t="s">
        <v>2042</v>
      </c>
      <c r="B684" s="204" t="s">
        <v>2043</v>
      </c>
    </row>
    <row r="685" spans="1:2" ht="15" customHeight="1" x14ac:dyDescent="0.25">
      <c r="A685" s="204" t="s">
        <v>2044</v>
      </c>
      <c r="B685" s="204" t="s">
        <v>2045</v>
      </c>
    </row>
    <row r="686" spans="1:2" ht="15" customHeight="1" x14ac:dyDescent="0.25">
      <c r="A686" s="204" t="s">
        <v>2046</v>
      </c>
      <c r="B686" s="204" t="s">
        <v>2047</v>
      </c>
    </row>
    <row r="687" spans="1:2" ht="15" customHeight="1" x14ac:dyDescent="0.25">
      <c r="A687" s="204" t="s">
        <v>2048</v>
      </c>
      <c r="B687" s="204" t="s">
        <v>2049</v>
      </c>
    </row>
    <row r="688" spans="1:2" ht="15" customHeight="1" x14ac:dyDescent="0.25">
      <c r="A688" s="204" t="s">
        <v>2050</v>
      </c>
      <c r="B688" s="204" t="s">
        <v>2051</v>
      </c>
    </row>
    <row r="689" spans="1:2" ht="15" customHeight="1" x14ac:dyDescent="0.25">
      <c r="A689" s="204" t="s">
        <v>2052</v>
      </c>
      <c r="B689" s="204" t="s">
        <v>894</v>
      </c>
    </row>
    <row r="690" spans="1:2" ht="15" customHeight="1" x14ac:dyDescent="0.25">
      <c r="A690" s="203" t="s">
        <v>2053</v>
      </c>
      <c r="B690" s="203" t="s">
        <v>2054</v>
      </c>
    </row>
    <row r="691" spans="1:2" ht="15" customHeight="1" x14ac:dyDescent="0.25">
      <c r="A691" s="204" t="s">
        <v>2055</v>
      </c>
      <c r="B691" s="204" t="s">
        <v>2056</v>
      </c>
    </row>
    <row r="692" spans="1:2" ht="15" customHeight="1" x14ac:dyDescent="0.25">
      <c r="A692" s="204" t="s">
        <v>2057</v>
      </c>
      <c r="B692" s="204" t="s">
        <v>2058</v>
      </c>
    </row>
    <row r="693" spans="1:2" ht="15" customHeight="1" x14ac:dyDescent="0.25">
      <c r="A693" s="204" t="s">
        <v>2059</v>
      </c>
      <c r="B693" s="204" t="s">
        <v>2060</v>
      </c>
    </row>
    <row r="694" spans="1:2" ht="15" customHeight="1" x14ac:dyDescent="0.25">
      <c r="A694" s="204" t="s">
        <v>2061</v>
      </c>
      <c r="B694" s="204" t="s">
        <v>2062</v>
      </c>
    </row>
    <row r="695" spans="1:2" ht="15" customHeight="1" x14ac:dyDescent="0.25">
      <c r="A695" s="204" t="s">
        <v>2063</v>
      </c>
      <c r="B695" s="204" t="s">
        <v>2064</v>
      </c>
    </row>
    <row r="696" spans="1:2" ht="15" customHeight="1" x14ac:dyDescent="0.25">
      <c r="A696" s="204" t="s">
        <v>2065</v>
      </c>
      <c r="B696" s="204" t="s">
        <v>2066</v>
      </c>
    </row>
    <row r="697" spans="1:2" ht="15" customHeight="1" x14ac:dyDescent="0.25">
      <c r="A697" s="204" t="s">
        <v>2067</v>
      </c>
      <c r="B697" s="204" t="s">
        <v>2068</v>
      </c>
    </row>
    <row r="698" spans="1:2" ht="15" customHeight="1" x14ac:dyDescent="0.25">
      <c r="A698" s="204" t="s">
        <v>2069</v>
      </c>
      <c r="B698" s="204" t="s">
        <v>2070</v>
      </c>
    </row>
    <row r="699" spans="1:2" ht="15" customHeight="1" x14ac:dyDescent="0.25">
      <c r="A699" s="203" t="s">
        <v>2071</v>
      </c>
      <c r="B699" s="203" t="s">
        <v>2072</v>
      </c>
    </row>
    <row r="700" spans="1:2" ht="15" customHeight="1" x14ac:dyDescent="0.25">
      <c r="A700" s="204" t="s">
        <v>2073</v>
      </c>
      <c r="B700" s="204" t="s">
        <v>2074</v>
      </c>
    </row>
    <row r="701" spans="1:2" ht="15" customHeight="1" x14ac:dyDescent="0.25">
      <c r="A701" s="204" t="s">
        <v>2075</v>
      </c>
      <c r="B701" s="204" t="s">
        <v>2076</v>
      </c>
    </row>
    <row r="702" spans="1:2" ht="15" customHeight="1" x14ac:dyDescent="0.25">
      <c r="A702" s="204" t="s">
        <v>2077</v>
      </c>
      <c r="B702" s="204" t="s">
        <v>2078</v>
      </c>
    </row>
    <row r="703" spans="1:2" ht="15" customHeight="1" x14ac:dyDescent="0.25">
      <c r="A703" s="204" t="s">
        <v>2079</v>
      </c>
      <c r="B703" s="204" t="s">
        <v>2080</v>
      </c>
    </row>
    <row r="704" spans="1:2" ht="15" customHeight="1" x14ac:dyDescent="0.25">
      <c r="A704" s="204" t="s">
        <v>2081</v>
      </c>
      <c r="B704" s="204" t="s">
        <v>2082</v>
      </c>
    </row>
    <row r="705" spans="1:2" ht="15" customHeight="1" x14ac:dyDescent="0.25">
      <c r="A705" s="203" t="s">
        <v>2083</v>
      </c>
      <c r="B705" s="203" t="s">
        <v>2084</v>
      </c>
    </row>
    <row r="706" spans="1:2" ht="15" customHeight="1" x14ac:dyDescent="0.25">
      <c r="A706" s="204" t="s">
        <v>2085</v>
      </c>
      <c r="B706" s="204" t="s">
        <v>2086</v>
      </c>
    </row>
    <row r="707" spans="1:2" ht="15" customHeight="1" x14ac:dyDescent="0.25">
      <c r="A707" s="204" t="s">
        <v>2087</v>
      </c>
      <c r="B707" s="204" t="s">
        <v>2088</v>
      </c>
    </row>
    <row r="708" spans="1:2" ht="15" customHeight="1" x14ac:dyDescent="0.25">
      <c r="A708" s="204" t="s">
        <v>2089</v>
      </c>
      <c r="B708" s="204" t="s">
        <v>2090</v>
      </c>
    </row>
    <row r="709" spans="1:2" ht="15" customHeight="1" x14ac:dyDescent="0.25">
      <c r="A709" s="203" t="s">
        <v>2091</v>
      </c>
      <c r="B709" s="203" t="s">
        <v>2092</v>
      </c>
    </row>
    <row r="710" spans="1:2" ht="15" customHeight="1" x14ac:dyDescent="0.25">
      <c r="A710" s="204" t="s">
        <v>2093</v>
      </c>
      <c r="B710" s="204" t="s">
        <v>2094</v>
      </c>
    </row>
    <row r="711" spans="1:2" ht="15" customHeight="1" x14ac:dyDescent="0.25">
      <c r="A711" s="204" t="s">
        <v>2095</v>
      </c>
      <c r="B711" s="204" t="s">
        <v>2096</v>
      </c>
    </row>
    <row r="712" spans="1:2" ht="15" customHeight="1" x14ac:dyDescent="0.25">
      <c r="A712" s="204" t="s">
        <v>2097</v>
      </c>
      <c r="B712" s="204" t="s">
        <v>2098</v>
      </c>
    </row>
    <row r="713" spans="1:2" ht="15" customHeight="1" x14ac:dyDescent="0.25">
      <c r="A713" s="204" t="s">
        <v>2099</v>
      </c>
      <c r="B713" s="204" t="s">
        <v>2100</v>
      </c>
    </row>
    <row r="714" spans="1:2" ht="15" customHeight="1" x14ac:dyDescent="0.25">
      <c r="A714" s="204" t="s">
        <v>2101</v>
      </c>
      <c r="B714" s="204" t="s">
        <v>2102</v>
      </c>
    </row>
    <row r="715" spans="1:2" ht="15" customHeight="1" x14ac:dyDescent="0.25">
      <c r="A715" s="204" t="s">
        <v>2103</v>
      </c>
      <c r="B715" s="204" t="s">
        <v>2104</v>
      </c>
    </row>
    <row r="716" spans="1:2" ht="15" customHeight="1" x14ac:dyDescent="0.25">
      <c r="A716" s="203" t="s">
        <v>2105</v>
      </c>
      <c r="B716" s="203" t="s">
        <v>2106</v>
      </c>
    </row>
    <row r="717" spans="1:2" ht="15" customHeight="1" x14ac:dyDescent="0.25">
      <c r="A717" s="204" t="s">
        <v>2107</v>
      </c>
      <c r="B717" s="204" t="s">
        <v>2108</v>
      </c>
    </row>
    <row r="718" spans="1:2" ht="15" customHeight="1" x14ac:dyDescent="0.25">
      <c r="A718" s="204" t="s">
        <v>2109</v>
      </c>
      <c r="B718" s="204" t="s">
        <v>2110</v>
      </c>
    </row>
    <row r="719" spans="1:2" ht="15" customHeight="1" x14ac:dyDescent="0.25">
      <c r="A719" s="204" t="s">
        <v>2111</v>
      </c>
      <c r="B719" s="204" t="s">
        <v>2112</v>
      </c>
    </row>
    <row r="720" spans="1:2" ht="15" customHeight="1" x14ac:dyDescent="0.25">
      <c r="A720" s="204" t="s">
        <v>2113</v>
      </c>
      <c r="B720" s="204" t="s">
        <v>2114</v>
      </c>
    </row>
    <row r="721" spans="1:2" ht="15" customHeight="1" x14ac:dyDescent="0.25">
      <c r="A721" s="204" t="s">
        <v>2115</v>
      </c>
      <c r="B721" s="204" t="s">
        <v>2116</v>
      </c>
    </row>
    <row r="722" spans="1:2" ht="15" customHeight="1" x14ac:dyDescent="0.25">
      <c r="A722" s="204" t="s">
        <v>2117</v>
      </c>
      <c r="B722" s="204" t="s">
        <v>2118</v>
      </c>
    </row>
    <row r="723" spans="1:2" ht="15" customHeight="1" x14ac:dyDescent="0.25">
      <c r="A723" s="203" t="s">
        <v>2119</v>
      </c>
      <c r="B723" s="203" t="s">
        <v>2120</v>
      </c>
    </row>
    <row r="724" spans="1:2" ht="15" customHeight="1" x14ac:dyDescent="0.25">
      <c r="A724" s="204" t="s">
        <v>2121</v>
      </c>
      <c r="B724" s="204" t="s">
        <v>2122</v>
      </c>
    </row>
    <row r="725" spans="1:2" ht="15" customHeight="1" x14ac:dyDescent="0.25">
      <c r="A725" s="204" t="s">
        <v>2123</v>
      </c>
      <c r="B725" s="204" t="s">
        <v>2124</v>
      </c>
    </row>
    <row r="726" spans="1:2" ht="15" customHeight="1" x14ac:dyDescent="0.25">
      <c r="A726" s="204" t="s">
        <v>2125</v>
      </c>
      <c r="B726" s="204" t="s">
        <v>894</v>
      </c>
    </row>
    <row r="727" spans="1:2" ht="15" customHeight="1" x14ac:dyDescent="0.25">
      <c r="A727" s="203" t="s">
        <v>2126</v>
      </c>
      <c r="B727" s="203" t="s">
        <v>2127</v>
      </c>
    </row>
    <row r="728" spans="1:2" ht="15" customHeight="1" x14ac:dyDescent="0.25">
      <c r="A728" s="204" t="s">
        <v>2128</v>
      </c>
      <c r="B728" s="204" t="s">
        <v>2129</v>
      </c>
    </row>
    <row r="729" spans="1:2" ht="15" customHeight="1" x14ac:dyDescent="0.25">
      <c r="A729" s="204" t="s">
        <v>2130</v>
      </c>
      <c r="B729" s="204" t="s">
        <v>2131</v>
      </c>
    </row>
    <row r="730" spans="1:2" ht="15" customHeight="1" x14ac:dyDescent="0.25">
      <c r="A730" s="204" t="s">
        <v>2132</v>
      </c>
      <c r="B730" s="204" t="s">
        <v>2133</v>
      </c>
    </row>
    <row r="731" spans="1:2" ht="15" customHeight="1" x14ac:dyDescent="0.25">
      <c r="A731" s="204" t="s">
        <v>2134</v>
      </c>
      <c r="B731" s="204" t="s">
        <v>2135</v>
      </c>
    </row>
    <row r="732" spans="1:2" ht="15" customHeight="1" x14ac:dyDescent="0.25">
      <c r="A732" s="204" t="s">
        <v>2136</v>
      </c>
      <c r="B732" s="204" t="s">
        <v>2137</v>
      </c>
    </row>
    <row r="733" spans="1:2" ht="15" customHeight="1" x14ac:dyDescent="0.25">
      <c r="A733" s="204" t="s">
        <v>2138</v>
      </c>
      <c r="B733" s="204" t="s">
        <v>2139</v>
      </c>
    </row>
    <row r="734" spans="1:2" ht="15" customHeight="1" x14ac:dyDescent="0.25">
      <c r="A734" s="204" t="s">
        <v>2140</v>
      </c>
      <c r="B734" s="204" t="s">
        <v>2141</v>
      </c>
    </row>
    <row r="735" spans="1:2" ht="15" customHeight="1" x14ac:dyDescent="0.25">
      <c r="A735" s="203" t="s">
        <v>2142</v>
      </c>
      <c r="B735" s="203" t="s">
        <v>2143</v>
      </c>
    </row>
    <row r="736" spans="1:2" ht="15" customHeight="1" x14ac:dyDescent="0.25">
      <c r="A736" s="204" t="s">
        <v>2144</v>
      </c>
      <c r="B736" s="204" t="s">
        <v>2145</v>
      </c>
    </row>
    <row r="737" spans="1:2" ht="15" customHeight="1" x14ac:dyDescent="0.25">
      <c r="A737" s="204" t="s">
        <v>2146</v>
      </c>
      <c r="B737" s="204" t="s">
        <v>2147</v>
      </c>
    </row>
    <row r="738" spans="1:2" ht="15" customHeight="1" x14ac:dyDescent="0.25">
      <c r="A738" s="204" t="s">
        <v>2148</v>
      </c>
      <c r="B738" s="204" t="s">
        <v>2149</v>
      </c>
    </row>
    <row r="739" spans="1:2" ht="15" customHeight="1" x14ac:dyDescent="0.25">
      <c r="A739" s="204" t="s">
        <v>2150</v>
      </c>
      <c r="B739" s="204" t="s">
        <v>2151</v>
      </c>
    </row>
    <row r="740" spans="1:2" ht="15" customHeight="1" x14ac:dyDescent="0.25">
      <c r="A740" s="203" t="s">
        <v>2152</v>
      </c>
      <c r="B740" s="203" t="s">
        <v>2153</v>
      </c>
    </row>
    <row r="741" spans="1:2" ht="15" customHeight="1" x14ac:dyDescent="0.25">
      <c r="A741" s="204" t="s">
        <v>2154</v>
      </c>
      <c r="B741" s="204" t="s">
        <v>2155</v>
      </c>
    </row>
    <row r="742" spans="1:2" ht="15" customHeight="1" x14ac:dyDescent="0.25">
      <c r="A742" s="204" t="s">
        <v>2156</v>
      </c>
      <c r="B742" s="204" t="s">
        <v>2157</v>
      </c>
    </row>
    <row r="743" spans="1:2" ht="15" customHeight="1" x14ac:dyDescent="0.25">
      <c r="A743" s="204" t="s">
        <v>2158</v>
      </c>
      <c r="B743" s="204" t="s">
        <v>2159</v>
      </c>
    </row>
    <row r="744" spans="1:2" ht="15" customHeight="1" x14ac:dyDescent="0.25">
      <c r="A744" s="204" t="s">
        <v>2160</v>
      </c>
      <c r="B744" s="204" t="s">
        <v>2161</v>
      </c>
    </row>
    <row r="745" spans="1:2" ht="15" customHeight="1" x14ac:dyDescent="0.25">
      <c r="A745" s="203" t="s">
        <v>2162</v>
      </c>
      <c r="B745" s="203" t="s">
        <v>2163</v>
      </c>
    </row>
    <row r="746" spans="1:2" ht="15" customHeight="1" x14ac:dyDescent="0.25">
      <c r="A746" s="204" t="s">
        <v>2164</v>
      </c>
      <c r="B746" s="204" t="s">
        <v>2165</v>
      </c>
    </row>
    <row r="747" spans="1:2" ht="15" customHeight="1" x14ac:dyDescent="0.25">
      <c r="A747" s="204" t="s">
        <v>2166</v>
      </c>
      <c r="B747" s="204" t="s">
        <v>2167</v>
      </c>
    </row>
    <row r="748" spans="1:2" ht="15" customHeight="1" x14ac:dyDescent="0.25">
      <c r="A748" s="204" t="s">
        <v>2168</v>
      </c>
      <c r="B748" s="204" t="s">
        <v>2169</v>
      </c>
    </row>
    <row r="749" spans="1:2" ht="15" customHeight="1" x14ac:dyDescent="0.25">
      <c r="A749" s="204" t="s">
        <v>2170</v>
      </c>
      <c r="B749" s="204" t="s">
        <v>2171</v>
      </c>
    </row>
    <row r="750" spans="1:2" ht="15" customHeight="1" x14ac:dyDescent="0.25">
      <c r="A750" s="204" t="s">
        <v>2172</v>
      </c>
      <c r="B750" s="204" t="s">
        <v>2173</v>
      </c>
    </row>
    <row r="751" spans="1:2" ht="15" customHeight="1" x14ac:dyDescent="0.25">
      <c r="A751" s="204" t="s">
        <v>2174</v>
      </c>
      <c r="B751" s="204" t="s">
        <v>2175</v>
      </c>
    </row>
    <row r="752" spans="1:2" ht="15" customHeight="1" x14ac:dyDescent="0.25">
      <c r="A752" s="203">
        <v>17</v>
      </c>
      <c r="B752" s="203" t="s">
        <v>2176</v>
      </c>
    </row>
    <row r="753" spans="1:2" ht="15" customHeight="1" x14ac:dyDescent="0.25">
      <c r="A753" s="203" t="s">
        <v>2177</v>
      </c>
      <c r="B753" s="203" t="s">
        <v>2178</v>
      </c>
    </row>
    <row r="754" spans="1:2" ht="15" customHeight="1" x14ac:dyDescent="0.25">
      <c r="A754" s="204" t="s">
        <v>2179</v>
      </c>
      <c r="B754" s="204" t="s">
        <v>2180</v>
      </c>
    </row>
    <row r="755" spans="1:2" ht="15" customHeight="1" x14ac:dyDescent="0.25">
      <c r="A755" s="204" t="s">
        <v>2181</v>
      </c>
      <c r="B755" s="204" t="s">
        <v>2182</v>
      </c>
    </row>
    <row r="756" spans="1:2" ht="15" customHeight="1" x14ac:dyDescent="0.25">
      <c r="A756" s="204" t="s">
        <v>2183</v>
      </c>
      <c r="B756" s="204" t="s">
        <v>2184</v>
      </c>
    </row>
    <row r="757" spans="1:2" ht="15" customHeight="1" x14ac:dyDescent="0.25">
      <c r="A757" s="204" t="s">
        <v>2185</v>
      </c>
      <c r="B757" s="204" t="s">
        <v>2186</v>
      </c>
    </row>
    <row r="758" spans="1:2" ht="15" customHeight="1" x14ac:dyDescent="0.25">
      <c r="A758" s="204" t="s">
        <v>2187</v>
      </c>
      <c r="B758" s="204" t="s">
        <v>2188</v>
      </c>
    </row>
    <row r="759" spans="1:2" ht="15" customHeight="1" x14ac:dyDescent="0.25">
      <c r="A759" s="203" t="s">
        <v>2189</v>
      </c>
      <c r="B759" s="203" t="s">
        <v>2190</v>
      </c>
    </row>
    <row r="760" spans="1:2" ht="15" customHeight="1" x14ac:dyDescent="0.25">
      <c r="A760" s="204" t="s">
        <v>2191</v>
      </c>
      <c r="B760" s="204" t="s">
        <v>2192</v>
      </c>
    </row>
    <row r="761" spans="1:2" ht="15" customHeight="1" x14ac:dyDescent="0.25">
      <c r="A761" s="204" t="s">
        <v>2193</v>
      </c>
      <c r="B761" s="204" t="s">
        <v>2047</v>
      </c>
    </row>
    <row r="762" spans="1:2" ht="15" customHeight="1" x14ac:dyDescent="0.25">
      <c r="A762" s="204" t="s">
        <v>2194</v>
      </c>
      <c r="B762" s="204" t="s">
        <v>2195</v>
      </c>
    </row>
    <row r="763" spans="1:2" ht="15" customHeight="1" x14ac:dyDescent="0.25">
      <c r="A763" s="204" t="s">
        <v>2196</v>
      </c>
      <c r="B763" s="204" t="s">
        <v>2197</v>
      </c>
    </row>
    <row r="764" spans="1:2" ht="15" customHeight="1" x14ac:dyDescent="0.25">
      <c r="A764" s="203" t="s">
        <v>2198</v>
      </c>
      <c r="B764" s="203" t="s">
        <v>2199</v>
      </c>
    </row>
    <row r="765" spans="1:2" ht="15" customHeight="1" x14ac:dyDescent="0.25">
      <c r="A765" s="204" t="s">
        <v>2200</v>
      </c>
      <c r="B765" s="204" t="s">
        <v>2201</v>
      </c>
    </row>
    <row r="766" spans="1:2" ht="15" customHeight="1" x14ac:dyDescent="0.25">
      <c r="A766" s="204" t="s">
        <v>2202</v>
      </c>
      <c r="B766" s="204" t="s">
        <v>2203</v>
      </c>
    </row>
    <row r="767" spans="1:2" ht="15" customHeight="1" x14ac:dyDescent="0.25">
      <c r="A767" s="204" t="s">
        <v>2204</v>
      </c>
      <c r="B767" s="204" t="s">
        <v>2205</v>
      </c>
    </row>
    <row r="768" spans="1:2" ht="15" customHeight="1" x14ac:dyDescent="0.25">
      <c r="A768" s="203" t="s">
        <v>2206</v>
      </c>
      <c r="B768" s="203" t="s">
        <v>2207</v>
      </c>
    </row>
    <row r="769" spans="1:2" ht="15" customHeight="1" x14ac:dyDescent="0.25">
      <c r="A769" s="204" t="s">
        <v>2208</v>
      </c>
      <c r="B769" s="204" t="s">
        <v>2209</v>
      </c>
    </row>
    <row r="770" spans="1:2" ht="15" customHeight="1" x14ac:dyDescent="0.25">
      <c r="A770" s="204" t="s">
        <v>2210</v>
      </c>
      <c r="B770" s="204" t="s">
        <v>2211</v>
      </c>
    </row>
    <row r="771" spans="1:2" ht="15" customHeight="1" x14ac:dyDescent="0.25">
      <c r="A771" s="204" t="s">
        <v>2212</v>
      </c>
      <c r="B771" s="204" t="s">
        <v>2213</v>
      </c>
    </row>
    <row r="772" spans="1:2" ht="15" customHeight="1" x14ac:dyDescent="0.25">
      <c r="A772" s="204" t="s">
        <v>2214</v>
      </c>
      <c r="B772" s="204" t="s">
        <v>2215</v>
      </c>
    </row>
    <row r="773" spans="1:2" ht="15" customHeight="1" x14ac:dyDescent="0.25">
      <c r="A773" s="204" t="s">
        <v>2216</v>
      </c>
      <c r="B773" s="204" t="s">
        <v>2217</v>
      </c>
    </row>
    <row r="774" spans="1:2" ht="15" customHeight="1" x14ac:dyDescent="0.25">
      <c r="A774" s="204" t="s">
        <v>2218</v>
      </c>
      <c r="B774" s="204" t="s">
        <v>2219</v>
      </c>
    </row>
    <row r="775" spans="1:2" ht="15" customHeight="1" x14ac:dyDescent="0.25">
      <c r="A775" s="204" t="s">
        <v>2220</v>
      </c>
      <c r="B775" s="204" t="s">
        <v>2221</v>
      </c>
    </row>
    <row r="776" spans="1:2" ht="15" customHeight="1" x14ac:dyDescent="0.25">
      <c r="A776" s="204" t="s">
        <v>2222</v>
      </c>
      <c r="B776" s="204" t="s">
        <v>2223</v>
      </c>
    </row>
    <row r="777" spans="1:2" ht="15" customHeight="1" x14ac:dyDescent="0.25">
      <c r="A777" s="204" t="s">
        <v>2224</v>
      </c>
      <c r="B777" s="204" t="s">
        <v>2225</v>
      </c>
    </row>
    <row r="778" spans="1:2" ht="15" customHeight="1" x14ac:dyDescent="0.25">
      <c r="A778" s="204" t="s">
        <v>2226</v>
      </c>
      <c r="B778" s="204" t="s">
        <v>2227</v>
      </c>
    </row>
    <row r="779" spans="1:2" ht="15" customHeight="1" x14ac:dyDescent="0.25">
      <c r="A779" s="203" t="s">
        <v>2228</v>
      </c>
      <c r="B779" s="203" t="s">
        <v>2229</v>
      </c>
    </row>
    <row r="780" spans="1:2" ht="15" customHeight="1" x14ac:dyDescent="0.25">
      <c r="A780" s="204" t="s">
        <v>2230</v>
      </c>
      <c r="B780" s="204" t="s">
        <v>2231</v>
      </c>
    </row>
    <row r="781" spans="1:2" ht="15" customHeight="1" x14ac:dyDescent="0.25">
      <c r="A781" s="204" t="s">
        <v>2232</v>
      </c>
      <c r="B781" s="204" t="s">
        <v>2233</v>
      </c>
    </row>
    <row r="782" spans="1:2" ht="15" customHeight="1" x14ac:dyDescent="0.25">
      <c r="A782" s="204" t="s">
        <v>2234</v>
      </c>
      <c r="B782" s="204" t="s">
        <v>2235</v>
      </c>
    </row>
    <row r="783" spans="1:2" ht="15" customHeight="1" x14ac:dyDescent="0.25">
      <c r="A783" s="204" t="s">
        <v>2236</v>
      </c>
      <c r="B783" s="204" t="s">
        <v>2237</v>
      </c>
    </row>
    <row r="784" spans="1:2" ht="15" customHeight="1" x14ac:dyDescent="0.25">
      <c r="A784" s="204" t="s">
        <v>2238</v>
      </c>
      <c r="B784" s="204" t="s">
        <v>2239</v>
      </c>
    </row>
    <row r="785" spans="1:2" ht="15" customHeight="1" x14ac:dyDescent="0.25">
      <c r="A785" s="204" t="s">
        <v>2240</v>
      </c>
      <c r="B785" s="204" t="s">
        <v>2241</v>
      </c>
    </row>
    <row r="786" spans="1:2" ht="15" customHeight="1" x14ac:dyDescent="0.25">
      <c r="A786" s="203" t="s">
        <v>2242</v>
      </c>
      <c r="B786" s="203" t="s">
        <v>2243</v>
      </c>
    </row>
    <row r="787" spans="1:2" ht="15" customHeight="1" x14ac:dyDescent="0.25">
      <c r="A787" s="204" t="s">
        <v>2244</v>
      </c>
      <c r="B787" s="204" t="s">
        <v>2245</v>
      </c>
    </row>
    <row r="788" spans="1:2" ht="15" customHeight="1" x14ac:dyDescent="0.25">
      <c r="A788" s="204" t="s">
        <v>2246</v>
      </c>
      <c r="B788" s="204" t="s">
        <v>2247</v>
      </c>
    </row>
    <row r="789" spans="1:2" ht="15" customHeight="1" x14ac:dyDescent="0.25">
      <c r="A789" s="204" t="s">
        <v>2248</v>
      </c>
      <c r="B789" s="204" t="s">
        <v>2249</v>
      </c>
    </row>
    <row r="790" spans="1:2" ht="15" customHeight="1" x14ac:dyDescent="0.25">
      <c r="A790" s="204" t="s">
        <v>2250</v>
      </c>
      <c r="B790" s="204" t="s">
        <v>2251</v>
      </c>
    </row>
    <row r="791" spans="1:2" ht="15" customHeight="1" x14ac:dyDescent="0.25">
      <c r="A791" s="203" t="s">
        <v>2252</v>
      </c>
      <c r="B791" s="203" t="s">
        <v>2253</v>
      </c>
    </row>
    <row r="792" spans="1:2" ht="15" customHeight="1" x14ac:dyDescent="0.25">
      <c r="A792" s="204" t="s">
        <v>2254</v>
      </c>
      <c r="B792" s="204" t="s">
        <v>2255</v>
      </c>
    </row>
    <row r="793" spans="1:2" ht="15" customHeight="1" x14ac:dyDescent="0.25">
      <c r="A793" s="204" t="s">
        <v>2256</v>
      </c>
      <c r="B793" s="204" t="s">
        <v>2257</v>
      </c>
    </row>
    <row r="794" spans="1:2" ht="15" customHeight="1" x14ac:dyDescent="0.25">
      <c r="A794" s="203" t="s">
        <v>2258</v>
      </c>
      <c r="B794" s="203" t="s">
        <v>2259</v>
      </c>
    </row>
    <row r="795" spans="1:2" ht="15" customHeight="1" x14ac:dyDescent="0.25">
      <c r="A795" s="204" t="s">
        <v>2260</v>
      </c>
      <c r="B795" s="204" t="s">
        <v>2261</v>
      </c>
    </row>
    <row r="796" spans="1:2" ht="15" customHeight="1" x14ac:dyDescent="0.25">
      <c r="A796" s="204" t="s">
        <v>2262</v>
      </c>
      <c r="B796" s="204" t="s">
        <v>2263</v>
      </c>
    </row>
    <row r="797" spans="1:2" ht="15" customHeight="1" x14ac:dyDescent="0.25">
      <c r="A797" s="204" t="s">
        <v>2264</v>
      </c>
      <c r="B797" s="204" t="s">
        <v>2265</v>
      </c>
    </row>
    <row r="798" spans="1:2" ht="15" customHeight="1" x14ac:dyDescent="0.25">
      <c r="A798" s="204" t="s">
        <v>2266</v>
      </c>
      <c r="B798" s="204" t="s">
        <v>2267</v>
      </c>
    </row>
    <row r="799" spans="1:2" ht="15" customHeight="1" x14ac:dyDescent="0.25">
      <c r="A799" s="203">
        <v>18</v>
      </c>
      <c r="B799" s="203" t="s">
        <v>2268</v>
      </c>
    </row>
    <row r="800" spans="1:2" ht="15" customHeight="1" x14ac:dyDescent="0.25">
      <c r="A800" s="204" t="s">
        <v>2269</v>
      </c>
      <c r="B800" s="204" t="s">
        <v>2270</v>
      </c>
    </row>
    <row r="801" spans="1:2" ht="15" customHeight="1" x14ac:dyDescent="0.25">
      <c r="A801" s="204" t="s">
        <v>2271</v>
      </c>
      <c r="B801" s="204" t="s">
        <v>2272</v>
      </c>
    </row>
    <row r="802" spans="1:2" ht="15" customHeight="1" x14ac:dyDescent="0.25">
      <c r="A802" s="204" t="s">
        <v>2273</v>
      </c>
      <c r="B802" s="204" t="s">
        <v>2274</v>
      </c>
    </row>
    <row r="803" spans="1:2" ht="15" customHeight="1" x14ac:dyDescent="0.25">
      <c r="A803" s="204" t="s">
        <v>2275</v>
      </c>
      <c r="B803" s="204" t="s">
        <v>2276</v>
      </c>
    </row>
    <row r="804" spans="1:2" ht="15" customHeight="1" x14ac:dyDescent="0.25">
      <c r="A804" s="204" t="s">
        <v>2277</v>
      </c>
      <c r="B804" s="204" t="s">
        <v>2278</v>
      </c>
    </row>
    <row r="805" spans="1:2" ht="15" customHeight="1" x14ac:dyDescent="0.25">
      <c r="A805" s="204" t="s">
        <v>2279</v>
      </c>
      <c r="B805" s="204" t="s">
        <v>2280</v>
      </c>
    </row>
    <row r="806" spans="1:2" ht="15" customHeight="1" x14ac:dyDescent="0.25">
      <c r="A806" s="204" t="s">
        <v>2281</v>
      </c>
      <c r="B806" s="204" t="s">
        <v>2282</v>
      </c>
    </row>
    <row r="807" spans="1:2" ht="15" customHeight="1" x14ac:dyDescent="0.25">
      <c r="A807" s="204" t="s">
        <v>2283</v>
      </c>
      <c r="B807" s="204" t="s">
        <v>2284</v>
      </c>
    </row>
    <row r="808" spans="1:2" ht="15" customHeight="1" x14ac:dyDescent="0.25">
      <c r="A808" s="204" t="s">
        <v>2285</v>
      </c>
      <c r="B808" s="204" t="s">
        <v>2286</v>
      </c>
    </row>
    <row r="809" spans="1:2" ht="15" customHeight="1" x14ac:dyDescent="0.25">
      <c r="A809" s="204" t="s">
        <v>2287</v>
      </c>
      <c r="B809" s="204" t="s">
        <v>2288</v>
      </c>
    </row>
    <row r="810" spans="1:2" ht="15" customHeight="1" x14ac:dyDescent="0.25">
      <c r="A810" s="203" t="s">
        <v>2289</v>
      </c>
      <c r="B810" s="203" t="s">
        <v>2290</v>
      </c>
    </row>
    <row r="811" spans="1:2" ht="15" customHeight="1" x14ac:dyDescent="0.25">
      <c r="A811" s="204" t="s">
        <v>2291</v>
      </c>
      <c r="B811" s="204" t="s">
        <v>2292</v>
      </c>
    </row>
    <row r="812" spans="1:2" ht="15" customHeight="1" x14ac:dyDescent="0.25">
      <c r="A812" s="204" t="s">
        <v>2293</v>
      </c>
      <c r="B812" s="204" t="s">
        <v>2276</v>
      </c>
    </row>
    <row r="813" spans="1:2" ht="15" customHeight="1" x14ac:dyDescent="0.25">
      <c r="A813" s="204" t="s">
        <v>2294</v>
      </c>
      <c r="B813" s="204" t="s">
        <v>2295</v>
      </c>
    </row>
    <row r="814" spans="1:2" ht="15" customHeight="1" x14ac:dyDescent="0.25">
      <c r="A814" s="204" t="s">
        <v>2296</v>
      </c>
      <c r="B814" s="204" t="s">
        <v>2280</v>
      </c>
    </row>
    <row r="815" spans="1:2" ht="15" customHeight="1" x14ac:dyDescent="0.25">
      <c r="A815" s="204" t="s">
        <v>2297</v>
      </c>
      <c r="B815" s="204" t="s">
        <v>2298</v>
      </c>
    </row>
    <row r="816" spans="1:2" ht="15" customHeight="1" x14ac:dyDescent="0.25">
      <c r="A816" s="204" t="s">
        <v>2299</v>
      </c>
      <c r="B816" s="204" t="s">
        <v>2284</v>
      </c>
    </row>
    <row r="817" spans="1:2" ht="15" customHeight="1" x14ac:dyDescent="0.25">
      <c r="A817" s="204" t="s">
        <v>2300</v>
      </c>
      <c r="B817" s="204" t="s">
        <v>2301</v>
      </c>
    </row>
    <row r="818" spans="1:2" ht="15" customHeight="1" x14ac:dyDescent="0.25">
      <c r="A818" s="203">
        <v>19</v>
      </c>
      <c r="B818" s="203" t="s">
        <v>2302</v>
      </c>
    </row>
    <row r="819" spans="1:2" ht="15" customHeight="1" x14ac:dyDescent="0.25">
      <c r="A819" s="203" t="s">
        <v>2303</v>
      </c>
      <c r="B819" s="203" t="s">
        <v>2304</v>
      </c>
    </row>
    <row r="820" spans="1:2" ht="15" customHeight="1" x14ac:dyDescent="0.25">
      <c r="A820" s="204" t="s">
        <v>2305</v>
      </c>
      <c r="B820" s="204" t="s">
        <v>2306</v>
      </c>
    </row>
    <row r="821" spans="1:2" ht="15" customHeight="1" x14ac:dyDescent="0.25">
      <c r="A821" s="204" t="s">
        <v>2307</v>
      </c>
      <c r="B821" s="204" t="s">
        <v>2308</v>
      </c>
    </row>
    <row r="822" spans="1:2" ht="15" customHeight="1" x14ac:dyDescent="0.25">
      <c r="A822" s="204" t="s">
        <v>2309</v>
      </c>
      <c r="B822" s="204" t="s">
        <v>2310</v>
      </c>
    </row>
    <row r="823" spans="1:2" ht="15" customHeight="1" x14ac:dyDescent="0.25">
      <c r="A823" s="204" t="s">
        <v>2311</v>
      </c>
      <c r="B823" s="204" t="s">
        <v>1587</v>
      </c>
    </row>
    <row r="824" spans="1:2" ht="15" customHeight="1" x14ac:dyDescent="0.25">
      <c r="A824" s="204" t="s">
        <v>2312</v>
      </c>
      <c r="B824" s="204" t="s">
        <v>2313</v>
      </c>
    </row>
    <row r="825" spans="1:2" ht="15" customHeight="1" x14ac:dyDescent="0.25">
      <c r="A825" s="204" t="s">
        <v>2314</v>
      </c>
      <c r="B825" s="204" t="s">
        <v>2315</v>
      </c>
    </row>
    <row r="826" spans="1:2" ht="15" customHeight="1" x14ac:dyDescent="0.25">
      <c r="A826" s="204" t="s">
        <v>2316</v>
      </c>
      <c r="B826" s="204" t="s">
        <v>2317</v>
      </c>
    </row>
    <row r="827" spans="1:2" ht="15" customHeight="1" x14ac:dyDescent="0.25">
      <c r="A827" s="204" t="s">
        <v>2318</v>
      </c>
      <c r="B827" s="204" t="s">
        <v>1553</v>
      </c>
    </row>
    <row r="828" spans="1:2" ht="15" customHeight="1" x14ac:dyDescent="0.25">
      <c r="A828" s="204" t="s">
        <v>2319</v>
      </c>
      <c r="B828" s="204" t="s">
        <v>2320</v>
      </c>
    </row>
    <row r="829" spans="1:2" ht="15" customHeight="1" x14ac:dyDescent="0.25">
      <c r="A829" s="204" t="s">
        <v>2321</v>
      </c>
      <c r="B829" s="204" t="s">
        <v>2322</v>
      </c>
    </row>
    <row r="830" spans="1:2" ht="15" customHeight="1" x14ac:dyDescent="0.25">
      <c r="A830" s="204" t="s">
        <v>2323</v>
      </c>
      <c r="B830" s="204" t="s">
        <v>2324</v>
      </c>
    </row>
    <row r="831" spans="1:2" ht="15" customHeight="1" x14ac:dyDescent="0.25">
      <c r="A831" s="204" t="s">
        <v>2325</v>
      </c>
      <c r="B831" s="204" t="s">
        <v>2326</v>
      </c>
    </row>
    <row r="832" spans="1:2" ht="15" customHeight="1" x14ac:dyDescent="0.25">
      <c r="A832" s="204" t="s">
        <v>2327</v>
      </c>
      <c r="B832" s="204" t="s">
        <v>2328</v>
      </c>
    </row>
    <row r="833" spans="1:2" ht="15" customHeight="1" x14ac:dyDescent="0.25">
      <c r="A833" s="204" t="s">
        <v>2329</v>
      </c>
      <c r="B833" s="204" t="s">
        <v>1503</v>
      </c>
    </row>
    <row r="834" spans="1:2" ht="15" customHeight="1" x14ac:dyDescent="0.25">
      <c r="A834" s="204" t="s">
        <v>2330</v>
      </c>
      <c r="B834" s="204" t="s">
        <v>894</v>
      </c>
    </row>
    <row r="835" spans="1:2" ht="15" customHeight="1" x14ac:dyDescent="0.25">
      <c r="A835" s="203" t="s">
        <v>2331</v>
      </c>
      <c r="B835" s="203" t="s">
        <v>2332</v>
      </c>
    </row>
    <row r="836" spans="1:2" ht="15" customHeight="1" x14ac:dyDescent="0.25">
      <c r="A836" s="204" t="s">
        <v>2333</v>
      </c>
      <c r="B836" s="204" t="s">
        <v>2334</v>
      </c>
    </row>
    <row r="837" spans="1:2" ht="15" customHeight="1" x14ac:dyDescent="0.25">
      <c r="A837" s="204" t="s">
        <v>2335</v>
      </c>
      <c r="B837" s="204" t="s">
        <v>2336</v>
      </c>
    </row>
    <row r="838" spans="1:2" ht="15" customHeight="1" x14ac:dyDescent="0.25">
      <c r="A838" s="204" t="s">
        <v>2337</v>
      </c>
      <c r="B838" s="204" t="s">
        <v>2338</v>
      </c>
    </row>
    <row r="839" spans="1:2" ht="15" customHeight="1" x14ac:dyDescent="0.25">
      <c r="A839" s="204" t="s">
        <v>2339</v>
      </c>
      <c r="B839" s="204" t="s">
        <v>2340</v>
      </c>
    </row>
    <row r="840" spans="1:2" ht="15" customHeight="1" x14ac:dyDescent="0.25">
      <c r="A840" s="204" t="s">
        <v>2341</v>
      </c>
      <c r="B840" s="204" t="s">
        <v>2342</v>
      </c>
    </row>
    <row r="841" spans="1:2" ht="15" customHeight="1" x14ac:dyDescent="0.25">
      <c r="A841" s="204" t="s">
        <v>2343</v>
      </c>
      <c r="B841" s="204" t="s">
        <v>2344</v>
      </c>
    </row>
    <row r="842" spans="1:2" ht="15" customHeight="1" x14ac:dyDescent="0.25">
      <c r="A842" s="204" t="s">
        <v>2345</v>
      </c>
      <c r="B842" s="204" t="s">
        <v>2346</v>
      </c>
    </row>
    <row r="843" spans="1:2" ht="15" customHeight="1" x14ac:dyDescent="0.25">
      <c r="A843" s="204" t="s">
        <v>2347</v>
      </c>
      <c r="B843" s="204" t="s">
        <v>2348</v>
      </c>
    </row>
    <row r="844" spans="1:2" ht="15" customHeight="1" x14ac:dyDescent="0.25">
      <c r="A844" s="204" t="s">
        <v>2349</v>
      </c>
      <c r="B844" s="204" t="s">
        <v>2350</v>
      </c>
    </row>
    <row r="845" spans="1:2" ht="15" customHeight="1" x14ac:dyDescent="0.25">
      <c r="A845" s="204" t="s">
        <v>2351</v>
      </c>
      <c r="B845" s="204" t="s">
        <v>894</v>
      </c>
    </row>
    <row r="846" spans="1:2" ht="15" customHeight="1" x14ac:dyDescent="0.25">
      <c r="A846" s="203" t="s">
        <v>2352</v>
      </c>
      <c r="B846" s="203" t="s">
        <v>2353</v>
      </c>
    </row>
    <row r="847" spans="1:2" ht="15" customHeight="1" x14ac:dyDescent="0.25">
      <c r="A847" s="204" t="s">
        <v>2354</v>
      </c>
      <c r="B847" s="204" t="s">
        <v>2355</v>
      </c>
    </row>
    <row r="848" spans="1:2" ht="15" customHeight="1" x14ac:dyDescent="0.25">
      <c r="A848" s="204" t="s">
        <v>2356</v>
      </c>
      <c r="B848" s="204" t="s">
        <v>2357</v>
      </c>
    </row>
    <row r="849" spans="1:2" ht="15" customHeight="1" x14ac:dyDescent="0.25">
      <c r="A849" s="204" t="s">
        <v>2358</v>
      </c>
      <c r="B849" s="204" t="s">
        <v>2359</v>
      </c>
    </row>
    <row r="850" spans="1:2" ht="15" customHeight="1" x14ac:dyDescent="0.25">
      <c r="A850" s="204" t="s">
        <v>2360</v>
      </c>
      <c r="B850" s="204" t="s">
        <v>2361</v>
      </c>
    </row>
    <row r="851" spans="1:2" ht="15" customHeight="1" x14ac:dyDescent="0.25">
      <c r="A851" s="204" t="s">
        <v>2362</v>
      </c>
      <c r="B851" s="204" t="s">
        <v>2363</v>
      </c>
    </row>
    <row r="852" spans="1:2" ht="15" customHeight="1" x14ac:dyDescent="0.25">
      <c r="A852" s="203" t="s">
        <v>2364</v>
      </c>
      <c r="B852" s="203" t="s">
        <v>2365</v>
      </c>
    </row>
    <row r="853" spans="1:2" ht="15" customHeight="1" x14ac:dyDescent="0.25">
      <c r="A853" s="204" t="s">
        <v>2366</v>
      </c>
      <c r="B853" s="204" t="s">
        <v>2367</v>
      </c>
    </row>
    <row r="854" spans="1:2" ht="15" customHeight="1" x14ac:dyDescent="0.25">
      <c r="A854" s="204" t="s">
        <v>2368</v>
      </c>
      <c r="B854" s="204" t="s">
        <v>2369</v>
      </c>
    </row>
    <row r="855" spans="1:2" ht="15" customHeight="1" x14ac:dyDescent="0.25">
      <c r="A855" s="204" t="s">
        <v>2370</v>
      </c>
      <c r="B855" s="204" t="s">
        <v>2371</v>
      </c>
    </row>
    <row r="856" spans="1:2" ht="15" customHeight="1" x14ac:dyDescent="0.25">
      <c r="A856" s="204" t="s">
        <v>2372</v>
      </c>
      <c r="B856" s="204" t="s">
        <v>2373</v>
      </c>
    </row>
    <row r="857" spans="1:2" ht="15" customHeight="1" x14ac:dyDescent="0.25">
      <c r="A857" s="203" t="s">
        <v>2374</v>
      </c>
      <c r="B857" s="203" t="s">
        <v>2375</v>
      </c>
    </row>
    <row r="858" spans="1:2" ht="15" customHeight="1" x14ac:dyDescent="0.25">
      <c r="A858" s="204" t="s">
        <v>2376</v>
      </c>
      <c r="B858" s="204" t="s">
        <v>2377</v>
      </c>
    </row>
    <row r="859" spans="1:2" ht="15" customHeight="1" x14ac:dyDescent="0.25">
      <c r="A859" s="204" t="s">
        <v>2378</v>
      </c>
      <c r="B859" s="204" t="s">
        <v>2379</v>
      </c>
    </row>
    <row r="860" spans="1:2" ht="15" customHeight="1" x14ac:dyDescent="0.25">
      <c r="A860" s="204" t="s">
        <v>2380</v>
      </c>
      <c r="B860" s="204" t="s">
        <v>2381</v>
      </c>
    </row>
    <row r="861" spans="1:2" ht="15" customHeight="1" x14ac:dyDescent="0.25">
      <c r="A861" s="204" t="s">
        <v>2382</v>
      </c>
      <c r="B861" s="204" t="s">
        <v>894</v>
      </c>
    </row>
    <row r="862" spans="1:2" ht="15" customHeight="1" x14ac:dyDescent="0.25">
      <c r="A862" s="203" t="s">
        <v>2383</v>
      </c>
      <c r="B862" s="203" t="s">
        <v>2384</v>
      </c>
    </row>
    <row r="863" spans="1:2" ht="15" customHeight="1" x14ac:dyDescent="0.25">
      <c r="A863" s="204" t="s">
        <v>2385</v>
      </c>
      <c r="B863" s="204" t="s">
        <v>2386</v>
      </c>
    </row>
    <row r="864" spans="1:2" ht="15" customHeight="1" x14ac:dyDescent="0.25">
      <c r="A864" s="204" t="s">
        <v>2387</v>
      </c>
      <c r="B864" s="204" t="s">
        <v>2388</v>
      </c>
    </row>
    <row r="865" spans="1:2" ht="15" customHeight="1" x14ac:dyDescent="0.25">
      <c r="A865" s="204" t="s">
        <v>2389</v>
      </c>
      <c r="B865" s="204" t="s">
        <v>2390</v>
      </c>
    </row>
    <row r="866" spans="1:2" ht="15" customHeight="1" x14ac:dyDescent="0.25">
      <c r="A866" s="204" t="s">
        <v>2391</v>
      </c>
      <c r="B866" s="204" t="s">
        <v>2392</v>
      </c>
    </row>
    <row r="867" spans="1:2" ht="15" customHeight="1" x14ac:dyDescent="0.25">
      <c r="A867" s="204" t="s">
        <v>2393</v>
      </c>
      <c r="B867" s="204" t="s">
        <v>894</v>
      </c>
    </row>
    <row r="868" spans="1:2" ht="15" customHeight="1" x14ac:dyDescent="0.25">
      <c r="A868" s="203" t="s">
        <v>2394</v>
      </c>
      <c r="B868" s="203" t="s">
        <v>2395</v>
      </c>
    </row>
    <row r="869" spans="1:2" ht="15" customHeight="1" x14ac:dyDescent="0.25">
      <c r="A869" s="204" t="s">
        <v>2396</v>
      </c>
      <c r="B869" s="204" t="s">
        <v>2397</v>
      </c>
    </row>
    <row r="870" spans="1:2" ht="15" customHeight="1" x14ac:dyDescent="0.25">
      <c r="A870" s="204" t="s">
        <v>2398</v>
      </c>
      <c r="B870" s="204" t="s">
        <v>2399</v>
      </c>
    </row>
    <row r="871" spans="1:2" ht="15" customHeight="1" x14ac:dyDescent="0.25">
      <c r="A871" s="203" t="s">
        <v>2400</v>
      </c>
      <c r="B871" s="203" t="s">
        <v>2401</v>
      </c>
    </row>
    <row r="872" spans="1:2" ht="15" customHeight="1" x14ac:dyDescent="0.25">
      <c r="A872" s="204" t="s">
        <v>2402</v>
      </c>
      <c r="B872" s="204" t="s">
        <v>2403</v>
      </c>
    </row>
    <row r="873" spans="1:2" ht="15" customHeight="1" x14ac:dyDescent="0.25">
      <c r="A873" s="204" t="s">
        <v>2404</v>
      </c>
      <c r="B873" s="204" t="s">
        <v>2405</v>
      </c>
    </row>
    <row r="874" spans="1:2" ht="15" customHeight="1" x14ac:dyDescent="0.25">
      <c r="A874" s="204" t="s">
        <v>2406</v>
      </c>
      <c r="B874" s="204" t="s">
        <v>2407</v>
      </c>
    </row>
    <row r="875" spans="1:2" ht="15" customHeight="1" x14ac:dyDescent="0.25">
      <c r="A875" s="204" t="s">
        <v>2408</v>
      </c>
      <c r="B875" s="204" t="s">
        <v>1805</v>
      </c>
    </row>
    <row r="876" spans="1:2" ht="15" customHeight="1" x14ac:dyDescent="0.25">
      <c r="A876" s="204" t="s">
        <v>2409</v>
      </c>
      <c r="B876" s="204" t="s">
        <v>2410</v>
      </c>
    </row>
    <row r="877" spans="1:2" ht="15" customHeight="1" x14ac:dyDescent="0.25">
      <c r="A877" s="204" t="s">
        <v>2411</v>
      </c>
      <c r="B877" s="204" t="s">
        <v>2412</v>
      </c>
    </row>
    <row r="878" spans="1:2" ht="15" customHeight="1" x14ac:dyDescent="0.25">
      <c r="A878" s="204" t="s">
        <v>2413</v>
      </c>
      <c r="B878" s="204" t="s">
        <v>2414</v>
      </c>
    </row>
    <row r="879" spans="1:2" ht="15" customHeight="1" x14ac:dyDescent="0.25">
      <c r="A879" s="204" t="s">
        <v>2415</v>
      </c>
      <c r="B879" s="204" t="s">
        <v>2416</v>
      </c>
    </row>
    <row r="880" spans="1:2" ht="15" customHeight="1" x14ac:dyDescent="0.25">
      <c r="A880" s="204" t="s">
        <v>2417</v>
      </c>
      <c r="B880" s="204" t="s">
        <v>2418</v>
      </c>
    </row>
    <row r="881" spans="1:2" ht="15" customHeight="1" x14ac:dyDescent="0.25">
      <c r="A881" s="204" t="s">
        <v>2419</v>
      </c>
      <c r="B881" s="204" t="s">
        <v>2420</v>
      </c>
    </row>
    <row r="882" spans="1:2" ht="15" customHeight="1" x14ac:dyDescent="0.25">
      <c r="A882" s="204" t="s">
        <v>2421</v>
      </c>
      <c r="B882" s="204" t="s">
        <v>2422</v>
      </c>
    </row>
    <row r="883" spans="1:2" ht="15" customHeight="1" x14ac:dyDescent="0.25">
      <c r="A883" s="204" t="s">
        <v>2423</v>
      </c>
      <c r="B883" s="204" t="s">
        <v>2424</v>
      </c>
    </row>
    <row r="884" spans="1:2" ht="15" customHeight="1" x14ac:dyDescent="0.25">
      <c r="A884" s="204" t="s">
        <v>2425</v>
      </c>
      <c r="B884" s="204" t="s">
        <v>894</v>
      </c>
    </row>
    <row r="885" spans="1:2" ht="15" customHeight="1" x14ac:dyDescent="0.25">
      <c r="A885" s="203" t="s">
        <v>2426</v>
      </c>
      <c r="B885" s="203" t="s">
        <v>2427</v>
      </c>
    </row>
    <row r="886" spans="1:2" ht="15" customHeight="1" x14ac:dyDescent="0.25">
      <c r="A886" s="204" t="s">
        <v>2428</v>
      </c>
      <c r="B886" s="204" t="s">
        <v>2429</v>
      </c>
    </row>
    <row r="887" spans="1:2" ht="15" customHeight="1" x14ac:dyDescent="0.25">
      <c r="A887" s="204" t="s">
        <v>2430</v>
      </c>
      <c r="B887" s="204" t="s">
        <v>2431</v>
      </c>
    </row>
    <row r="888" spans="1:2" ht="15" customHeight="1" x14ac:dyDescent="0.25">
      <c r="A888" s="204" t="s">
        <v>2432</v>
      </c>
      <c r="B888" s="204" t="s">
        <v>2433</v>
      </c>
    </row>
    <row r="889" spans="1:2" ht="15" customHeight="1" x14ac:dyDescent="0.25">
      <c r="A889" s="204" t="s">
        <v>2434</v>
      </c>
      <c r="B889" s="204" t="s">
        <v>2435</v>
      </c>
    </row>
    <row r="890" spans="1:2" ht="15" customHeight="1" x14ac:dyDescent="0.25">
      <c r="A890" s="204" t="s">
        <v>2436</v>
      </c>
      <c r="B890" s="204" t="s">
        <v>2437</v>
      </c>
    </row>
    <row r="891" spans="1:2" ht="15" customHeight="1" x14ac:dyDescent="0.25">
      <c r="A891" s="204" t="s">
        <v>2438</v>
      </c>
      <c r="B891" s="204" t="s">
        <v>2410</v>
      </c>
    </row>
    <row r="892" spans="1:2" ht="15" customHeight="1" x14ac:dyDescent="0.25">
      <c r="A892" s="204" t="s">
        <v>2439</v>
      </c>
      <c r="B892" s="204" t="s">
        <v>894</v>
      </c>
    </row>
    <row r="893" spans="1:2" ht="15" customHeight="1" x14ac:dyDescent="0.25">
      <c r="A893" s="203" t="s">
        <v>2440</v>
      </c>
      <c r="B893" s="203" t="s">
        <v>2441</v>
      </c>
    </row>
    <row r="894" spans="1:2" ht="15" customHeight="1" x14ac:dyDescent="0.25">
      <c r="A894" s="204" t="s">
        <v>2442</v>
      </c>
      <c r="B894" s="204" t="s">
        <v>2443</v>
      </c>
    </row>
    <row r="895" spans="1:2" ht="15" customHeight="1" x14ac:dyDescent="0.25">
      <c r="A895" s="204" t="s">
        <v>2444</v>
      </c>
      <c r="B895" s="204" t="s">
        <v>2445</v>
      </c>
    </row>
    <row r="896" spans="1:2" ht="15" customHeight="1" x14ac:dyDescent="0.25">
      <c r="A896" s="204" t="s">
        <v>2446</v>
      </c>
      <c r="B896" s="204" t="s">
        <v>2447</v>
      </c>
    </row>
    <row r="897" spans="1:2" ht="15" customHeight="1" x14ac:dyDescent="0.25">
      <c r="A897" s="204" t="s">
        <v>2448</v>
      </c>
      <c r="B897" s="204" t="s">
        <v>2449</v>
      </c>
    </row>
    <row r="898" spans="1:2" ht="15" customHeight="1" x14ac:dyDescent="0.25">
      <c r="A898" s="204" t="s">
        <v>2450</v>
      </c>
      <c r="B898" s="204" t="s">
        <v>2451</v>
      </c>
    </row>
    <row r="899" spans="1:2" ht="15" customHeight="1" x14ac:dyDescent="0.25">
      <c r="A899" s="204" t="s">
        <v>2452</v>
      </c>
      <c r="B899" s="204" t="s">
        <v>2453</v>
      </c>
    </row>
    <row r="900" spans="1:2" ht="15" customHeight="1" x14ac:dyDescent="0.25">
      <c r="A900" s="203" t="s">
        <v>2454</v>
      </c>
      <c r="B900" s="203" t="s">
        <v>2455</v>
      </c>
    </row>
    <row r="901" spans="1:2" ht="15" customHeight="1" x14ac:dyDescent="0.25">
      <c r="A901" s="204" t="s">
        <v>2456</v>
      </c>
      <c r="B901" s="204" t="s">
        <v>1114</v>
      </c>
    </row>
    <row r="902" spans="1:2" ht="15" customHeight="1" x14ac:dyDescent="0.25">
      <c r="A902" s="204" t="s">
        <v>2457</v>
      </c>
      <c r="B902" s="204" t="s">
        <v>1099</v>
      </c>
    </row>
    <row r="903" spans="1:2" ht="15" customHeight="1" x14ac:dyDescent="0.25">
      <c r="A903" s="204" t="s">
        <v>2458</v>
      </c>
      <c r="B903" s="204" t="s">
        <v>2459</v>
      </c>
    </row>
    <row r="904" spans="1:2" ht="15" customHeight="1" x14ac:dyDescent="0.25">
      <c r="A904" s="204" t="s">
        <v>2460</v>
      </c>
      <c r="B904" s="204" t="s">
        <v>1106</v>
      </c>
    </row>
    <row r="905" spans="1:2" ht="15" customHeight="1" x14ac:dyDescent="0.25">
      <c r="A905" s="204" t="s">
        <v>2461</v>
      </c>
      <c r="B905" s="204" t="s">
        <v>1077</v>
      </c>
    </row>
    <row r="906" spans="1:2" ht="15" customHeight="1" x14ac:dyDescent="0.25">
      <c r="A906" s="204" t="s">
        <v>2462</v>
      </c>
      <c r="B906" s="204" t="s">
        <v>2463</v>
      </c>
    </row>
    <row r="907" spans="1:2" ht="15" customHeight="1" x14ac:dyDescent="0.25">
      <c r="A907" s="204" t="s">
        <v>2464</v>
      </c>
      <c r="B907" s="204" t="s">
        <v>2465</v>
      </c>
    </row>
    <row r="908" spans="1:2" ht="15" customHeight="1" x14ac:dyDescent="0.25">
      <c r="A908" s="204" t="s">
        <v>2466</v>
      </c>
      <c r="B908" s="204" t="s">
        <v>894</v>
      </c>
    </row>
    <row r="909" spans="1:2" ht="15" customHeight="1" x14ac:dyDescent="0.25">
      <c r="A909" s="203" t="s">
        <v>2467</v>
      </c>
      <c r="B909" s="203" t="s">
        <v>2468</v>
      </c>
    </row>
    <row r="910" spans="1:2" ht="15" customHeight="1" x14ac:dyDescent="0.25">
      <c r="A910" s="204" t="s">
        <v>2469</v>
      </c>
      <c r="B910" s="204" t="s">
        <v>2470</v>
      </c>
    </row>
    <row r="911" spans="1:2" ht="15" customHeight="1" x14ac:dyDescent="0.25">
      <c r="A911" s="204" t="s">
        <v>2471</v>
      </c>
      <c r="B911" s="204" t="s">
        <v>2041</v>
      </c>
    </row>
    <row r="912" spans="1:2" ht="15" customHeight="1" x14ac:dyDescent="0.25">
      <c r="A912" s="204" t="s">
        <v>2472</v>
      </c>
      <c r="B912" s="204" t="s">
        <v>2043</v>
      </c>
    </row>
    <row r="913" spans="1:2" ht="15" customHeight="1" x14ac:dyDescent="0.25">
      <c r="A913" s="204" t="s">
        <v>2473</v>
      </c>
      <c r="B913" s="204" t="s">
        <v>2474</v>
      </c>
    </row>
    <row r="914" spans="1:2" ht="15" customHeight="1" x14ac:dyDescent="0.25">
      <c r="A914" s="204" t="s">
        <v>2475</v>
      </c>
      <c r="B914" s="204" t="s">
        <v>2047</v>
      </c>
    </row>
    <row r="915" spans="1:2" ht="15" customHeight="1" x14ac:dyDescent="0.25">
      <c r="A915" s="204" t="s">
        <v>2476</v>
      </c>
      <c r="B915" s="204" t="s">
        <v>2477</v>
      </c>
    </row>
    <row r="916" spans="1:2" ht="15" customHeight="1" x14ac:dyDescent="0.25">
      <c r="A916" s="204" t="s">
        <v>2478</v>
      </c>
      <c r="B916" s="204" t="s">
        <v>2479</v>
      </c>
    </row>
    <row r="917" spans="1:2" ht="15" customHeight="1" x14ac:dyDescent="0.25">
      <c r="A917" s="204" t="s">
        <v>2480</v>
      </c>
      <c r="B917" s="204" t="s">
        <v>2481</v>
      </c>
    </row>
    <row r="918" spans="1:2" ht="15" customHeight="1" x14ac:dyDescent="0.25">
      <c r="A918" s="204" t="s">
        <v>2482</v>
      </c>
      <c r="B918" s="204" t="s">
        <v>2483</v>
      </c>
    </row>
    <row r="919" spans="1:2" ht="15" customHeight="1" x14ac:dyDescent="0.25">
      <c r="A919" s="204" t="s">
        <v>2484</v>
      </c>
      <c r="B919" s="204" t="s">
        <v>2485</v>
      </c>
    </row>
    <row r="920" spans="1:2" ht="15" customHeight="1" x14ac:dyDescent="0.25">
      <c r="A920" s="204" t="s">
        <v>2486</v>
      </c>
      <c r="B920" s="204" t="s">
        <v>2487</v>
      </c>
    </row>
    <row r="921" spans="1:2" ht="15" customHeight="1" x14ac:dyDescent="0.25">
      <c r="A921" s="204" t="s">
        <v>2488</v>
      </c>
      <c r="B921" s="204" t="s">
        <v>2489</v>
      </c>
    </row>
    <row r="922" spans="1:2" ht="15" customHeight="1" x14ac:dyDescent="0.25">
      <c r="A922" s="203" t="s">
        <v>2490</v>
      </c>
      <c r="B922" s="203" t="s">
        <v>2491</v>
      </c>
    </row>
    <row r="923" spans="1:2" ht="15" customHeight="1" x14ac:dyDescent="0.25">
      <c r="A923" s="204" t="s">
        <v>2492</v>
      </c>
      <c r="B923" s="204" t="s">
        <v>2493</v>
      </c>
    </row>
    <row r="924" spans="1:2" ht="15" customHeight="1" x14ac:dyDescent="0.25">
      <c r="A924" s="204" t="s">
        <v>2494</v>
      </c>
      <c r="B924" s="204" t="s">
        <v>2495</v>
      </c>
    </row>
    <row r="925" spans="1:2" ht="15" customHeight="1" x14ac:dyDescent="0.25">
      <c r="A925" s="204" t="s">
        <v>2496</v>
      </c>
      <c r="B925" s="204" t="s">
        <v>2497</v>
      </c>
    </row>
    <row r="926" spans="1:2" ht="15" customHeight="1" x14ac:dyDescent="0.25">
      <c r="A926" s="204" t="s">
        <v>2498</v>
      </c>
      <c r="B926" s="204" t="s">
        <v>2499</v>
      </c>
    </row>
    <row r="927" spans="1:2" ht="15" customHeight="1" x14ac:dyDescent="0.25">
      <c r="A927" s="204" t="s">
        <v>2500</v>
      </c>
      <c r="B927" s="204" t="s">
        <v>2501</v>
      </c>
    </row>
    <row r="928" spans="1:2" ht="15" customHeight="1" x14ac:dyDescent="0.25">
      <c r="A928" s="204" t="s">
        <v>2502</v>
      </c>
      <c r="B928" s="204" t="s">
        <v>2503</v>
      </c>
    </row>
    <row r="929" spans="1:2" ht="15" customHeight="1" x14ac:dyDescent="0.25">
      <c r="A929" s="204" t="s">
        <v>2504</v>
      </c>
      <c r="B929" s="204" t="s">
        <v>2505</v>
      </c>
    </row>
    <row r="930" spans="1:2" ht="15" customHeight="1" x14ac:dyDescent="0.25">
      <c r="A930" s="204" t="s">
        <v>2506</v>
      </c>
      <c r="B930" s="204" t="s">
        <v>2507</v>
      </c>
    </row>
    <row r="931" spans="1:2" ht="15" customHeight="1" x14ac:dyDescent="0.25">
      <c r="A931" s="203">
        <v>20</v>
      </c>
      <c r="B931" s="203" t="s">
        <v>2508</v>
      </c>
    </row>
    <row r="932" spans="1:2" ht="15" customHeight="1" x14ac:dyDescent="0.25">
      <c r="A932" s="203" t="s">
        <v>2509</v>
      </c>
      <c r="B932" s="203" t="s">
        <v>2510</v>
      </c>
    </row>
    <row r="933" spans="1:2" ht="15" customHeight="1" x14ac:dyDescent="0.25">
      <c r="A933" s="204" t="s">
        <v>2511</v>
      </c>
      <c r="B933" s="204" t="s">
        <v>2470</v>
      </c>
    </row>
    <row r="934" spans="1:2" ht="15" customHeight="1" x14ac:dyDescent="0.25">
      <c r="A934" s="204" t="s">
        <v>2512</v>
      </c>
      <c r="B934" s="204" t="s">
        <v>2047</v>
      </c>
    </row>
    <row r="935" spans="1:2" ht="15" customHeight="1" x14ac:dyDescent="0.25">
      <c r="A935" s="204" t="s">
        <v>2513</v>
      </c>
      <c r="B935" s="204" t="s">
        <v>2514</v>
      </c>
    </row>
    <row r="936" spans="1:2" ht="15" customHeight="1" x14ac:dyDescent="0.25">
      <c r="A936" s="204" t="s">
        <v>2515</v>
      </c>
      <c r="B936" s="204" t="s">
        <v>2516</v>
      </c>
    </row>
    <row r="937" spans="1:2" ht="15" customHeight="1" x14ac:dyDescent="0.25">
      <c r="A937" s="204" t="s">
        <v>2517</v>
      </c>
      <c r="B937" s="204" t="s">
        <v>2481</v>
      </c>
    </row>
    <row r="938" spans="1:2" ht="15" customHeight="1" x14ac:dyDescent="0.25">
      <c r="A938" s="204" t="s">
        <v>2518</v>
      </c>
      <c r="B938" s="204" t="s">
        <v>2519</v>
      </c>
    </row>
    <row r="939" spans="1:2" ht="15" customHeight="1" x14ac:dyDescent="0.25">
      <c r="A939" s="204" t="s">
        <v>2520</v>
      </c>
      <c r="B939" s="204" t="s">
        <v>2521</v>
      </c>
    </row>
    <row r="940" spans="1:2" ht="15" customHeight="1" x14ac:dyDescent="0.25">
      <c r="A940" s="204" t="s">
        <v>2522</v>
      </c>
      <c r="B940" s="204" t="s">
        <v>2523</v>
      </c>
    </row>
    <row r="941" spans="1:2" ht="15" customHeight="1" x14ac:dyDescent="0.25">
      <c r="A941" s="204" t="s">
        <v>2524</v>
      </c>
      <c r="B941" s="204" t="s">
        <v>2525</v>
      </c>
    </row>
    <row r="942" spans="1:2" ht="15" customHeight="1" x14ac:dyDescent="0.25">
      <c r="A942" s="204" t="s">
        <v>2526</v>
      </c>
      <c r="B942" s="204" t="s">
        <v>2527</v>
      </c>
    </row>
    <row r="943" spans="1:2" ht="15" customHeight="1" x14ac:dyDescent="0.25">
      <c r="A943" s="204" t="s">
        <v>2528</v>
      </c>
      <c r="B943" s="204" t="s">
        <v>2529</v>
      </c>
    </row>
    <row r="944" spans="1:2" ht="15" customHeight="1" x14ac:dyDescent="0.25">
      <c r="A944" s="204" t="s">
        <v>2530</v>
      </c>
      <c r="B944" s="204" t="s">
        <v>2531</v>
      </c>
    </row>
    <row r="945" spans="1:2" ht="15" customHeight="1" x14ac:dyDescent="0.25">
      <c r="A945" s="204" t="s">
        <v>2532</v>
      </c>
      <c r="B945" s="204" t="s">
        <v>2533</v>
      </c>
    </row>
    <row r="946" spans="1:2" ht="15" customHeight="1" x14ac:dyDescent="0.25">
      <c r="A946" s="204" t="s">
        <v>2534</v>
      </c>
      <c r="B946" s="204" t="s">
        <v>2535</v>
      </c>
    </row>
    <row r="947" spans="1:2" ht="15" customHeight="1" x14ac:dyDescent="0.25">
      <c r="A947" s="204" t="s">
        <v>2536</v>
      </c>
      <c r="B947" s="204" t="s">
        <v>2537</v>
      </c>
    </row>
    <row r="948" spans="1:2" ht="15" customHeight="1" x14ac:dyDescent="0.25">
      <c r="A948" s="204" t="s">
        <v>2538</v>
      </c>
      <c r="B948" s="204" t="s">
        <v>2539</v>
      </c>
    </row>
    <row r="949" spans="1:2" ht="15" customHeight="1" x14ac:dyDescent="0.25">
      <c r="A949" s="204" t="s">
        <v>2540</v>
      </c>
      <c r="B949" s="204" t="s">
        <v>2541</v>
      </c>
    </row>
    <row r="950" spans="1:2" ht="15" customHeight="1" x14ac:dyDescent="0.25">
      <c r="A950" s="204" t="s">
        <v>2542</v>
      </c>
      <c r="B950" s="204" t="s">
        <v>2543</v>
      </c>
    </row>
    <row r="951" spans="1:2" ht="15" customHeight="1" x14ac:dyDescent="0.25">
      <c r="A951" s="204" t="s">
        <v>2544</v>
      </c>
      <c r="B951" s="204" t="s">
        <v>2284</v>
      </c>
    </row>
    <row r="952" spans="1:2" ht="15" customHeight="1" x14ac:dyDescent="0.25">
      <c r="A952" s="204" t="s">
        <v>2545</v>
      </c>
      <c r="B952" s="204" t="s">
        <v>2546</v>
      </c>
    </row>
    <row r="953" spans="1:2" ht="15" customHeight="1" x14ac:dyDescent="0.25">
      <c r="A953" s="204" t="s">
        <v>2547</v>
      </c>
      <c r="B953" s="204" t="s">
        <v>2548</v>
      </c>
    </row>
    <row r="954" spans="1:2" ht="15" customHeight="1" x14ac:dyDescent="0.25">
      <c r="A954" s="204" t="s">
        <v>2549</v>
      </c>
      <c r="B954" s="204" t="s">
        <v>2550</v>
      </c>
    </row>
    <row r="955" spans="1:2" ht="15" customHeight="1" x14ac:dyDescent="0.25">
      <c r="A955" s="204" t="s">
        <v>2551</v>
      </c>
      <c r="B955" s="204" t="s">
        <v>2552</v>
      </c>
    </row>
    <row r="956" spans="1:2" ht="15" customHeight="1" x14ac:dyDescent="0.25">
      <c r="A956" s="204" t="s">
        <v>2553</v>
      </c>
      <c r="B956" s="204" t="s">
        <v>2554</v>
      </c>
    </row>
    <row r="957" spans="1:2" ht="15" customHeight="1" x14ac:dyDescent="0.25">
      <c r="A957" s="204" t="s">
        <v>2555</v>
      </c>
      <c r="B957" s="204" t="s">
        <v>2477</v>
      </c>
    </row>
    <row r="958" spans="1:2" ht="15" customHeight="1" x14ac:dyDescent="0.25">
      <c r="A958" s="204" t="s">
        <v>2556</v>
      </c>
      <c r="B958" s="204" t="s">
        <v>2557</v>
      </c>
    </row>
    <row r="959" spans="1:2" ht="15" customHeight="1" x14ac:dyDescent="0.25">
      <c r="A959" s="204" t="s">
        <v>2558</v>
      </c>
      <c r="B959" s="204" t="s">
        <v>2045</v>
      </c>
    </row>
    <row r="960" spans="1:2" ht="15" customHeight="1" x14ac:dyDescent="0.25">
      <c r="A960" s="204" t="s">
        <v>2559</v>
      </c>
      <c r="B960" s="204" t="s">
        <v>2560</v>
      </c>
    </row>
    <row r="961" spans="1:2" ht="15" customHeight="1" x14ac:dyDescent="0.25">
      <c r="A961" s="204" t="s">
        <v>2561</v>
      </c>
      <c r="B961" s="204" t="s">
        <v>2562</v>
      </c>
    </row>
    <row r="962" spans="1:2" ht="15" customHeight="1" x14ac:dyDescent="0.25">
      <c r="A962" s="204" t="s">
        <v>2563</v>
      </c>
      <c r="B962" s="204" t="s">
        <v>2564</v>
      </c>
    </row>
    <row r="963" spans="1:2" ht="15" customHeight="1" x14ac:dyDescent="0.25">
      <c r="A963" s="203" t="s">
        <v>2565</v>
      </c>
      <c r="B963" s="203" t="s">
        <v>2566</v>
      </c>
    </row>
    <row r="964" spans="1:2" ht="15" customHeight="1" x14ac:dyDescent="0.25">
      <c r="A964" s="204" t="s">
        <v>2567</v>
      </c>
      <c r="B964" s="204" t="s">
        <v>2568</v>
      </c>
    </row>
    <row r="965" spans="1:2" ht="15" customHeight="1" x14ac:dyDescent="0.25">
      <c r="A965" s="204" t="s">
        <v>2569</v>
      </c>
      <c r="B965" s="204" t="s">
        <v>2570</v>
      </c>
    </row>
    <row r="966" spans="1:2" ht="15" customHeight="1" x14ac:dyDescent="0.25">
      <c r="A966" s="204" t="s">
        <v>2571</v>
      </c>
      <c r="B966" s="204" t="s">
        <v>2572</v>
      </c>
    </row>
    <row r="967" spans="1:2" ht="15" customHeight="1" x14ac:dyDescent="0.25">
      <c r="A967" s="203" t="s">
        <v>2573</v>
      </c>
      <c r="B967" s="203" t="s">
        <v>2574</v>
      </c>
    </row>
    <row r="968" spans="1:2" ht="15" customHeight="1" x14ac:dyDescent="0.25">
      <c r="A968" s="204" t="s">
        <v>2575</v>
      </c>
      <c r="B968" s="204" t="s">
        <v>2576</v>
      </c>
    </row>
    <row r="969" spans="1:2" ht="15" customHeight="1" x14ac:dyDescent="0.25">
      <c r="A969" s="204" t="s">
        <v>2577</v>
      </c>
      <c r="B969" s="204" t="s">
        <v>2578</v>
      </c>
    </row>
    <row r="970" spans="1:2" ht="15" customHeight="1" x14ac:dyDescent="0.25">
      <c r="A970" s="204" t="s">
        <v>2579</v>
      </c>
      <c r="B970" s="204" t="s">
        <v>2580</v>
      </c>
    </row>
    <row r="971" spans="1:2" ht="15" customHeight="1" x14ac:dyDescent="0.25">
      <c r="A971" s="204" t="s">
        <v>2581</v>
      </c>
      <c r="B971" s="204" t="s">
        <v>2582</v>
      </c>
    </row>
    <row r="972" spans="1:2" ht="15" customHeight="1" x14ac:dyDescent="0.25">
      <c r="A972" s="204" t="s">
        <v>2583</v>
      </c>
      <c r="B972" s="204" t="s">
        <v>2584</v>
      </c>
    </row>
    <row r="973" spans="1:2" ht="15" customHeight="1" x14ac:dyDescent="0.25">
      <c r="A973" s="204" t="s">
        <v>2585</v>
      </c>
      <c r="B973" s="204" t="s">
        <v>2586</v>
      </c>
    </row>
    <row r="974" spans="1:2" ht="15" customHeight="1" x14ac:dyDescent="0.25">
      <c r="A974" s="204" t="s">
        <v>2587</v>
      </c>
      <c r="B974" s="204" t="s">
        <v>2588</v>
      </c>
    </row>
    <row r="975" spans="1:2" ht="15" customHeight="1" x14ac:dyDescent="0.25">
      <c r="A975" s="204" t="s">
        <v>2589</v>
      </c>
      <c r="B975" s="204" t="s">
        <v>511</v>
      </c>
    </row>
  </sheetData>
  <pageMargins left="0.39370078740157483" right="0.39370078740157483" top="0.39370078740157483" bottom="0.39370078740157483" header="0.19685039370078741" footer="0.19685039370078741"/>
  <pageSetup paperSize="9" scale="68" pageOrder="overThenDown" orientation="landscape" r:id="rId1"/>
  <headerFooter>
    <oddFooter>&amp;L&amp;G&amp;R&amp;"Arial,Standard"&amp;9Seite &amp;P /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42C1B-A5AA-4C1D-AA61-EC8D96A818C4}">
  <sheetPr codeName="Tabelle12"/>
  <dimension ref="A1:D2328"/>
  <sheetViews>
    <sheetView workbookViewId="0">
      <selection activeCell="F19" sqref="F19"/>
    </sheetView>
  </sheetViews>
  <sheetFormatPr baseColWidth="10" defaultColWidth="11.44140625" defaultRowHeight="14.4" x14ac:dyDescent="0.3"/>
  <cols>
    <col min="1" max="1" width="15.33203125" style="33" customWidth="1"/>
    <col min="2" max="3" width="15.33203125" style="32" customWidth="1"/>
    <col min="4" max="4" width="120.33203125" style="281" customWidth="1"/>
    <col min="5" max="16384" width="11.44140625" style="281"/>
  </cols>
  <sheetData>
    <row r="1" spans="1:4" x14ac:dyDescent="0.3">
      <c r="A1" s="278" t="s">
        <v>2703</v>
      </c>
      <c r="B1" s="279" t="s">
        <v>2704</v>
      </c>
      <c r="C1" s="279" t="s">
        <v>2705</v>
      </c>
      <c r="D1" s="280" t="s">
        <v>2706</v>
      </c>
    </row>
    <row r="2" spans="1:4" x14ac:dyDescent="0.3">
      <c r="A2" s="309" t="s">
        <v>824</v>
      </c>
      <c r="B2" s="310" t="s">
        <v>2708</v>
      </c>
      <c r="C2" s="310" t="s">
        <v>2708</v>
      </c>
      <c r="D2" s="311" t="s">
        <v>7268</v>
      </c>
    </row>
    <row r="3" spans="1:4" x14ac:dyDescent="0.3">
      <c r="A3" s="309"/>
      <c r="B3" s="310"/>
      <c r="C3" s="310"/>
      <c r="D3" s="311" t="s">
        <v>190</v>
      </c>
    </row>
    <row r="4" spans="1:4" x14ac:dyDescent="0.3">
      <c r="A4" s="282" t="s">
        <v>2707</v>
      </c>
      <c r="B4" s="283" t="s">
        <v>2708</v>
      </c>
      <c r="C4" s="283" t="s">
        <v>495</v>
      </c>
      <c r="D4" s="284" t="s">
        <v>2709</v>
      </c>
    </row>
    <row r="5" spans="1:4" x14ac:dyDescent="0.3">
      <c r="A5" s="282" t="s">
        <v>2710</v>
      </c>
      <c r="B5" s="283" t="s">
        <v>2708</v>
      </c>
      <c r="C5" s="283" t="s">
        <v>495</v>
      </c>
      <c r="D5" s="284" t="s">
        <v>2711</v>
      </c>
    </row>
    <row r="6" spans="1:4" x14ac:dyDescent="0.3">
      <c r="A6" s="282" t="s">
        <v>2712</v>
      </c>
      <c r="B6" s="283" t="s">
        <v>2708</v>
      </c>
      <c r="C6" s="283" t="s">
        <v>495</v>
      </c>
      <c r="D6" s="284" t="s">
        <v>2713</v>
      </c>
    </row>
    <row r="7" spans="1:4" x14ac:dyDescent="0.3">
      <c r="A7" s="282" t="s">
        <v>2714</v>
      </c>
      <c r="B7" s="283" t="s">
        <v>2708</v>
      </c>
      <c r="C7" s="283" t="s">
        <v>495</v>
      </c>
      <c r="D7" s="284" t="s">
        <v>2715</v>
      </c>
    </row>
    <row r="8" spans="1:4" x14ac:dyDescent="0.3">
      <c r="A8" s="282" t="s">
        <v>2716</v>
      </c>
      <c r="B8" s="283" t="s">
        <v>2708</v>
      </c>
      <c r="C8" s="283" t="s">
        <v>495</v>
      </c>
      <c r="D8" s="284" t="s">
        <v>2717</v>
      </c>
    </row>
    <row r="9" spans="1:4" x14ac:dyDescent="0.3">
      <c r="A9" s="282" t="s">
        <v>2718</v>
      </c>
      <c r="B9" s="283" t="s">
        <v>2708</v>
      </c>
      <c r="C9" s="283" t="s">
        <v>495</v>
      </c>
      <c r="D9" s="284" t="s">
        <v>2719</v>
      </c>
    </row>
    <row r="10" spans="1:4" x14ac:dyDescent="0.3">
      <c r="A10" s="282" t="s">
        <v>2720</v>
      </c>
      <c r="B10" s="283" t="s">
        <v>2708</v>
      </c>
      <c r="C10" s="283" t="s">
        <v>495</v>
      </c>
      <c r="D10" s="284" t="s">
        <v>2721</v>
      </c>
    </row>
    <row r="11" spans="1:4" x14ac:dyDescent="0.3">
      <c r="A11" s="282" t="s">
        <v>2722</v>
      </c>
      <c r="B11" s="283" t="s">
        <v>2708</v>
      </c>
      <c r="C11" s="283" t="s">
        <v>495</v>
      </c>
      <c r="D11" s="284" t="s">
        <v>2723</v>
      </c>
    </row>
    <row r="12" spans="1:4" x14ac:dyDescent="0.3">
      <c r="A12" s="282" t="s">
        <v>2724</v>
      </c>
      <c r="B12" s="283" t="s">
        <v>2708</v>
      </c>
      <c r="C12" s="283" t="s">
        <v>495</v>
      </c>
      <c r="D12" s="284" t="s">
        <v>2725</v>
      </c>
    </row>
    <row r="13" spans="1:4" x14ac:dyDescent="0.3">
      <c r="A13" s="282" t="s">
        <v>2726</v>
      </c>
      <c r="B13" s="283" t="s">
        <v>2708</v>
      </c>
      <c r="C13" s="283" t="s">
        <v>495</v>
      </c>
      <c r="D13" s="284" t="s">
        <v>2727</v>
      </c>
    </row>
    <row r="14" spans="1:4" x14ac:dyDescent="0.3">
      <c r="A14" s="282" t="s">
        <v>2728</v>
      </c>
      <c r="B14" s="283" t="s">
        <v>2708</v>
      </c>
      <c r="C14" s="283" t="s">
        <v>495</v>
      </c>
      <c r="D14" s="284" t="s">
        <v>2729</v>
      </c>
    </row>
    <row r="15" spans="1:4" x14ac:dyDescent="0.3">
      <c r="A15" s="282" t="s">
        <v>2730</v>
      </c>
      <c r="B15" s="283" t="s">
        <v>2708</v>
      </c>
      <c r="C15" s="283" t="s">
        <v>495</v>
      </c>
      <c r="D15" s="284" t="s">
        <v>2731</v>
      </c>
    </row>
    <row r="16" spans="1:4" x14ac:dyDescent="0.3">
      <c r="A16" s="282" t="s">
        <v>2732</v>
      </c>
      <c r="B16" s="283" t="s">
        <v>2708</v>
      </c>
      <c r="C16" s="283" t="s">
        <v>495</v>
      </c>
      <c r="D16" s="284" t="s">
        <v>2733</v>
      </c>
    </row>
    <row r="17" spans="1:4" x14ac:dyDescent="0.3">
      <c r="A17" s="282" t="s">
        <v>2734</v>
      </c>
      <c r="B17" s="283" t="s">
        <v>2708</v>
      </c>
      <c r="C17" s="283" t="s">
        <v>495</v>
      </c>
      <c r="D17" s="284" t="s">
        <v>2735</v>
      </c>
    </row>
    <row r="18" spans="1:4" x14ac:dyDescent="0.3">
      <c r="A18" s="282" t="s">
        <v>2736</v>
      </c>
      <c r="B18" s="283" t="s">
        <v>2708</v>
      </c>
      <c r="C18" s="283" t="s">
        <v>495</v>
      </c>
      <c r="D18" s="284" t="s">
        <v>2737</v>
      </c>
    </row>
    <row r="19" spans="1:4" x14ac:dyDescent="0.3">
      <c r="A19" s="282" t="s">
        <v>2738</v>
      </c>
      <c r="B19" s="283" t="s">
        <v>2708</v>
      </c>
      <c r="C19" s="283" t="s">
        <v>495</v>
      </c>
      <c r="D19" s="284" t="s">
        <v>2739</v>
      </c>
    </row>
    <row r="20" spans="1:4" x14ac:dyDescent="0.3">
      <c r="A20" s="282" t="s">
        <v>2740</v>
      </c>
      <c r="B20" s="283" t="s">
        <v>2708</v>
      </c>
      <c r="C20" s="283" t="s">
        <v>495</v>
      </c>
      <c r="D20" s="284" t="s">
        <v>2741</v>
      </c>
    </row>
    <row r="21" spans="1:4" x14ac:dyDescent="0.3">
      <c r="A21" s="282" t="s">
        <v>2742</v>
      </c>
      <c r="B21" s="283" t="s">
        <v>2708</v>
      </c>
      <c r="C21" s="283" t="s">
        <v>495</v>
      </c>
      <c r="D21" s="284" t="s">
        <v>2743</v>
      </c>
    </row>
    <row r="22" spans="1:4" x14ac:dyDescent="0.3">
      <c r="A22" s="282" t="s">
        <v>2744</v>
      </c>
      <c r="B22" s="283" t="s">
        <v>2708</v>
      </c>
      <c r="C22" s="283" t="s">
        <v>495</v>
      </c>
      <c r="D22" s="284" t="s">
        <v>2745</v>
      </c>
    </row>
    <row r="23" spans="1:4" x14ac:dyDescent="0.3">
      <c r="A23" s="282" t="s">
        <v>2746</v>
      </c>
      <c r="B23" s="283" t="s">
        <v>2708</v>
      </c>
      <c r="C23" s="283" t="s">
        <v>495</v>
      </c>
      <c r="D23" s="284" t="s">
        <v>2747</v>
      </c>
    </row>
    <row r="24" spans="1:4" x14ac:dyDescent="0.3">
      <c r="A24" s="282" t="s">
        <v>2748</v>
      </c>
      <c r="B24" s="283" t="s">
        <v>2708</v>
      </c>
      <c r="C24" s="283" t="s">
        <v>495</v>
      </c>
      <c r="D24" s="284" t="s">
        <v>2749</v>
      </c>
    </row>
    <row r="25" spans="1:4" x14ac:dyDescent="0.3">
      <c r="A25" s="282" t="s">
        <v>2750</v>
      </c>
      <c r="B25" s="283" t="s">
        <v>2708</v>
      </c>
      <c r="C25" s="283" t="s">
        <v>495</v>
      </c>
      <c r="D25" s="284" t="s">
        <v>2751</v>
      </c>
    </row>
    <row r="26" spans="1:4" x14ac:dyDescent="0.3">
      <c r="A26" s="282" t="s">
        <v>2752</v>
      </c>
      <c r="B26" s="283" t="s">
        <v>2708</v>
      </c>
      <c r="C26" s="283" t="s">
        <v>495</v>
      </c>
      <c r="D26" s="284" t="s">
        <v>2753</v>
      </c>
    </row>
    <row r="27" spans="1:4" x14ac:dyDescent="0.3">
      <c r="A27" s="282" t="s">
        <v>2754</v>
      </c>
      <c r="B27" s="283" t="s">
        <v>2708</v>
      </c>
      <c r="C27" s="283" t="s">
        <v>495</v>
      </c>
      <c r="D27" s="284" t="s">
        <v>2755</v>
      </c>
    </row>
    <row r="28" spans="1:4" x14ac:dyDescent="0.3">
      <c r="A28" s="282" t="s">
        <v>2756</v>
      </c>
      <c r="B28" s="283" t="s">
        <v>2708</v>
      </c>
      <c r="C28" s="283" t="s">
        <v>495</v>
      </c>
      <c r="D28" s="284" t="s">
        <v>2757</v>
      </c>
    </row>
    <row r="29" spans="1:4" x14ac:dyDescent="0.3">
      <c r="A29" s="282" t="s">
        <v>2758</v>
      </c>
      <c r="B29" s="283" t="s">
        <v>2708</v>
      </c>
      <c r="C29" s="283" t="s">
        <v>495</v>
      </c>
      <c r="D29" s="284" t="s">
        <v>2759</v>
      </c>
    </row>
    <row r="30" spans="1:4" x14ac:dyDescent="0.3">
      <c r="A30" s="282" t="s">
        <v>2760</v>
      </c>
      <c r="B30" s="283" t="s">
        <v>2708</v>
      </c>
      <c r="C30" s="283" t="s">
        <v>495</v>
      </c>
      <c r="D30" s="284" t="s">
        <v>2761</v>
      </c>
    </row>
    <row r="31" spans="1:4" x14ac:dyDescent="0.3">
      <c r="A31" s="282" t="s">
        <v>2762</v>
      </c>
      <c r="B31" s="283" t="s">
        <v>2708</v>
      </c>
      <c r="C31" s="283" t="s">
        <v>495</v>
      </c>
      <c r="D31" s="284" t="s">
        <v>2763</v>
      </c>
    </row>
    <row r="32" spans="1:4" x14ac:dyDescent="0.3">
      <c r="A32" s="282" t="s">
        <v>2764</v>
      </c>
      <c r="B32" s="283" t="s">
        <v>2708</v>
      </c>
      <c r="C32" s="283" t="s">
        <v>495</v>
      </c>
      <c r="D32" s="284" t="s">
        <v>2765</v>
      </c>
    </row>
    <row r="33" spans="1:4" x14ac:dyDescent="0.3">
      <c r="A33" s="282" t="s">
        <v>2766</v>
      </c>
      <c r="B33" s="283" t="s">
        <v>2708</v>
      </c>
      <c r="C33" s="283" t="s">
        <v>495</v>
      </c>
      <c r="D33" s="284" t="s">
        <v>2767</v>
      </c>
    </row>
    <row r="34" spans="1:4" x14ac:dyDescent="0.3">
      <c r="A34" s="282" t="s">
        <v>2768</v>
      </c>
      <c r="B34" s="283" t="s">
        <v>2708</v>
      </c>
      <c r="C34" s="283" t="s">
        <v>495</v>
      </c>
      <c r="D34" s="284" t="s">
        <v>2769</v>
      </c>
    </row>
    <row r="35" spans="1:4" x14ac:dyDescent="0.3">
      <c r="A35" s="282" t="s">
        <v>2770</v>
      </c>
      <c r="B35" s="283" t="s">
        <v>2708</v>
      </c>
      <c r="C35" s="283" t="s">
        <v>495</v>
      </c>
      <c r="D35" s="284" t="s">
        <v>2771</v>
      </c>
    </row>
    <row r="36" spans="1:4" x14ac:dyDescent="0.3">
      <c r="A36" s="282" t="s">
        <v>2772</v>
      </c>
      <c r="B36" s="283" t="s">
        <v>2708</v>
      </c>
      <c r="C36" s="283" t="s">
        <v>495</v>
      </c>
      <c r="D36" s="284" t="s">
        <v>2773</v>
      </c>
    </row>
    <row r="37" spans="1:4" x14ac:dyDescent="0.3">
      <c r="A37" s="282" t="s">
        <v>2774</v>
      </c>
      <c r="B37" s="283" t="s">
        <v>2708</v>
      </c>
      <c r="C37" s="283" t="s">
        <v>495</v>
      </c>
      <c r="D37" s="284" t="s">
        <v>2775</v>
      </c>
    </row>
    <row r="38" spans="1:4" x14ac:dyDescent="0.3">
      <c r="A38" s="282" t="s">
        <v>2776</v>
      </c>
      <c r="B38" s="283" t="s">
        <v>2708</v>
      </c>
      <c r="C38" s="283" t="s">
        <v>495</v>
      </c>
      <c r="D38" s="284" t="s">
        <v>2777</v>
      </c>
    </row>
    <row r="39" spans="1:4" x14ac:dyDescent="0.3">
      <c r="A39" s="282" t="s">
        <v>2778</v>
      </c>
      <c r="B39" s="283" t="s">
        <v>2708</v>
      </c>
      <c r="C39" s="283" t="s">
        <v>495</v>
      </c>
      <c r="D39" s="284" t="s">
        <v>2779</v>
      </c>
    </row>
    <row r="40" spans="1:4" x14ac:dyDescent="0.3">
      <c r="A40" s="282" t="s">
        <v>2780</v>
      </c>
      <c r="B40" s="283" t="s">
        <v>2708</v>
      </c>
      <c r="C40" s="283" t="s">
        <v>495</v>
      </c>
      <c r="D40" s="284" t="s">
        <v>2781</v>
      </c>
    </row>
    <row r="41" spans="1:4" x14ac:dyDescent="0.3">
      <c r="A41" s="282" t="s">
        <v>2782</v>
      </c>
      <c r="B41" s="283" t="s">
        <v>2708</v>
      </c>
      <c r="C41" s="283" t="s">
        <v>495</v>
      </c>
      <c r="D41" s="284" t="s">
        <v>2783</v>
      </c>
    </row>
    <row r="42" spans="1:4" x14ac:dyDescent="0.3">
      <c r="A42" s="282" t="s">
        <v>2784</v>
      </c>
      <c r="B42" s="283" t="s">
        <v>2708</v>
      </c>
      <c r="C42" s="283" t="s">
        <v>495</v>
      </c>
      <c r="D42" s="284" t="s">
        <v>2785</v>
      </c>
    </row>
    <row r="43" spans="1:4" x14ac:dyDescent="0.3">
      <c r="A43" s="282" t="s">
        <v>2786</v>
      </c>
      <c r="B43" s="283" t="s">
        <v>2708</v>
      </c>
      <c r="C43" s="283" t="s">
        <v>495</v>
      </c>
      <c r="D43" s="284" t="s">
        <v>2787</v>
      </c>
    </row>
    <row r="44" spans="1:4" x14ac:dyDescent="0.3">
      <c r="A44" s="282" t="s">
        <v>2788</v>
      </c>
      <c r="B44" s="283" t="s">
        <v>2708</v>
      </c>
      <c r="C44" s="283" t="s">
        <v>495</v>
      </c>
      <c r="D44" s="284" t="s">
        <v>2789</v>
      </c>
    </row>
    <row r="45" spans="1:4" x14ac:dyDescent="0.3">
      <c r="A45" s="282" t="s">
        <v>2790</v>
      </c>
      <c r="B45" s="283" t="s">
        <v>2708</v>
      </c>
      <c r="C45" s="283" t="s">
        <v>495</v>
      </c>
      <c r="D45" s="284" t="s">
        <v>2791</v>
      </c>
    </row>
    <row r="46" spans="1:4" x14ac:dyDescent="0.3">
      <c r="A46" s="282" t="s">
        <v>2792</v>
      </c>
      <c r="B46" s="283" t="s">
        <v>2708</v>
      </c>
      <c r="C46" s="283" t="s">
        <v>495</v>
      </c>
      <c r="D46" s="284" t="s">
        <v>2793</v>
      </c>
    </row>
    <row r="47" spans="1:4" x14ac:dyDescent="0.3">
      <c r="A47" s="282" t="s">
        <v>2794</v>
      </c>
      <c r="B47" s="283" t="s">
        <v>2708</v>
      </c>
      <c r="C47" s="283" t="s">
        <v>495</v>
      </c>
      <c r="D47" s="284" t="s">
        <v>2795</v>
      </c>
    </row>
    <row r="48" spans="1:4" x14ac:dyDescent="0.3">
      <c r="A48" s="282" t="s">
        <v>2796</v>
      </c>
      <c r="B48" s="283" t="s">
        <v>2708</v>
      </c>
      <c r="C48" s="283" t="s">
        <v>495</v>
      </c>
      <c r="D48" s="284" t="s">
        <v>2797</v>
      </c>
    </row>
    <row r="49" spans="1:4" x14ac:dyDescent="0.3">
      <c r="A49" s="282" t="s">
        <v>2798</v>
      </c>
      <c r="B49" s="283" t="s">
        <v>2708</v>
      </c>
      <c r="C49" s="283" t="s">
        <v>495</v>
      </c>
      <c r="D49" s="284" t="s">
        <v>2799</v>
      </c>
    </row>
    <row r="50" spans="1:4" x14ac:dyDescent="0.3">
      <c r="A50" s="282" t="s">
        <v>2800</v>
      </c>
      <c r="B50" s="283" t="s">
        <v>2708</v>
      </c>
      <c r="C50" s="283" t="s">
        <v>495</v>
      </c>
      <c r="D50" s="284" t="s">
        <v>2801</v>
      </c>
    </row>
    <row r="51" spans="1:4" x14ac:dyDescent="0.3">
      <c r="A51" s="282" t="s">
        <v>2802</v>
      </c>
      <c r="B51" s="283" t="s">
        <v>2708</v>
      </c>
      <c r="C51" s="283" t="s">
        <v>495</v>
      </c>
      <c r="D51" s="284" t="s">
        <v>2803</v>
      </c>
    </row>
    <row r="52" spans="1:4" x14ac:dyDescent="0.3">
      <c r="A52" s="282" t="s">
        <v>2804</v>
      </c>
      <c r="B52" s="283" t="s">
        <v>2708</v>
      </c>
      <c r="C52" s="283" t="s">
        <v>495</v>
      </c>
      <c r="D52" s="284" t="s">
        <v>2805</v>
      </c>
    </row>
    <row r="53" spans="1:4" x14ac:dyDescent="0.3">
      <c r="A53" s="282" t="s">
        <v>2806</v>
      </c>
      <c r="B53" s="283" t="s">
        <v>2708</v>
      </c>
      <c r="C53" s="283" t="s">
        <v>495</v>
      </c>
      <c r="D53" s="284" t="s">
        <v>2807</v>
      </c>
    </row>
    <row r="54" spans="1:4" x14ac:dyDescent="0.3">
      <c r="A54" s="282" t="s">
        <v>2808</v>
      </c>
      <c r="B54" s="283" t="s">
        <v>2708</v>
      </c>
      <c r="C54" s="283" t="s">
        <v>495</v>
      </c>
      <c r="D54" s="284" t="s">
        <v>2809</v>
      </c>
    </row>
    <row r="55" spans="1:4" x14ac:dyDescent="0.3">
      <c r="A55" s="282" t="s">
        <v>2810</v>
      </c>
      <c r="B55" s="283" t="s">
        <v>2708</v>
      </c>
      <c r="C55" s="283" t="s">
        <v>495</v>
      </c>
      <c r="D55" s="284" t="s">
        <v>2811</v>
      </c>
    </row>
    <row r="56" spans="1:4" x14ac:dyDescent="0.3">
      <c r="A56" s="282" t="s">
        <v>2812</v>
      </c>
      <c r="B56" s="283" t="s">
        <v>2708</v>
      </c>
      <c r="C56" s="283" t="s">
        <v>495</v>
      </c>
      <c r="D56" s="284" t="s">
        <v>2813</v>
      </c>
    </row>
    <row r="57" spans="1:4" x14ac:dyDescent="0.3">
      <c r="A57" s="282" t="s">
        <v>2814</v>
      </c>
      <c r="B57" s="283" t="s">
        <v>2708</v>
      </c>
      <c r="C57" s="283" t="s">
        <v>495</v>
      </c>
      <c r="D57" s="284" t="s">
        <v>2815</v>
      </c>
    </row>
    <row r="58" spans="1:4" x14ac:dyDescent="0.3">
      <c r="A58" s="282" t="s">
        <v>2816</v>
      </c>
      <c r="B58" s="283" t="s">
        <v>2708</v>
      </c>
      <c r="C58" s="283" t="s">
        <v>495</v>
      </c>
      <c r="D58" s="284" t="s">
        <v>2817</v>
      </c>
    </row>
    <row r="59" spans="1:4" x14ac:dyDescent="0.3">
      <c r="A59" s="282" t="s">
        <v>2818</v>
      </c>
      <c r="B59" s="283" t="s">
        <v>2708</v>
      </c>
      <c r="C59" s="283" t="s">
        <v>495</v>
      </c>
      <c r="D59" s="284" t="s">
        <v>2819</v>
      </c>
    </row>
    <row r="60" spans="1:4" x14ac:dyDescent="0.3">
      <c r="A60" s="282" t="s">
        <v>2820</v>
      </c>
      <c r="B60" s="283" t="s">
        <v>2708</v>
      </c>
      <c r="C60" s="283" t="s">
        <v>495</v>
      </c>
      <c r="D60" s="284" t="s">
        <v>2821</v>
      </c>
    </row>
    <row r="61" spans="1:4" x14ac:dyDescent="0.3">
      <c r="A61" s="282" t="s">
        <v>2822</v>
      </c>
      <c r="B61" s="283" t="s">
        <v>2708</v>
      </c>
      <c r="C61" s="283" t="s">
        <v>495</v>
      </c>
      <c r="D61" s="284" t="s">
        <v>2823</v>
      </c>
    </row>
    <row r="62" spans="1:4" x14ac:dyDescent="0.3">
      <c r="A62" s="282" t="s">
        <v>2824</v>
      </c>
      <c r="B62" s="283" t="s">
        <v>2708</v>
      </c>
      <c r="C62" s="283" t="s">
        <v>495</v>
      </c>
      <c r="D62" s="284" t="s">
        <v>2825</v>
      </c>
    </row>
    <row r="63" spans="1:4" x14ac:dyDescent="0.3">
      <c r="A63" s="282" t="s">
        <v>2826</v>
      </c>
      <c r="B63" s="283" t="s">
        <v>2708</v>
      </c>
      <c r="C63" s="283" t="s">
        <v>495</v>
      </c>
      <c r="D63" s="284" t="s">
        <v>2827</v>
      </c>
    </row>
    <row r="64" spans="1:4" x14ac:dyDescent="0.3">
      <c r="A64" s="282" t="s">
        <v>2828</v>
      </c>
      <c r="B64" s="283" t="s">
        <v>2708</v>
      </c>
      <c r="C64" s="283" t="s">
        <v>495</v>
      </c>
      <c r="D64" s="284" t="s">
        <v>2829</v>
      </c>
    </row>
    <row r="65" spans="1:4" x14ac:dyDescent="0.3">
      <c r="A65" s="282" t="s">
        <v>2830</v>
      </c>
      <c r="B65" s="283" t="s">
        <v>2708</v>
      </c>
      <c r="C65" s="283" t="s">
        <v>495</v>
      </c>
      <c r="D65" s="284" t="s">
        <v>2831</v>
      </c>
    </row>
    <row r="66" spans="1:4" x14ac:dyDescent="0.3">
      <c r="A66" s="282" t="s">
        <v>2832</v>
      </c>
      <c r="B66" s="283" t="s">
        <v>2708</v>
      </c>
      <c r="C66" s="283" t="s">
        <v>495</v>
      </c>
      <c r="D66" s="284" t="s">
        <v>2833</v>
      </c>
    </row>
    <row r="67" spans="1:4" x14ac:dyDescent="0.3">
      <c r="A67" s="282" t="s">
        <v>2834</v>
      </c>
      <c r="B67" s="283" t="s">
        <v>2708</v>
      </c>
      <c r="C67" s="283" t="s">
        <v>495</v>
      </c>
      <c r="D67" s="284" t="s">
        <v>2835</v>
      </c>
    </row>
    <row r="68" spans="1:4" x14ac:dyDescent="0.3">
      <c r="A68" s="282" t="s">
        <v>2836</v>
      </c>
      <c r="B68" s="283" t="s">
        <v>2708</v>
      </c>
      <c r="C68" s="283" t="s">
        <v>495</v>
      </c>
      <c r="D68" s="284" t="s">
        <v>2837</v>
      </c>
    </row>
    <row r="69" spans="1:4" x14ac:dyDescent="0.3">
      <c r="A69" s="282" t="s">
        <v>2838</v>
      </c>
      <c r="B69" s="283" t="s">
        <v>2708</v>
      </c>
      <c r="C69" s="283" t="s">
        <v>495</v>
      </c>
      <c r="D69" s="284" t="s">
        <v>2839</v>
      </c>
    </row>
    <row r="70" spans="1:4" x14ac:dyDescent="0.3">
      <c r="A70" s="282" t="s">
        <v>2840</v>
      </c>
      <c r="B70" s="283" t="s">
        <v>2708</v>
      </c>
      <c r="C70" s="283" t="s">
        <v>495</v>
      </c>
      <c r="D70" s="284" t="s">
        <v>2841</v>
      </c>
    </row>
    <row r="71" spans="1:4" x14ac:dyDescent="0.3">
      <c r="A71" s="282" t="s">
        <v>2842</v>
      </c>
      <c r="B71" s="283" t="s">
        <v>2708</v>
      </c>
      <c r="C71" s="283" t="s">
        <v>495</v>
      </c>
      <c r="D71" s="284" t="s">
        <v>2843</v>
      </c>
    </row>
    <row r="72" spans="1:4" x14ac:dyDescent="0.3">
      <c r="A72" s="282" t="s">
        <v>2844</v>
      </c>
      <c r="B72" s="283" t="s">
        <v>2708</v>
      </c>
      <c r="C72" s="283" t="s">
        <v>495</v>
      </c>
      <c r="D72" s="284" t="s">
        <v>2845</v>
      </c>
    </row>
    <row r="73" spans="1:4" x14ac:dyDescent="0.3">
      <c r="A73" s="282" t="s">
        <v>2844</v>
      </c>
      <c r="B73" s="283" t="s">
        <v>2708</v>
      </c>
      <c r="C73" s="283" t="s">
        <v>2846</v>
      </c>
      <c r="D73" s="284" t="s">
        <v>2847</v>
      </c>
    </row>
    <row r="74" spans="1:4" x14ac:dyDescent="0.3">
      <c r="A74" s="282" t="s">
        <v>2848</v>
      </c>
      <c r="B74" s="283" t="s">
        <v>2708</v>
      </c>
      <c r="C74" s="283" t="s">
        <v>495</v>
      </c>
      <c r="D74" s="284" t="s">
        <v>2849</v>
      </c>
    </row>
    <row r="75" spans="1:4" x14ac:dyDescent="0.3">
      <c r="A75" s="282" t="s">
        <v>2848</v>
      </c>
      <c r="B75" s="283" t="s">
        <v>2708</v>
      </c>
      <c r="C75" s="283" t="s">
        <v>2846</v>
      </c>
      <c r="D75" s="284" t="s">
        <v>2850</v>
      </c>
    </row>
    <row r="76" spans="1:4" x14ac:dyDescent="0.3">
      <c r="A76" s="282" t="s">
        <v>2851</v>
      </c>
      <c r="B76" s="283" t="s">
        <v>2708</v>
      </c>
      <c r="C76" s="283" t="s">
        <v>495</v>
      </c>
      <c r="D76" s="284" t="s">
        <v>2852</v>
      </c>
    </row>
    <row r="77" spans="1:4" x14ac:dyDescent="0.3">
      <c r="A77" s="282" t="s">
        <v>2853</v>
      </c>
      <c r="B77" s="283" t="s">
        <v>2708</v>
      </c>
      <c r="C77" s="283" t="s">
        <v>495</v>
      </c>
      <c r="D77" s="284" t="s">
        <v>2854</v>
      </c>
    </row>
    <row r="78" spans="1:4" x14ac:dyDescent="0.3">
      <c r="A78" s="282" t="s">
        <v>2855</v>
      </c>
      <c r="B78" s="283" t="s">
        <v>2708</v>
      </c>
      <c r="C78" s="283" t="s">
        <v>495</v>
      </c>
      <c r="D78" s="284" t="s">
        <v>2856</v>
      </c>
    </row>
    <row r="79" spans="1:4" x14ac:dyDescent="0.3">
      <c r="A79" s="282" t="s">
        <v>2857</v>
      </c>
      <c r="B79" s="283" t="s">
        <v>2708</v>
      </c>
      <c r="C79" s="283" t="s">
        <v>495</v>
      </c>
      <c r="D79" s="284" t="s">
        <v>2858</v>
      </c>
    </row>
    <row r="80" spans="1:4" x14ac:dyDescent="0.3">
      <c r="A80" s="282" t="s">
        <v>2859</v>
      </c>
      <c r="B80" s="283" t="s">
        <v>2708</v>
      </c>
      <c r="C80" s="283" t="s">
        <v>495</v>
      </c>
      <c r="D80" s="284" t="s">
        <v>2860</v>
      </c>
    </row>
    <row r="81" spans="1:4" x14ac:dyDescent="0.3">
      <c r="A81" s="282" t="s">
        <v>2861</v>
      </c>
      <c r="B81" s="283" t="s">
        <v>2708</v>
      </c>
      <c r="C81" s="283" t="s">
        <v>495</v>
      </c>
      <c r="D81" s="284" t="s">
        <v>2862</v>
      </c>
    </row>
    <row r="82" spans="1:4" x14ac:dyDescent="0.3">
      <c r="A82" s="282" t="s">
        <v>2863</v>
      </c>
      <c r="B82" s="283" t="s">
        <v>2708</v>
      </c>
      <c r="C82" s="283" t="s">
        <v>495</v>
      </c>
      <c r="D82" s="284" t="s">
        <v>2864</v>
      </c>
    </row>
    <row r="83" spans="1:4" x14ac:dyDescent="0.3">
      <c r="A83" s="282" t="s">
        <v>2865</v>
      </c>
      <c r="B83" s="283" t="s">
        <v>2708</v>
      </c>
      <c r="C83" s="283" t="s">
        <v>495</v>
      </c>
      <c r="D83" s="284" t="s">
        <v>2866</v>
      </c>
    </row>
    <row r="84" spans="1:4" x14ac:dyDescent="0.3">
      <c r="A84" s="282" t="s">
        <v>2867</v>
      </c>
      <c r="B84" s="283" t="s">
        <v>2708</v>
      </c>
      <c r="C84" s="283" t="s">
        <v>495</v>
      </c>
      <c r="D84" s="284" t="s">
        <v>2868</v>
      </c>
    </row>
    <row r="85" spans="1:4" x14ac:dyDescent="0.3">
      <c r="A85" s="282" t="s">
        <v>2869</v>
      </c>
      <c r="B85" s="283" t="s">
        <v>2708</v>
      </c>
      <c r="C85" s="283" t="s">
        <v>495</v>
      </c>
      <c r="D85" s="284" t="s">
        <v>2870</v>
      </c>
    </row>
    <row r="86" spans="1:4" x14ac:dyDescent="0.3">
      <c r="A86" s="282" t="s">
        <v>2871</v>
      </c>
      <c r="B86" s="283" t="s">
        <v>2708</v>
      </c>
      <c r="C86" s="283" t="s">
        <v>495</v>
      </c>
      <c r="D86" s="284" t="s">
        <v>2872</v>
      </c>
    </row>
    <row r="87" spans="1:4" x14ac:dyDescent="0.3">
      <c r="A87" s="282" t="s">
        <v>2873</v>
      </c>
      <c r="B87" s="283" t="s">
        <v>2708</v>
      </c>
      <c r="C87" s="283" t="s">
        <v>495</v>
      </c>
      <c r="D87" s="284" t="s">
        <v>2874</v>
      </c>
    </row>
    <row r="88" spans="1:4" x14ac:dyDescent="0.3">
      <c r="A88" s="282" t="s">
        <v>2875</v>
      </c>
      <c r="B88" s="283" t="s">
        <v>2708</v>
      </c>
      <c r="C88" s="283" t="s">
        <v>495</v>
      </c>
      <c r="D88" s="284" t="s">
        <v>2876</v>
      </c>
    </row>
    <row r="89" spans="1:4" x14ac:dyDescent="0.3">
      <c r="A89" s="282" t="s">
        <v>2877</v>
      </c>
      <c r="B89" s="283" t="s">
        <v>2708</v>
      </c>
      <c r="C89" s="283" t="s">
        <v>495</v>
      </c>
      <c r="D89" s="284" t="s">
        <v>2878</v>
      </c>
    </row>
    <row r="90" spans="1:4" x14ac:dyDescent="0.3">
      <c r="A90" s="282" t="s">
        <v>2879</v>
      </c>
      <c r="B90" s="283" t="s">
        <v>2708</v>
      </c>
      <c r="C90" s="283" t="s">
        <v>495</v>
      </c>
      <c r="D90" s="284" t="s">
        <v>2880</v>
      </c>
    </row>
    <row r="91" spans="1:4" x14ac:dyDescent="0.3">
      <c r="A91" s="282" t="s">
        <v>2881</v>
      </c>
      <c r="B91" s="283" t="s">
        <v>2708</v>
      </c>
      <c r="C91" s="283" t="s">
        <v>495</v>
      </c>
      <c r="D91" s="284" t="s">
        <v>2882</v>
      </c>
    </row>
    <row r="92" spans="1:4" x14ac:dyDescent="0.3">
      <c r="A92" s="282" t="s">
        <v>2883</v>
      </c>
      <c r="B92" s="283" t="s">
        <v>2708</v>
      </c>
      <c r="C92" s="283" t="s">
        <v>495</v>
      </c>
      <c r="D92" s="284" t="s">
        <v>2884</v>
      </c>
    </row>
    <row r="93" spans="1:4" x14ac:dyDescent="0.3">
      <c r="A93" s="282" t="s">
        <v>2885</v>
      </c>
      <c r="B93" s="283" t="s">
        <v>2708</v>
      </c>
      <c r="C93" s="283" t="s">
        <v>495</v>
      </c>
      <c r="D93" s="284" t="s">
        <v>2886</v>
      </c>
    </row>
    <row r="94" spans="1:4" x14ac:dyDescent="0.3">
      <c r="A94" s="282" t="s">
        <v>2885</v>
      </c>
      <c r="B94" s="283" t="s">
        <v>2708</v>
      </c>
      <c r="C94" s="283" t="s">
        <v>2846</v>
      </c>
      <c r="D94" s="284" t="s">
        <v>2887</v>
      </c>
    </row>
    <row r="95" spans="1:4" x14ac:dyDescent="0.3">
      <c r="A95" s="282" t="s">
        <v>2888</v>
      </c>
      <c r="B95" s="283" t="s">
        <v>2708</v>
      </c>
      <c r="C95" s="283" t="s">
        <v>495</v>
      </c>
      <c r="D95" s="284" t="s">
        <v>2889</v>
      </c>
    </row>
    <row r="96" spans="1:4" x14ac:dyDescent="0.3">
      <c r="A96" s="282" t="s">
        <v>2890</v>
      </c>
      <c r="B96" s="283" t="s">
        <v>2708</v>
      </c>
      <c r="C96" s="283" t="s">
        <v>495</v>
      </c>
      <c r="D96" s="284" t="s">
        <v>2891</v>
      </c>
    </row>
    <row r="97" spans="1:4" x14ac:dyDescent="0.3">
      <c r="A97" s="282" t="s">
        <v>2892</v>
      </c>
      <c r="B97" s="283" t="s">
        <v>2708</v>
      </c>
      <c r="C97" s="283" t="s">
        <v>495</v>
      </c>
      <c r="D97" s="284" t="s">
        <v>2893</v>
      </c>
    </row>
    <row r="98" spans="1:4" x14ac:dyDescent="0.3">
      <c r="A98" s="282" t="s">
        <v>2892</v>
      </c>
      <c r="B98" s="283" t="s">
        <v>2708</v>
      </c>
      <c r="C98" s="283" t="s">
        <v>2846</v>
      </c>
      <c r="D98" s="284" t="s">
        <v>2894</v>
      </c>
    </row>
    <row r="99" spans="1:4" x14ac:dyDescent="0.3">
      <c r="A99" s="282" t="s">
        <v>2895</v>
      </c>
      <c r="B99" s="283" t="s">
        <v>2708</v>
      </c>
      <c r="C99" s="283" t="s">
        <v>495</v>
      </c>
      <c r="D99" s="284" t="s">
        <v>2896</v>
      </c>
    </row>
    <row r="100" spans="1:4" x14ac:dyDescent="0.3">
      <c r="A100" s="282" t="s">
        <v>2895</v>
      </c>
      <c r="B100" s="283" t="s">
        <v>2708</v>
      </c>
      <c r="C100" s="283" t="s">
        <v>2846</v>
      </c>
      <c r="D100" s="284" t="s">
        <v>2897</v>
      </c>
    </row>
    <row r="101" spans="1:4" x14ac:dyDescent="0.3">
      <c r="A101" s="282" t="s">
        <v>2898</v>
      </c>
      <c r="B101" s="283" t="s">
        <v>2708</v>
      </c>
      <c r="C101" s="283" t="s">
        <v>495</v>
      </c>
      <c r="D101" s="284" t="s">
        <v>2899</v>
      </c>
    </row>
    <row r="102" spans="1:4" x14ac:dyDescent="0.3">
      <c r="A102" s="282" t="s">
        <v>2900</v>
      </c>
      <c r="B102" s="283" t="s">
        <v>2708</v>
      </c>
      <c r="C102" s="283" t="s">
        <v>495</v>
      </c>
      <c r="D102" s="284" t="s">
        <v>2901</v>
      </c>
    </row>
    <row r="103" spans="1:4" x14ac:dyDescent="0.3">
      <c r="A103" s="282" t="s">
        <v>2902</v>
      </c>
      <c r="B103" s="283" t="s">
        <v>2708</v>
      </c>
      <c r="C103" s="283" t="s">
        <v>495</v>
      </c>
      <c r="D103" s="284" t="s">
        <v>2903</v>
      </c>
    </row>
    <row r="104" spans="1:4" x14ac:dyDescent="0.3">
      <c r="A104" s="282" t="s">
        <v>2904</v>
      </c>
      <c r="B104" s="283" t="s">
        <v>2708</v>
      </c>
      <c r="C104" s="283" t="s">
        <v>495</v>
      </c>
      <c r="D104" s="284" t="s">
        <v>2905</v>
      </c>
    </row>
    <row r="105" spans="1:4" x14ac:dyDescent="0.3">
      <c r="A105" s="282" t="s">
        <v>2906</v>
      </c>
      <c r="B105" s="283" t="s">
        <v>2708</v>
      </c>
      <c r="C105" s="283" t="s">
        <v>495</v>
      </c>
      <c r="D105" s="284" t="s">
        <v>2907</v>
      </c>
    </row>
    <row r="106" spans="1:4" x14ac:dyDescent="0.3">
      <c r="A106" s="282" t="s">
        <v>2906</v>
      </c>
      <c r="B106" s="283" t="s">
        <v>2708</v>
      </c>
      <c r="C106" s="283" t="s">
        <v>2846</v>
      </c>
      <c r="D106" s="284" t="s">
        <v>2908</v>
      </c>
    </row>
    <row r="107" spans="1:4" x14ac:dyDescent="0.3">
      <c r="A107" s="282" t="s">
        <v>2909</v>
      </c>
      <c r="B107" s="283" t="s">
        <v>2708</v>
      </c>
      <c r="C107" s="283" t="s">
        <v>495</v>
      </c>
      <c r="D107" s="284" t="s">
        <v>2910</v>
      </c>
    </row>
    <row r="108" spans="1:4" x14ac:dyDescent="0.3">
      <c r="A108" s="282" t="s">
        <v>2911</v>
      </c>
      <c r="B108" s="283" t="s">
        <v>2708</v>
      </c>
      <c r="C108" s="283" t="s">
        <v>495</v>
      </c>
      <c r="D108" s="284" t="s">
        <v>2912</v>
      </c>
    </row>
    <row r="109" spans="1:4" x14ac:dyDescent="0.3">
      <c r="A109" s="282" t="s">
        <v>2913</v>
      </c>
      <c r="B109" s="283" t="s">
        <v>2708</v>
      </c>
      <c r="C109" s="283" t="s">
        <v>495</v>
      </c>
      <c r="D109" s="284" t="s">
        <v>2914</v>
      </c>
    </row>
    <row r="110" spans="1:4" x14ac:dyDescent="0.3">
      <c r="A110" s="282" t="s">
        <v>2915</v>
      </c>
      <c r="B110" s="283" t="s">
        <v>2708</v>
      </c>
      <c r="C110" s="283" t="s">
        <v>495</v>
      </c>
      <c r="D110" s="284" t="s">
        <v>2916</v>
      </c>
    </row>
    <row r="111" spans="1:4" x14ac:dyDescent="0.3">
      <c r="A111" s="282" t="s">
        <v>2917</v>
      </c>
      <c r="B111" s="283" t="s">
        <v>2708</v>
      </c>
      <c r="C111" s="283" t="s">
        <v>495</v>
      </c>
      <c r="D111" s="284" t="s">
        <v>2918</v>
      </c>
    </row>
    <row r="112" spans="1:4" x14ac:dyDescent="0.3">
      <c r="A112" s="282" t="s">
        <v>2919</v>
      </c>
      <c r="B112" s="283" t="s">
        <v>2708</v>
      </c>
      <c r="C112" s="283" t="s">
        <v>495</v>
      </c>
      <c r="D112" s="284" t="s">
        <v>2920</v>
      </c>
    </row>
    <row r="113" spans="1:4" x14ac:dyDescent="0.3">
      <c r="A113" s="282" t="s">
        <v>2921</v>
      </c>
      <c r="B113" s="283" t="s">
        <v>2708</v>
      </c>
      <c r="C113" s="283" t="s">
        <v>495</v>
      </c>
      <c r="D113" s="284" t="s">
        <v>2922</v>
      </c>
    </row>
    <row r="114" spans="1:4" x14ac:dyDescent="0.3">
      <c r="A114" s="282" t="s">
        <v>2921</v>
      </c>
      <c r="B114" s="283" t="s">
        <v>2708</v>
      </c>
      <c r="C114" s="283" t="s">
        <v>2846</v>
      </c>
      <c r="D114" s="284" t="s">
        <v>2923</v>
      </c>
    </row>
    <row r="115" spans="1:4" x14ac:dyDescent="0.3">
      <c r="A115" s="282" t="s">
        <v>2924</v>
      </c>
      <c r="B115" s="283" t="s">
        <v>2708</v>
      </c>
      <c r="C115" s="283" t="s">
        <v>495</v>
      </c>
      <c r="D115" s="284" t="s">
        <v>2925</v>
      </c>
    </row>
    <row r="116" spans="1:4" x14ac:dyDescent="0.3">
      <c r="A116" s="282" t="s">
        <v>2926</v>
      </c>
      <c r="B116" s="283" t="s">
        <v>2708</v>
      </c>
      <c r="C116" s="283" t="s">
        <v>495</v>
      </c>
      <c r="D116" s="284" t="s">
        <v>2927</v>
      </c>
    </row>
    <row r="117" spans="1:4" x14ac:dyDescent="0.3">
      <c r="A117" s="282" t="s">
        <v>2928</v>
      </c>
      <c r="B117" s="283" t="s">
        <v>2708</v>
      </c>
      <c r="C117" s="283" t="s">
        <v>495</v>
      </c>
      <c r="D117" s="284" t="s">
        <v>2929</v>
      </c>
    </row>
    <row r="118" spans="1:4" x14ac:dyDescent="0.3">
      <c r="A118" s="282" t="s">
        <v>2930</v>
      </c>
      <c r="B118" s="283" t="s">
        <v>2708</v>
      </c>
      <c r="C118" s="283" t="s">
        <v>495</v>
      </c>
      <c r="D118" s="284" t="s">
        <v>2931</v>
      </c>
    </row>
    <row r="119" spans="1:4" x14ac:dyDescent="0.3">
      <c r="A119" s="282" t="s">
        <v>2932</v>
      </c>
      <c r="B119" s="283" t="s">
        <v>2708</v>
      </c>
      <c r="C119" s="283" t="s">
        <v>495</v>
      </c>
      <c r="D119" s="284" t="s">
        <v>2933</v>
      </c>
    </row>
    <row r="120" spans="1:4" x14ac:dyDescent="0.3">
      <c r="A120" s="282" t="s">
        <v>2934</v>
      </c>
      <c r="B120" s="283" t="s">
        <v>2708</v>
      </c>
      <c r="C120" s="283" t="s">
        <v>495</v>
      </c>
      <c r="D120" s="284" t="s">
        <v>2935</v>
      </c>
    </row>
    <row r="121" spans="1:4" x14ac:dyDescent="0.3">
      <c r="A121" s="282" t="s">
        <v>2936</v>
      </c>
      <c r="B121" s="283" t="s">
        <v>2708</v>
      </c>
      <c r="C121" s="283" t="s">
        <v>495</v>
      </c>
      <c r="D121" s="284" t="s">
        <v>2937</v>
      </c>
    </row>
    <row r="122" spans="1:4" x14ac:dyDescent="0.3">
      <c r="A122" s="282" t="s">
        <v>2938</v>
      </c>
      <c r="B122" s="283" t="s">
        <v>2708</v>
      </c>
      <c r="C122" s="283" t="s">
        <v>495</v>
      </c>
      <c r="D122" s="284" t="s">
        <v>2939</v>
      </c>
    </row>
    <row r="123" spans="1:4" x14ac:dyDescent="0.3">
      <c r="A123" s="282" t="s">
        <v>2940</v>
      </c>
      <c r="B123" s="283" t="s">
        <v>2708</v>
      </c>
      <c r="C123" s="283" t="s">
        <v>495</v>
      </c>
      <c r="D123" s="284" t="s">
        <v>2941</v>
      </c>
    </row>
    <row r="124" spans="1:4" x14ac:dyDescent="0.3">
      <c r="A124" s="282" t="s">
        <v>2942</v>
      </c>
      <c r="B124" s="283" t="s">
        <v>2708</v>
      </c>
      <c r="C124" s="283" t="s">
        <v>495</v>
      </c>
      <c r="D124" s="284" t="s">
        <v>2943</v>
      </c>
    </row>
    <row r="125" spans="1:4" x14ac:dyDescent="0.3">
      <c r="A125" s="282" t="s">
        <v>2944</v>
      </c>
      <c r="B125" s="283" t="s">
        <v>2708</v>
      </c>
      <c r="C125" s="283" t="s">
        <v>495</v>
      </c>
      <c r="D125" s="284" t="s">
        <v>2945</v>
      </c>
    </row>
    <row r="126" spans="1:4" x14ac:dyDescent="0.3">
      <c r="A126" s="282" t="s">
        <v>2946</v>
      </c>
      <c r="B126" s="283" t="s">
        <v>2708</v>
      </c>
      <c r="C126" s="283" t="s">
        <v>495</v>
      </c>
      <c r="D126" s="284" t="s">
        <v>2858</v>
      </c>
    </row>
    <row r="127" spans="1:4" x14ac:dyDescent="0.3">
      <c r="A127" s="282" t="s">
        <v>2947</v>
      </c>
      <c r="B127" s="283" t="s">
        <v>2708</v>
      </c>
      <c r="C127" s="283" t="s">
        <v>495</v>
      </c>
      <c r="D127" s="284" t="s">
        <v>2948</v>
      </c>
    </row>
    <row r="128" spans="1:4" x14ac:dyDescent="0.3">
      <c r="A128" s="282" t="s">
        <v>2949</v>
      </c>
      <c r="B128" s="283" t="s">
        <v>2708</v>
      </c>
      <c r="C128" s="283" t="s">
        <v>495</v>
      </c>
      <c r="D128" s="284" t="s">
        <v>2803</v>
      </c>
    </row>
    <row r="129" spans="1:4" x14ac:dyDescent="0.3">
      <c r="A129" s="282" t="s">
        <v>2950</v>
      </c>
      <c r="B129" s="283" t="s">
        <v>2708</v>
      </c>
      <c r="C129" s="283" t="s">
        <v>495</v>
      </c>
      <c r="D129" s="284" t="s">
        <v>2951</v>
      </c>
    </row>
    <row r="130" spans="1:4" x14ac:dyDescent="0.3">
      <c r="A130" s="282" t="s">
        <v>2952</v>
      </c>
      <c r="B130" s="283" t="s">
        <v>2708</v>
      </c>
      <c r="C130" s="283" t="s">
        <v>495</v>
      </c>
      <c r="D130" s="284" t="s">
        <v>2953</v>
      </c>
    </row>
    <row r="131" spans="1:4" x14ac:dyDescent="0.3">
      <c r="A131" s="282" t="s">
        <v>2954</v>
      </c>
      <c r="B131" s="283" t="s">
        <v>2708</v>
      </c>
      <c r="C131" s="283" t="s">
        <v>495</v>
      </c>
      <c r="D131" s="284" t="s">
        <v>2918</v>
      </c>
    </row>
    <row r="132" spans="1:4" x14ac:dyDescent="0.3">
      <c r="A132" s="282" t="s">
        <v>2955</v>
      </c>
      <c r="B132" s="283" t="s">
        <v>2708</v>
      </c>
      <c r="C132" s="283" t="s">
        <v>495</v>
      </c>
      <c r="D132" s="284" t="s">
        <v>2935</v>
      </c>
    </row>
    <row r="133" spans="1:4" x14ac:dyDescent="0.3">
      <c r="A133" s="282" t="s">
        <v>2956</v>
      </c>
      <c r="B133" s="283" t="s">
        <v>2708</v>
      </c>
      <c r="C133" s="283" t="s">
        <v>495</v>
      </c>
      <c r="D133" s="284" t="s">
        <v>2957</v>
      </c>
    </row>
    <row r="134" spans="1:4" x14ac:dyDescent="0.3">
      <c r="A134" s="282" t="s">
        <v>2958</v>
      </c>
      <c r="B134" s="283" t="s">
        <v>2708</v>
      </c>
      <c r="C134" s="283" t="s">
        <v>495</v>
      </c>
      <c r="D134" s="284" t="s">
        <v>2959</v>
      </c>
    </row>
    <row r="135" spans="1:4" x14ac:dyDescent="0.3">
      <c r="A135" s="282" t="s">
        <v>2960</v>
      </c>
      <c r="B135" s="283" t="s">
        <v>2708</v>
      </c>
      <c r="C135" s="283" t="s">
        <v>495</v>
      </c>
      <c r="D135" s="284" t="s">
        <v>2935</v>
      </c>
    </row>
    <row r="136" spans="1:4" x14ac:dyDescent="0.3">
      <c r="A136" s="282" t="s">
        <v>2961</v>
      </c>
      <c r="B136" s="283" t="s">
        <v>2708</v>
      </c>
      <c r="C136" s="283" t="s">
        <v>495</v>
      </c>
      <c r="D136" s="284" t="s">
        <v>2868</v>
      </c>
    </row>
    <row r="137" spans="1:4" x14ac:dyDescent="0.3">
      <c r="A137" s="282" t="s">
        <v>2962</v>
      </c>
      <c r="B137" s="283" t="s">
        <v>2708</v>
      </c>
      <c r="C137" s="283" t="s">
        <v>495</v>
      </c>
      <c r="D137" s="284" t="s">
        <v>2963</v>
      </c>
    </row>
    <row r="138" spans="1:4" x14ac:dyDescent="0.3">
      <c r="A138" s="282" t="s">
        <v>2964</v>
      </c>
      <c r="B138" s="283" t="s">
        <v>2708</v>
      </c>
      <c r="C138" s="283" t="s">
        <v>495</v>
      </c>
      <c r="D138" s="284" t="s">
        <v>2735</v>
      </c>
    </row>
    <row r="139" spans="1:4" x14ac:dyDescent="0.3">
      <c r="A139" s="282" t="s">
        <v>2965</v>
      </c>
      <c r="B139" s="283" t="s">
        <v>2708</v>
      </c>
      <c r="C139" s="283" t="s">
        <v>495</v>
      </c>
      <c r="D139" s="284" t="s">
        <v>2966</v>
      </c>
    </row>
    <row r="140" spans="1:4" x14ac:dyDescent="0.3">
      <c r="A140" s="282" t="s">
        <v>2967</v>
      </c>
      <c r="B140" s="283" t="s">
        <v>2708</v>
      </c>
      <c r="C140" s="283" t="s">
        <v>495</v>
      </c>
      <c r="D140" s="284" t="s">
        <v>2968</v>
      </c>
    </row>
    <row r="141" spans="1:4" x14ac:dyDescent="0.3">
      <c r="A141" s="282" t="s">
        <v>2969</v>
      </c>
      <c r="B141" s="283" t="s">
        <v>2708</v>
      </c>
      <c r="C141" s="283" t="s">
        <v>495</v>
      </c>
      <c r="D141" s="284" t="s">
        <v>2929</v>
      </c>
    </row>
    <row r="142" spans="1:4" x14ac:dyDescent="0.3">
      <c r="A142" s="282" t="s">
        <v>2970</v>
      </c>
      <c r="B142" s="283" t="s">
        <v>2708</v>
      </c>
      <c r="C142" s="283" t="s">
        <v>495</v>
      </c>
      <c r="D142" s="284" t="s">
        <v>2755</v>
      </c>
    </row>
    <row r="143" spans="1:4" x14ac:dyDescent="0.3">
      <c r="A143" s="282" t="s">
        <v>2971</v>
      </c>
      <c r="B143" s="283" t="s">
        <v>2708</v>
      </c>
      <c r="C143" s="283" t="s">
        <v>495</v>
      </c>
      <c r="D143" s="284" t="s">
        <v>2795</v>
      </c>
    </row>
    <row r="144" spans="1:4" x14ac:dyDescent="0.3">
      <c r="A144" s="282" t="s">
        <v>2972</v>
      </c>
      <c r="B144" s="283" t="s">
        <v>2708</v>
      </c>
      <c r="C144" s="283" t="s">
        <v>495</v>
      </c>
      <c r="D144" s="284" t="s">
        <v>2731</v>
      </c>
    </row>
    <row r="145" spans="1:4" x14ac:dyDescent="0.3">
      <c r="A145" s="282" t="s">
        <v>2973</v>
      </c>
      <c r="B145" s="283" t="s">
        <v>2708</v>
      </c>
      <c r="C145" s="283" t="s">
        <v>495</v>
      </c>
      <c r="D145" s="284" t="s">
        <v>2966</v>
      </c>
    </row>
    <row r="146" spans="1:4" x14ac:dyDescent="0.3">
      <c r="A146" s="282" t="s">
        <v>2974</v>
      </c>
      <c r="B146" s="283" t="s">
        <v>2708</v>
      </c>
      <c r="C146" s="283" t="s">
        <v>495</v>
      </c>
      <c r="D146" s="284" t="s">
        <v>2829</v>
      </c>
    </row>
    <row r="147" spans="1:4" x14ac:dyDescent="0.3">
      <c r="A147" s="282" t="s">
        <v>2975</v>
      </c>
      <c r="B147" s="283" t="s">
        <v>2708</v>
      </c>
      <c r="C147" s="283" t="s">
        <v>495</v>
      </c>
      <c r="D147" s="284" t="s">
        <v>2864</v>
      </c>
    </row>
    <row r="148" spans="1:4" x14ac:dyDescent="0.3">
      <c r="A148" s="282" t="s">
        <v>2976</v>
      </c>
      <c r="B148" s="283" t="s">
        <v>2708</v>
      </c>
      <c r="C148" s="283" t="s">
        <v>495</v>
      </c>
      <c r="D148" s="284" t="s">
        <v>2977</v>
      </c>
    </row>
    <row r="149" spans="1:4" x14ac:dyDescent="0.3">
      <c r="A149" s="282" t="s">
        <v>2978</v>
      </c>
      <c r="B149" s="283" t="s">
        <v>2708</v>
      </c>
      <c r="C149" s="283" t="s">
        <v>495</v>
      </c>
      <c r="D149" s="284" t="s">
        <v>2858</v>
      </c>
    </row>
    <row r="150" spans="1:4" x14ac:dyDescent="0.3">
      <c r="A150" s="282" t="s">
        <v>2979</v>
      </c>
      <c r="B150" s="283" t="s">
        <v>2708</v>
      </c>
      <c r="C150" s="283" t="s">
        <v>495</v>
      </c>
      <c r="D150" s="284" t="s">
        <v>2733</v>
      </c>
    </row>
    <row r="151" spans="1:4" x14ac:dyDescent="0.3">
      <c r="A151" s="282" t="s">
        <v>2980</v>
      </c>
      <c r="B151" s="283" t="s">
        <v>2708</v>
      </c>
      <c r="C151" s="283" t="s">
        <v>495</v>
      </c>
      <c r="D151" s="284" t="s">
        <v>2981</v>
      </c>
    </row>
    <row r="152" spans="1:4" x14ac:dyDescent="0.3">
      <c r="A152" s="282" t="s">
        <v>2982</v>
      </c>
      <c r="B152" s="283" t="s">
        <v>2708</v>
      </c>
      <c r="C152" s="283" t="s">
        <v>495</v>
      </c>
      <c r="D152" s="284" t="s">
        <v>2721</v>
      </c>
    </row>
    <row r="153" spans="1:4" x14ac:dyDescent="0.3">
      <c r="A153" s="282" t="s">
        <v>2983</v>
      </c>
      <c r="B153" s="283" t="s">
        <v>2708</v>
      </c>
      <c r="C153" s="283" t="s">
        <v>495</v>
      </c>
      <c r="D153" s="284" t="s">
        <v>2984</v>
      </c>
    </row>
    <row r="154" spans="1:4" x14ac:dyDescent="0.3">
      <c r="A154" s="282" t="s">
        <v>2985</v>
      </c>
      <c r="B154" s="283" t="s">
        <v>2708</v>
      </c>
      <c r="C154" s="283" t="s">
        <v>495</v>
      </c>
      <c r="D154" s="284" t="s">
        <v>2789</v>
      </c>
    </row>
    <row r="155" spans="1:4" x14ac:dyDescent="0.3">
      <c r="A155" s="282" t="s">
        <v>2986</v>
      </c>
      <c r="B155" s="283" t="s">
        <v>2708</v>
      </c>
      <c r="C155" s="283" t="s">
        <v>495</v>
      </c>
      <c r="D155" s="284" t="s">
        <v>2889</v>
      </c>
    </row>
    <row r="156" spans="1:4" x14ac:dyDescent="0.3">
      <c r="A156" s="282" t="s">
        <v>2987</v>
      </c>
      <c r="B156" s="283" t="s">
        <v>2708</v>
      </c>
      <c r="C156" s="283" t="s">
        <v>495</v>
      </c>
      <c r="D156" s="284" t="s">
        <v>2745</v>
      </c>
    </row>
    <row r="157" spans="1:4" x14ac:dyDescent="0.3">
      <c r="A157" s="282" t="s">
        <v>2988</v>
      </c>
      <c r="B157" s="283" t="s">
        <v>2708</v>
      </c>
      <c r="C157" s="283" t="s">
        <v>495</v>
      </c>
      <c r="D157" s="284" t="s">
        <v>2989</v>
      </c>
    </row>
    <row r="158" spans="1:4" x14ac:dyDescent="0.3">
      <c r="A158" s="282" t="s">
        <v>2990</v>
      </c>
      <c r="B158" s="283" t="s">
        <v>2708</v>
      </c>
      <c r="C158" s="283" t="s">
        <v>495</v>
      </c>
      <c r="D158" s="284" t="s">
        <v>2813</v>
      </c>
    </row>
    <row r="159" spans="1:4" x14ac:dyDescent="0.3">
      <c r="A159" s="282" t="s">
        <v>2991</v>
      </c>
      <c r="B159" s="283" t="s">
        <v>2708</v>
      </c>
      <c r="C159" s="283" t="s">
        <v>495</v>
      </c>
      <c r="D159" s="284" t="s">
        <v>2992</v>
      </c>
    </row>
    <row r="160" spans="1:4" x14ac:dyDescent="0.3">
      <c r="A160" s="282" t="s">
        <v>2993</v>
      </c>
      <c r="B160" s="283" t="s">
        <v>2708</v>
      </c>
      <c r="C160" s="283" t="s">
        <v>495</v>
      </c>
      <c r="D160" s="284" t="s">
        <v>2805</v>
      </c>
    </row>
    <row r="161" spans="1:4" x14ac:dyDescent="0.3">
      <c r="A161" s="282" t="s">
        <v>2994</v>
      </c>
      <c r="B161" s="283" t="s">
        <v>2708</v>
      </c>
      <c r="C161" s="283" t="s">
        <v>495</v>
      </c>
      <c r="D161" s="284" t="s">
        <v>2995</v>
      </c>
    </row>
    <row r="162" spans="1:4" x14ac:dyDescent="0.3">
      <c r="A162" s="282" t="s">
        <v>2996</v>
      </c>
      <c r="B162" s="283" t="s">
        <v>2708</v>
      </c>
      <c r="C162" s="283" t="s">
        <v>495</v>
      </c>
      <c r="D162" s="284" t="s">
        <v>2997</v>
      </c>
    </row>
    <row r="163" spans="1:4" x14ac:dyDescent="0.3">
      <c r="A163" s="282" t="s">
        <v>2998</v>
      </c>
      <c r="B163" s="283" t="s">
        <v>2708</v>
      </c>
      <c r="C163" s="283" t="s">
        <v>495</v>
      </c>
      <c r="D163" s="284" t="s">
        <v>2999</v>
      </c>
    </row>
    <row r="164" spans="1:4" x14ac:dyDescent="0.3">
      <c r="A164" s="282" t="s">
        <v>3000</v>
      </c>
      <c r="B164" s="283" t="s">
        <v>2708</v>
      </c>
      <c r="C164" s="283" t="s">
        <v>495</v>
      </c>
      <c r="D164" s="284" t="s">
        <v>3001</v>
      </c>
    </row>
    <row r="165" spans="1:4" x14ac:dyDescent="0.3">
      <c r="A165" s="282" t="s">
        <v>3002</v>
      </c>
      <c r="B165" s="283" t="s">
        <v>2708</v>
      </c>
      <c r="C165" s="283" t="s">
        <v>495</v>
      </c>
      <c r="D165" s="284" t="s">
        <v>2856</v>
      </c>
    </row>
    <row r="166" spans="1:4" x14ac:dyDescent="0.3">
      <c r="A166" s="282" t="s">
        <v>3003</v>
      </c>
      <c r="B166" s="283" t="s">
        <v>2708</v>
      </c>
      <c r="C166" s="283" t="s">
        <v>495</v>
      </c>
      <c r="D166" s="284" t="s">
        <v>2813</v>
      </c>
    </row>
    <row r="167" spans="1:4" x14ac:dyDescent="0.3">
      <c r="A167" s="282" t="s">
        <v>3004</v>
      </c>
      <c r="B167" s="283" t="s">
        <v>2708</v>
      </c>
      <c r="C167" s="283" t="s">
        <v>495</v>
      </c>
      <c r="D167" s="284" t="s">
        <v>2717</v>
      </c>
    </row>
    <row r="168" spans="1:4" x14ac:dyDescent="0.3">
      <c r="A168" s="282" t="s">
        <v>3005</v>
      </c>
      <c r="B168" s="283" t="s">
        <v>2708</v>
      </c>
      <c r="C168" s="283" t="s">
        <v>495</v>
      </c>
      <c r="D168" s="284" t="s">
        <v>3006</v>
      </c>
    </row>
    <row r="169" spans="1:4" x14ac:dyDescent="0.3">
      <c r="A169" s="282" t="s">
        <v>3007</v>
      </c>
      <c r="B169" s="283" t="s">
        <v>2708</v>
      </c>
      <c r="C169" s="283" t="s">
        <v>495</v>
      </c>
      <c r="D169" s="284" t="s">
        <v>3008</v>
      </c>
    </row>
    <row r="170" spans="1:4" x14ac:dyDescent="0.3">
      <c r="A170" s="282" t="s">
        <v>3009</v>
      </c>
      <c r="B170" s="283" t="s">
        <v>3010</v>
      </c>
      <c r="C170" s="283" t="s">
        <v>495</v>
      </c>
      <c r="D170" s="284" t="s">
        <v>3011</v>
      </c>
    </row>
    <row r="171" spans="1:4" x14ac:dyDescent="0.3">
      <c r="A171" s="282" t="s">
        <v>3012</v>
      </c>
      <c r="B171" s="283" t="s">
        <v>3010</v>
      </c>
      <c r="C171" s="283" t="s">
        <v>495</v>
      </c>
      <c r="D171" s="284" t="s">
        <v>3013</v>
      </c>
    </row>
    <row r="172" spans="1:4" x14ac:dyDescent="0.3">
      <c r="A172" s="282" t="s">
        <v>3014</v>
      </c>
      <c r="B172" s="283" t="s">
        <v>2708</v>
      </c>
      <c r="C172" s="283" t="s">
        <v>495</v>
      </c>
      <c r="D172" s="284" t="s">
        <v>3015</v>
      </c>
    </row>
    <row r="173" spans="1:4" x14ac:dyDescent="0.3">
      <c r="A173" s="282" t="s">
        <v>3016</v>
      </c>
      <c r="B173" s="283" t="s">
        <v>2708</v>
      </c>
      <c r="C173" s="283" t="s">
        <v>495</v>
      </c>
      <c r="D173" s="284" t="s">
        <v>2717</v>
      </c>
    </row>
    <row r="174" spans="1:4" x14ac:dyDescent="0.3">
      <c r="A174" s="282" t="s">
        <v>3017</v>
      </c>
      <c r="B174" s="283" t="s">
        <v>2708</v>
      </c>
      <c r="C174" s="283" t="s">
        <v>495</v>
      </c>
      <c r="D174" s="284" t="s">
        <v>2715</v>
      </c>
    </row>
    <row r="175" spans="1:4" x14ac:dyDescent="0.3">
      <c r="A175" s="282" t="s">
        <v>3018</v>
      </c>
      <c r="B175" s="283" t="s">
        <v>2708</v>
      </c>
      <c r="C175" s="283" t="s">
        <v>495</v>
      </c>
      <c r="D175" s="284" t="s">
        <v>3019</v>
      </c>
    </row>
    <row r="176" spans="1:4" x14ac:dyDescent="0.3">
      <c r="A176" s="282" t="s">
        <v>3020</v>
      </c>
      <c r="B176" s="283" t="s">
        <v>2708</v>
      </c>
      <c r="C176" s="283" t="s">
        <v>495</v>
      </c>
      <c r="D176" s="284" t="s">
        <v>3021</v>
      </c>
    </row>
    <row r="177" spans="1:4" x14ac:dyDescent="0.3">
      <c r="A177" s="282" t="s">
        <v>3022</v>
      </c>
      <c r="B177" s="283" t="s">
        <v>2708</v>
      </c>
      <c r="C177" s="283" t="s">
        <v>495</v>
      </c>
      <c r="D177" s="284" t="s">
        <v>3023</v>
      </c>
    </row>
    <row r="178" spans="1:4" x14ac:dyDescent="0.3">
      <c r="A178" s="282" t="s">
        <v>3024</v>
      </c>
      <c r="B178" s="283" t="s">
        <v>2708</v>
      </c>
      <c r="C178" s="283" t="s">
        <v>495</v>
      </c>
      <c r="D178" s="284" t="s">
        <v>3025</v>
      </c>
    </row>
    <row r="179" spans="1:4" x14ac:dyDescent="0.3">
      <c r="A179" s="282" t="s">
        <v>3026</v>
      </c>
      <c r="B179" s="283" t="s">
        <v>2708</v>
      </c>
      <c r="C179" s="283" t="s">
        <v>495</v>
      </c>
      <c r="D179" s="284" t="s">
        <v>2856</v>
      </c>
    </row>
    <row r="180" spans="1:4" x14ac:dyDescent="0.3">
      <c r="A180" s="282" t="s">
        <v>3027</v>
      </c>
      <c r="B180" s="283" t="s">
        <v>2708</v>
      </c>
      <c r="C180" s="283" t="s">
        <v>495</v>
      </c>
      <c r="D180" s="284" t="s">
        <v>3028</v>
      </c>
    </row>
    <row r="181" spans="1:4" x14ac:dyDescent="0.3">
      <c r="A181" s="282" t="s">
        <v>3029</v>
      </c>
      <c r="B181" s="283" t="s">
        <v>2708</v>
      </c>
      <c r="C181" s="283" t="s">
        <v>495</v>
      </c>
      <c r="D181" s="284" t="s">
        <v>3030</v>
      </c>
    </row>
    <row r="182" spans="1:4" x14ac:dyDescent="0.3">
      <c r="A182" s="282" t="s">
        <v>3031</v>
      </c>
      <c r="B182" s="283" t="s">
        <v>2708</v>
      </c>
      <c r="C182" s="283" t="s">
        <v>495</v>
      </c>
      <c r="D182" s="284" t="s">
        <v>2997</v>
      </c>
    </row>
    <row r="183" spans="1:4" x14ac:dyDescent="0.3">
      <c r="A183" s="282" t="s">
        <v>3032</v>
      </c>
      <c r="B183" s="283" t="s">
        <v>2708</v>
      </c>
      <c r="C183" s="283" t="s">
        <v>495</v>
      </c>
      <c r="D183" s="284" t="s">
        <v>3033</v>
      </c>
    </row>
    <row r="184" spans="1:4" x14ac:dyDescent="0.3">
      <c r="A184" s="282" t="s">
        <v>3034</v>
      </c>
      <c r="B184" s="283" t="s">
        <v>2708</v>
      </c>
      <c r="C184" s="283" t="s">
        <v>495</v>
      </c>
      <c r="D184" s="284" t="s">
        <v>3035</v>
      </c>
    </row>
    <row r="185" spans="1:4" x14ac:dyDescent="0.3">
      <c r="A185" s="282" t="s">
        <v>3036</v>
      </c>
      <c r="B185" s="283" t="s">
        <v>2708</v>
      </c>
      <c r="C185" s="283" t="s">
        <v>495</v>
      </c>
      <c r="D185" s="284" t="s">
        <v>3037</v>
      </c>
    </row>
    <row r="186" spans="1:4" x14ac:dyDescent="0.3">
      <c r="A186" s="282" t="s">
        <v>3038</v>
      </c>
      <c r="B186" s="283" t="s">
        <v>2708</v>
      </c>
      <c r="C186" s="283" t="s">
        <v>495</v>
      </c>
      <c r="D186" s="284" t="s">
        <v>3039</v>
      </c>
    </row>
    <row r="187" spans="1:4" x14ac:dyDescent="0.3">
      <c r="A187" s="282" t="s">
        <v>3040</v>
      </c>
      <c r="B187" s="283" t="s">
        <v>2708</v>
      </c>
      <c r="C187" s="283" t="s">
        <v>495</v>
      </c>
      <c r="D187" s="284" t="s">
        <v>3041</v>
      </c>
    </row>
    <row r="188" spans="1:4" x14ac:dyDescent="0.3">
      <c r="A188" s="282" t="s">
        <v>3042</v>
      </c>
      <c r="B188" s="283" t="s">
        <v>2708</v>
      </c>
      <c r="C188" s="283" t="s">
        <v>495</v>
      </c>
      <c r="D188" s="284" t="s">
        <v>3043</v>
      </c>
    </row>
    <row r="189" spans="1:4" x14ac:dyDescent="0.3">
      <c r="A189" s="282" t="s">
        <v>3044</v>
      </c>
      <c r="B189" s="283" t="s">
        <v>2708</v>
      </c>
      <c r="C189" s="283" t="s">
        <v>495</v>
      </c>
      <c r="D189" s="284" t="s">
        <v>3045</v>
      </c>
    </row>
    <row r="190" spans="1:4" x14ac:dyDescent="0.3">
      <c r="A190" s="282" t="s">
        <v>3046</v>
      </c>
      <c r="B190" s="283" t="s">
        <v>2708</v>
      </c>
      <c r="C190" s="283" t="s">
        <v>495</v>
      </c>
      <c r="D190" s="284" t="s">
        <v>3047</v>
      </c>
    </row>
    <row r="191" spans="1:4" x14ac:dyDescent="0.3">
      <c r="A191" s="282" t="s">
        <v>3048</v>
      </c>
      <c r="B191" s="283" t="s">
        <v>2708</v>
      </c>
      <c r="C191" s="283" t="s">
        <v>495</v>
      </c>
      <c r="D191" s="284" t="s">
        <v>2968</v>
      </c>
    </row>
    <row r="192" spans="1:4" x14ac:dyDescent="0.3">
      <c r="A192" s="282" t="s">
        <v>3049</v>
      </c>
      <c r="B192" s="283" t="s">
        <v>2708</v>
      </c>
      <c r="C192" s="283" t="s">
        <v>495</v>
      </c>
      <c r="D192" s="284" t="s">
        <v>3050</v>
      </c>
    </row>
    <row r="193" spans="1:4" x14ac:dyDescent="0.3">
      <c r="A193" s="282" t="s">
        <v>3051</v>
      </c>
      <c r="B193" s="283" t="s">
        <v>2708</v>
      </c>
      <c r="C193" s="283" t="s">
        <v>495</v>
      </c>
      <c r="D193" s="284" t="s">
        <v>2805</v>
      </c>
    </row>
    <row r="194" spans="1:4" x14ac:dyDescent="0.3">
      <c r="A194" s="282" t="s">
        <v>3052</v>
      </c>
      <c r="B194" s="283" t="s">
        <v>2708</v>
      </c>
      <c r="C194" s="283" t="s">
        <v>495</v>
      </c>
      <c r="D194" s="284" t="s">
        <v>2872</v>
      </c>
    </row>
    <row r="195" spans="1:4" x14ac:dyDescent="0.3">
      <c r="A195" s="282" t="s">
        <v>3053</v>
      </c>
      <c r="B195" s="283" t="s">
        <v>2708</v>
      </c>
      <c r="C195" s="283" t="s">
        <v>495</v>
      </c>
      <c r="D195" s="284" t="s">
        <v>2977</v>
      </c>
    </row>
    <row r="196" spans="1:4" x14ac:dyDescent="0.3">
      <c r="A196" s="282" t="s">
        <v>3054</v>
      </c>
      <c r="B196" s="283" t="s">
        <v>2708</v>
      </c>
      <c r="C196" s="283" t="s">
        <v>495</v>
      </c>
      <c r="D196" s="284" t="s">
        <v>2995</v>
      </c>
    </row>
    <row r="197" spans="1:4" x14ac:dyDescent="0.3">
      <c r="A197" s="282" t="s">
        <v>3055</v>
      </c>
      <c r="B197" s="283" t="s">
        <v>2708</v>
      </c>
      <c r="C197" s="283" t="s">
        <v>495</v>
      </c>
      <c r="D197" s="284" t="s">
        <v>2739</v>
      </c>
    </row>
    <row r="198" spans="1:4" x14ac:dyDescent="0.3">
      <c r="A198" s="282" t="s">
        <v>3056</v>
      </c>
      <c r="B198" s="283" t="s">
        <v>2708</v>
      </c>
      <c r="C198" s="283" t="s">
        <v>495</v>
      </c>
      <c r="D198" s="284" t="s">
        <v>3057</v>
      </c>
    </row>
    <row r="199" spans="1:4" x14ac:dyDescent="0.3">
      <c r="A199" s="282" t="s">
        <v>3058</v>
      </c>
      <c r="B199" s="283" t="s">
        <v>2708</v>
      </c>
      <c r="C199" s="283" t="s">
        <v>495</v>
      </c>
      <c r="D199" s="284" t="s">
        <v>3059</v>
      </c>
    </row>
    <row r="200" spans="1:4" x14ac:dyDescent="0.3">
      <c r="A200" s="282" t="s">
        <v>3060</v>
      </c>
      <c r="B200" s="283" t="s">
        <v>2708</v>
      </c>
      <c r="C200" s="283" t="s">
        <v>495</v>
      </c>
      <c r="D200" s="284" t="s">
        <v>3061</v>
      </c>
    </row>
    <row r="201" spans="1:4" x14ac:dyDescent="0.3">
      <c r="A201" s="282" t="s">
        <v>3062</v>
      </c>
      <c r="B201" s="283" t="s">
        <v>2708</v>
      </c>
      <c r="C201" s="283" t="s">
        <v>495</v>
      </c>
      <c r="D201" s="284" t="s">
        <v>3063</v>
      </c>
    </row>
    <row r="202" spans="1:4" x14ac:dyDescent="0.3">
      <c r="A202" s="282" t="s">
        <v>3064</v>
      </c>
      <c r="B202" s="283" t="s">
        <v>2708</v>
      </c>
      <c r="C202" s="283" t="s">
        <v>495</v>
      </c>
      <c r="D202" s="284" t="s">
        <v>3065</v>
      </c>
    </row>
    <row r="203" spans="1:4" x14ac:dyDescent="0.3">
      <c r="A203" s="282" t="s">
        <v>3066</v>
      </c>
      <c r="B203" s="283" t="s">
        <v>2708</v>
      </c>
      <c r="C203" s="283" t="s">
        <v>495</v>
      </c>
      <c r="D203" s="284" t="s">
        <v>3067</v>
      </c>
    </row>
    <row r="204" spans="1:4" x14ac:dyDescent="0.3">
      <c r="A204" s="282" t="s">
        <v>3068</v>
      </c>
      <c r="B204" s="283" t="s">
        <v>2708</v>
      </c>
      <c r="C204" s="283" t="s">
        <v>495</v>
      </c>
      <c r="D204" s="284" t="s">
        <v>3069</v>
      </c>
    </row>
    <row r="205" spans="1:4" x14ac:dyDescent="0.3">
      <c r="A205" s="282" t="s">
        <v>3070</v>
      </c>
      <c r="B205" s="283" t="s">
        <v>2708</v>
      </c>
      <c r="C205" s="283" t="s">
        <v>495</v>
      </c>
      <c r="D205" s="284" t="s">
        <v>3071</v>
      </c>
    </row>
    <row r="206" spans="1:4" x14ac:dyDescent="0.3">
      <c r="A206" s="282" t="s">
        <v>3072</v>
      </c>
      <c r="B206" s="283" t="s">
        <v>2708</v>
      </c>
      <c r="C206" s="283" t="s">
        <v>495</v>
      </c>
      <c r="D206" s="284" t="s">
        <v>3073</v>
      </c>
    </row>
    <row r="207" spans="1:4" x14ac:dyDescent="0.3">
      <c r="A207" s="282" t="s">
        <v>3074</v>
      </c>
      <c r="B207" s="283" t="s">
        <v>2708</v>
      </c>
      <c r="C207" s="283" t="s">
        <v>495</v>
      </c>
      <c r="D207" s="284" t="s">
        <v>3075</v>
      </c>
    </row>
    <row r="208" spans="1:4" x14ac:dyDescent="0.3">
      <c r="A208" s="282" t="s">
        <v>3076</v>
      </c>
      <c r="B208" s="283" t="s">
        <v>2708</v>
      </c>
      <c r="C208" s="283" t="s">
        <v>495</v>
      </c>
      <c r="D208" s="284" t="s">
        <v>3077</v>
      </c>
    </row>
    <row r="209" spans="1:4" x14ac:dyDescent="0.3">
      <c r="A209" s="282" t="s">
        <v>3078</v>
      </c>
      <c r="B209" s="283" t="s">
        <v>2708</v>
      </c>
      <c r="C209" s="283" t="s">
        <v>495</v>
      </c>
      <c r="D209" s="284" t="s">
        <v>3079</v>
      </c>
    </row>
    <row r="210" spans="1:4" x14ac:dyDescent="0.3">
      <c r="A210" s="282" t="s">
        <v>3080</v>
      </c>
      <c r="B210" s="283" t="s">
        <v>2708</v>
      </c>
      <c r="C210" s="283" t="s">
        <v>495</v>
      </c>
      <c r="D210" s="284" t="s">
        <v>3081</v>
      </c>
    </row>
    <row r="211" spans="1:4" x14ac:dyDescent="0.3">
      <c r="A211" s="282" t="s">
        <v>3082</v>
      </c>
      <c r="B211" s="283" t="s">
        <v>2708</v>
      </c>
      <c r="C211" s="283" t="s">
        <v>495</v>
      </c>
      <c r="D211" s="284" t="s">
        <v>3083</v>
      </c>
    </row>
    <row r="212" spans="1:4" x14ac:dyDescent="0.3">
      <c r="A212" s="282" t="s">
        <v>3084</v>
      </c>
      <c r="B212" s="283" t="s">
        <v>2708</v>
      </c>
      <c r="C212" s="283" t="s">
        <v>495</v>
      </c>
      <c r="D212" s="284" t="s">
        <v>3085</v>
      </c>
    </row>
    <row r="213" spans="1:4" x14ac:dyDescent="0.3">
      <c r="A213" s="282" t="s">
        <v>3086</v>
      </c>
      <c r="B213" s="283" t="s">
        <v>2708</v>
      </c>
      <c r="C213" s="283" t="s">
        <v>495</v>
      </c>
      <c r="D213" s="284" t="s">
        <v>3087</v>
      </c>
    </row>
    <row r="214" spans="1:4" x14ac:dyDescent="0.3">
      <c r="A214" s="282" t="s">
        <v>3088</v>
      </c>
      <c r="B214" s="283" t="s">
        <v>2708</v>
      </c>
      <c r="C214" s="283" t="s">
        <v>495</v>
      </c>
      <c r="D214" s="284" t="s">
        <v>3089</v>
      </c>
    </row>
    <row r="215" spans="1:4" x14ac:dyDescent="0.3">
      <c r="A215" s="282" t="s">
        <v>3090</v>
      </c>
      <c r="B215" s="283" t="s">
        <v>2708</v>
      </c>
      <c r="C215" s="283" t="s">
        <v>495</v>
      </c>
      <c r="D215" s="284" t="s">
        <v>3089</v>
      </c>
    </row>
    <row r="216" spans="1:4" x14ac:dyDescent="0.3">
      <c r="A216" s="282" t="s">
        <v>3091</v>
      </c>
      <c r="B216" s="283" t="s">
        <v>2708</v>
      </c>
      <c r="C216" s="283" t="s">
        <v>495</v>
      </c>
      <c r="D216" s="284" t="s">
        <v>3092</v>
      </c>
    </row>
    <row r="217" spans="1:4" x14ac:dyDescent="0.3">
      <c r="A217" s="282" t="s">
        <v>3093</v>
      </c>
      <c r="B217" s="283" t="s">
        <v>2708</v>
      </c>
      <c r="C217" s="283" t="s">
        <v>495</v>
      </c>
      <c r="D217" s="284" t="s">
        <v>3094</v>
      </c>
    </row>
    <row r="218" spans="1:4" x14ac:dyDescent="0.3">
      <c r="A218" s="282" t="s">
        <v>3095</v>
      </c>
      <c r="B218" s="283" t="s">
        <v>2708</v>
      </c>
      <c r="C218" s="283" t="s">
        <v>495</v>
      </c>
      <c r="D218" s="284" t="s">
        <v>2787</v>
      </c>
    </row>
    <row r="219" spans="1:4" x14ac:dyDescent="0.3">
      <c r="A219" s="282" t="s">
        <v>3096</v>
      </c>
      <c r="B219" s="283" t="s">
        <v>2708</v>
      </c>
      <c r="C219" s="283" t="s">
        <v>495</v>
      </c>
      <c r="D219" s="284" t="s">
        <v>2745</v>
      </c>
    </row>
    <row r="220" spans="1:4" x14ac:dyDescent="0.3">
      <c r="A220" s="282" t="s">
        <v>3097</v>
      </c>
      <c r="B220" s="283" t="s">
        <v>2708</v>
      </c>
      <c r="C220" s="283" t="s">
        <v>495</v>
      </c>
      <c r="D220" s="284" t="s">
        <v>3098</v>
      </c>
    </row>
    <row r="221" spans="1:4" x14ac:dyDescent="0.3">
      <c r="A221" s="282" t="s">
        <v>3099</v>
      </c>
      <c r="B221" s="283" t="s">
        <v>2708</v>
      </c>
      <c r="C221" s="283" t="s">
        <v>495</v>
      </c>
      <c r="D221" s="284" t="s">
        <v>3100</v>
      </c>
    </row>
    <row r="222" spans="1:4" x14ac:dyDescent="0.3">
      <c r="A222" s="282" t="s">
        <v>3101</v>
      </c>
      <c r="B222" s="283" t="s">
        <v>2708</v>
      </c>
      <c r="C222" s="283" t="s">
        <v>495</v>
      </c>
      <c r="D222" s="284" t="s">
        <v>3102</v>
      </c>
    </row>
    <row r="223" spans="1:4" x14ac:dyDescent="0.3">
      <c r="A223" s="282" t="s">
        <v>3103</v>
      </c>
      <c r="B223" s="283" t="s">
        <v>2708</v>
      </c>
      <c r="C223" s="283" t="s">
        <v>495</v>
      </c>
      <c r="D223" s="284" t="s">
        <v>3104</v>
      </c>
    </row>
    <row r="224" spans="1:4" x14ac:dyDescent="0.3">
      <c r="A224" s="282" t="s">
        <v>3105</v>
      </c>
      <c r="B224" s="283" t="s">
        <v>2708</v>
      </c>
      <c r="C224" s="283" t="s">
        <v>495</v>
      </c>
      <c r="D224" s="284" t="s">
        <v>2997</v>
      </c>
    </row>
    <row r="225" spans="1:4" x14ac:dyDescent="0.3">
      <c r="A225" s="282" t="s">
        <v>3106</v>
      </c>
      <c r="B225" s="283" t="s">
        <v>2708</v>
      </c>
      <c r="C225" s="283" t="s">
        <v>495</v>
      </c>
      <c r="D225" s="284" t="s">
        <v>2717</v>
      </c>
    </row>
    <row r="226" spans="1:4" x14ac:dyDescent="0.3">
      <c r="A226" s="282" t="s">
        <v>3107</v>
      </c>
      <c r="B226" s="283" t="s">
        <v>2708</v>
      </c>
      <c r="C226" s="283" t="s">
        <v>495</v>
      </c>
      <c r="D226" s="284" t="s">
        <v>2935</v>
      </c>
    </row>
    <row r="227" spans="1:4" x14ac:dyDescent="0.3">
      <c r="A227" s="282" t="s">
        <v>3108</v>
      </c>
      <c r="B227" s="283" t="s">
        <v>2708</v>
      </c>
      <c r="C227" s="283" t="s">
        <v>495</v>
      </c>
      <c r="D227" s="284" t="s">
        <v>3006</v>
      </c>
    </row>
    <row r="228" spans="1:4" x14ac:dyDescent="0.3">
      <c r="A228" s="282" t="s">
        <v>3109</v>
      </c>
      <c r="B228" s="283" t="s">
        <v>2708</v>
      </c>
      <c r="C228" s="283" t="s">
        <v>495</v>
      </c>
      <c r="D228" s="284" t="s">
        <v>2785</v>
      </c>
    </row>
    <row r="229" spans="1:4" x14ac:dyDescent="0.3">
      <c r="A229" s="282" t="s">
        <v>3110</v>
      </c>
      <c r="B229" s="283" t="s">
        <v>2708</v>
      </c>
      <c r="C229" s="283" t="s">
        <v>495</v>
      </c>
      <c r="D229" s="284" t="s">
        <v>2787</v>
      </c>
    </row>
    <row r="230" spans="1:4" x14ac:dyDescent="0.3">
      <c r="A230" s="282" t="s">
        <v>3111</v>
      </c>
      <c r="B230" s="283" t="s">
        <v>2708</v>
      </c>
      <c r="C230" s="283" t="s">
        <v>495</v>
      </c>
      <c r="D230" s="284" t="s">
        <v>3028</v>
      </c>
    </row>
    <row r="231" spans="1:4" x14ac:dyDescent="0.3">
      <c r="A231" s="282" t="s">
        <v>3112</v>
      </c>
      <c r="B231" s="283" t="s">
        <v>2708</v>
      </c>
      <c r="C231" s="283" t="s">
        <v>495</v>
      </c>
      <c r="D231" s="284" t="s">
        <v>3030</v>
      </c>
    </row>
    <row r="232" spans="1:4" x14ac:dyDescent="0.3">
      <c r="A232" s="282" t="s">
        <v>3113</v>
      </c>
      <c r="B232" s="283" t="s">
        <v>2708</v>
      </c>
      <c r="C232" s="283" t="s">
        <v>495</v>
      </c>
      <c r="D232" s="284" t="s">
        <v>3114</v>
      </c>
    </row>
    <row r="233" spans="1:4" x14ac:dyDescent="0.3">
      <c r="A233" s="282" t="s">
        <v>3115</v>
      </c>
      <c r="B233" s="283" t="s">
        <v>2708</v>
      </c>
      <c r="C233" s="283" t="s">
        <v>495</v>
      </c>
      <c r="D233" s="284" t="s">
        <v>3116</v>
      </c>
    </row>
    <row r="234" spans="1:4" x14ac:dyDescent="0.3">
      <c r="A234" s="282" t="s">
        <v>3117</v>
      </c>
      <c r="B234" s="283" t="s">
        <v>2708</v>
      </c>
      <c r="C234" s="283" t="s">
        <v>495</v>
      </c>
      <c r="D234" s="284" t="s">
        <v>3030</v>
      </c>
    </row>
    <row r="235" spans="1:4" x14ac:dyDescent="0.3">
      <c r="A235" s="282" t="s">
        <v>3118</v>
      </c>
      <c r="B235" s="283" t="s">
        <v>2708</v>
      </c>
      <c r="C235" s="283" t="s">
        <v>495</v>
      </c>
      <c r="D235" s="284" t="s">
        <v>3119</v>
      </c>
    </row>
    <row r="236" spans="1:4" x14ac:dyDescent="0.3">
      <c r="A236" s="282" t="s">
        <v>3120</v>
      </c>
      <c r="B236" s="283" t="s">
        <v>2708</v>
      </c>
      <c r="C236" s="283" t="s">
        <v>495</v>
      </c>
      <c r="D236" s="284" t="s">
        <v>2751</v>
      </c>
    </row>
    <row r="237" spans="1:4" x14ac:dyDescent="0.3">
      <c r="A237" s="282" t="s">
        <v>3121</v>
      </c>
      <c r="B237" s="283" t="s">
        <v>2708</v>
      </c>
      <c r="C237" s="283" t="s">
        <v>495</v>
      </c>
      <c r="D237" s="284" t="s">
        <v>3122</v>
      </c>
    </row>
    <row r="238" spans="1:4" x14ac:dyDescent="0.3">
      <c r="A238" s="282" t="s">
        <v>3123</v>
      </c>
      <c r="B238" s="283" t="s">
        <v>2708</v>
      </c>
      <c r="C238" s="283" t="s">
        <v>495</v>
      </c>
      <c r="D238" s="284" t="s">
        <v>3124</v>
      </c>
    </row>
    <row r="239" spans="1:4" x14ac:dyDescent="0.3">
      <c r="A239" s="282" t="s">
        <v>3125</v>
      </c>
      <c r="B239" s="283" t="s">
        <v>2708</v>
      </c>
      <c r="C239" s="283" t="s">
        <v>495</v>
      </c>
      <c r="D239" s="284" t="s">
        <v>3126</v>
      </c>
    </row>
    <row r="240" spans="1:4" x14ac:dyDescent="0.3">
      <c r="A240" s="282" t="s">
        <v>3127</v>
      </c>
      <c r="B240" s="283" t="s">
        <v>2708</v>
      </c>
      <c r="C240" s="283" t="s">
        <v>495</v>
      </c>
      <c r="D240" s="284" t="s">
        <v>3128</v>
      </c>
    </row>
    <row r="241" spans="1:4" x14ac:dyDescent="0.3">
      <c r="A241" s="282" t="s">
        <v>3129</v>
      </c>
      <c r="B241" s="283" t="s">
        <v>2708</v>
      </c>
      <c r="C241" s="283" t="s">
        <v>495</v>
      </c>
      <c r="D241" s="284" t="s">
        <v>3130</v>
      </c>
    </row>
    <row r="242" spans="1:4" x14ac:dyDescent="0.3">
      <c r="A242" s="282" t="s">
        <v>3131</v>
      </c>
      <c r="B242" s="283" t="s">
        <v>2708</v>
      </c>
      <c r="C242" s="283" t="s">
        <v>495</v>
      </c>
      <c r="D242" s="284" t="s">
        <v>3008</v>
      </c>
    </row>
    <row r="243" spans="1:4" x14ac:dyDescent="0.3">
      <c r="A243" s="282" t="s">
        <v>3132</v>
      </c>
      <c r="B243" s="283" t="s">
        <v>2708</v>
      </c>
      <c r="C243" s="283" t="s">
        <v>495</v>
      </c>
      <c r="D243" s="284" t="s">
        <v>2805</v>
      </c>
    </row>
    <row r="244" spans="1:4" x14ac:dyDescent="0.3">
      <c r="A244" s="282" t="s">
        <v>3133</v>
      </c>
      <c r="B244" s="283" t="s">
        <v>2708</v>
      </c>
      <c r="C244" s="283" t="s">
        <v>495</v>
      </c>
      <c r="D244" s="284" t="s">
        <v>2931</v>
      </c>
    </row>
    <row r="245" spans="1:4" x14ac:dyDescent="0.3">
      <c r="A245" s="282" t="s">
        <v>3134</v>
      </c>
      <c r="B245" s="283" t="s">
        <v>2708</v>
      </c>
      <c r="C245" s="283" t="s">
        <v>495</v>
      </c>
      <c r="D245" s="284" t="s">
        <v>2813</v>
      </c>
    </row>
    <row r="246" spans="1:4" x14ac:dyDescent="0.3">
      <c r="A246" s="282" t="s">
        <v>3135</v>
      </c>
      <c r="B246" s="283" t="s">
        <v>2708</v>
      </c>
      <c r="C246" s="283" t="s">
        <v>495</v>
      </c>
      <c r="D246" s="284" t="s">
        <v>2953</v>
      </c>
    </row>
    <row r="247" spans="1:4" x14ac:dyDescent="0.3">
      <c r="A247" s="282" t="s">
        <v>3136</v>
      </c>
      <c r="B247" s="283" t="s">
        <v>2708</v>
      </c>
      <c r="C247" s="283" t="s">
        <v>495</v>
      </c>
      <c r="D247" s="284" t="s">
        <v>2948</v>
      </c>
    </row>
    <row r="248" spans="1:4" x14ac:dyDescent="0.3">
      <c r="A248" s="282" t="s">
        <v>3137</v>
      </c>
      <c r="B248" s="283" t="s">
        <v>2708</v>
      </c>
      <c r="C248" s="283" t="s">
        <v>495</v>
      </c>
      <c r="D248" s="284" t="s">
        <v>3138</v>
      </c>
    </row>
    <row r="249" spans="1:4" x14ac:dyDescent="0.3">
      <c r="A249" s="282" t="s">
        <v>3139</v>
      </c>
      <c r="B249" s="283" t="s">
        <v>2708</v>
      </c>
      <c r="C249" s="283" t="s">
        <v>495</v>
      </c>
      <c r="D249" s="284" t="s">
        <v>3140</v>
      </c>
    </row>
    <row r="250" spans="1:4" x14ac:dyDescent="0.3">
      <c r="A250" s="282" t="s">
        <v>3141</v>
      </c>
      <c r="B250" s="283" t="s">
        <v>2708</v>
      </c>
      <c r="C250" s="283" t="s">
        <v>495</v>
      </c>
      <c r="D250" s="284" t="s">
        <v>3033</v>
      </c>
    </row>
    <row r="251" spans="1:4" x14ac:dyDescent="0.3">
      <c r="A251" s="282" t="s">
        <v>3142</v>
      </c>
      <c r="B251" s="283" t="s">
        <v>2708</v>
      </c>
      <c r="C251" s="283" t="s">
        <v>495</v>
      </c>
      <c r="D251" s="284" t="s">
        <v>3035</v>
      </c>
    </row>
    <row r="252" spans="1:4" x14ac:dyDescent="0.3">
      <c r="A252" s="282" t="s">
        <v>3143</v>
      </c>
      <c r="B252" s="283" t="s">
        <v>2708</v>
      </c>
      <c r="C252" s="283" t="s">
        <v>495</v>
      </c>
      <c r="D252" s="284" t="s">
        <v>3144</v>
      </c>
    </row>
    <row r="253" spans="1:4" x14ac:dyDescent="0.3">
      <c r="A253" s="282" t="s">
        <v>3145</v>
      </c>
      <c r="B253" s="283" t="s">
        <v>2708</v>
      </c>
      <c r="C253" s="283" t="s">
        <v>495</v>
      </c>
      <c r="D253" s="284" t="s">
        <v>3146</v>
      </c>
    </row>
    <row r="254" spans="1:4" x14ac:dyDescent="0.3">
      <c r="A254" s="282" t="s">
        <v>3147</v>
      </c>
      <c r="B254" s="283" t="s">
        <v>2708</v>
      </c>
      <c r="C254" s="283" t="s">
        <v>495</v>
      </c>
      <c r="D254" s="284" t="s">
        <v>3148</v>
      </c>
    </row>
    <row r="255" spans="1:4" x14ac:dyDescent="0.3">
      <c r="A255" s="282" t="s">
        <v>3149</v>
      </c>
      <c r="B255" s="283" t="s">
        <v>2708</v>
      </c>
      <c r="C255" s="283" t="s">
        <v>495</v>
      </c>
      <c r="D255" s="284" t="s">
        <v>3035</v>
      </c>
    </row>
    <row r="256" spans="1:4" x14ac:dyDescent="0.3">
      <c r="A256" s="282" t="s">
        <v>3150</v>
      </c>
      <c r="B256" s="283" t="s">
        <v>2708</v>
      </c>
      <c r="C256" s="283" t="s">
        <v>495</v>
      </c>
      <c r="D256" s="284" t="s">
        <v>3151</v>
      </c>
    </row>
    <row r="257" spans="1:4" x14ac:dyDescent="0.3">
      <c r="A257" s="282" t="s">
        <v>3152</v>
      </c>
      <c r="B257" s="283" t="s">
        <v>2708</v>
      </c>
      <c r="C257" s="283" t="s">
        <v>495</v>
      </c>
      <c r="D257" s="284" t="s">
        <v>2989</v>
      </c>
    </row>
    <row r="258" spans="1:4" x14ac:dyDescent="0.3">
      <c r="A258" s="282" t="s">
        <v>3153</v>
      </c>
      <c r="B258" s="283" t="s">
        <v>2708</v>
      </c>
      <c r="C258" s="283" t="s">
        <v>495</v>
      </c>
      <c r="D258" s="284" t="s">
        <v>3039</v>
      </c>
    </row>
    <row r="259" spans="1:4" x14ac:dyDescent="0.3">
      <c r="A259" s="282" t="s">
        <v>3154</v>
      </c>
      <c r="B259" s="283" t="s">
        <v>2708</v>
      </c>
      <c r="C259" s="283" t="s">
        <v>495</v>
      </c>
      <c r="D259" s="284" t="s">
        <v>3155</v>
      </c>
    </row>
    <row r="260" spans="1:4" x14ac:dyDescent="0.3">
      <c r="A260" s="282" t="s">
        <v>3156</v>
      </c>
      <c r="B260" s="283" t="s">
        <v>2708</v>
      </c>
      <c r="C260" s="283" t="s">
        <v>495</v>
      </c>
      <c r="D260" s="284" t="s">
        <v>3157</v>
      </c>
    </row>
    <row r="261" spans="1:4" x14ac:dyDescent="0.3">
      <c r="A261" s="282" t="s">
        <v>3158</v>
      </c>
      <c r="B261" s="283" t="s">
        <v>2708</v>
      </c>
      <c r="C261" s="283" t="s">
        <v>495</v>
      </c>
      <c r="D261" s="284" t="s">
        <v>2935</v>
      </c>
    </row>
    <row r="262" spans="1:4" x14ac:dyDescent="0.3">
      <c r="A262" s="282" t="s">
        <v>3159</v>
      </c>
      <c r="B262" s="283" t="s">
        <v>2708</v>
      </c>
      <c r="C262" s="283" t="s">
        <v>495</v>
      </c>
      <c r="D262" s="284" t="s">
        <v>2874</v>
      </c>
    </row>
    <row r="263" spans="1:4" x14ac:dyDescent="0.3">
      <c r="A263" s="282" t="s">
        <v>3160</v>
      </c>
      <c r="B263" s="283" t="s">
        <v>2708</v>
      </c>
      <c r="C263" s="283" t="s">
        <v>495</v>
      </c>
      <c r="D263" s="284" t="s">
        <v>2815</v>
      </c>
    </row>
    <row r="264" spans="1:4" x14ac:dyDescent="0.3">
      <c r="A264" s="282" t="s">
        <v>3161</v>
      </c>
      <c r="B264" s="283" t="s">
        <v>2708</v>
      </c>
      <c r="C264" s="283" t="s">
        <v>495</v>
      </c>
      <c r="D264" s="284" t="s">
        <v>3162</v>
      </c>
    </row>
    <row r="265" spans="1:4" x14ac:dyDescent="0.3">
      <c r="A265" s="282" t="s">
        <v>3163</v>
      </c>
      <c r="B265" s="283" t="s">
        <v>2708</v>
      </c>
      <c r="C265" s="283" t="s">
        <v>495</v>
      </c>
      <c r="D265" s="284" t="s">
        <v>3164</v>
      </c>
    </row>
    <row r="266" spans="1:4" x14ac:dyDescent="0.3">
      <c r="A266" s="282" t="s">
        <v>3165</v>
      </c>
      <c r="B266" s="283" t="s">
        <v>2708</v>
      </c>
      <c r="C266" s="283" t="s">
        <v>495</v>
      </c>
      <c r="D266" s="284" t="s">
        <v>3162</v>
      </c>
    </row>
    <row r="267" spans="1:4" x14ac:dyDescent="0.3">
      <c r="A267" s="282" t="s">
        <v>3166</v>
      </c>
      <c r="B267" s="283" t="s">
        <v>2708</v>
      </c>
      <c r="C267" s="283" t="s">
        <v>495</v>
      </c>
      <c r="D267" s="284" t="s">
        <v>3167</v>
      </c>
    </row>
    <row r="268" spans="1:4" x14ac:dyDescent="0.3">
      <c r="A268" s="282" t="s">
        <v>3168</v>
      </c>
      <c r="B268" s="283" t="s">
        <v>2708</v>
      </c>
      <c r="C268" s="283" t="s">
        <v>495</v>
      </c>
      <c r="D268" s="284" t="s">
        <v>3037</v>
      </c>
    </row>
    <row r="269" spans="1:4" x14ac:dyDescent="0.3">
      <c r="A269" s="282" t="s">
        <v>3169</v>
      </c>
      <c r="B269" s="283" t="s">
        <v>2708</v>
      </c>
      <c r="C269" s="283" t="s">
        <v>495</v>
      </c>
      <c r="D269" s="284" t="s">
        <v>3167</v>
      </c>
    </row>
    <row r="270" spans="1:4" x14ac:dyDescent="0.3">
      <c r="A270" s="282" t="s">
        <v>3170</v>
      </c>
      <c r="B270" s="283" t="s">
        <v>2708</v>
      </c>
      <c r="C270" s="283" t="s">
        <v>495</v>
      </c>
      <c r="D270" s="284" t="s">
        <v>2866</v>
      </c>
    </row>
    <row r="271" spans="1:4" x14ac:dyDescent="0.3">
      <c r="A271" s="282" t="s">
        <v>3171</v>
      </c>
      <c r="B271" s="283" t="s">
        <v>2708</v>
      </c>
      <c r="C271" s="283" t="s">
        <v>495</v>
      </c>
      <c r="D271" s="284" t="s">
        <v>3172</v>
      </c>
    </row>
    <row r="272" spans="1:4" x14ac:dyDescent="0.3">
      <c r="A272" s="282" t="s">
        <v>3173</v>
      </c>
      <c r="B272" s="283" t="s">
        <v>2708</v>
      </c>
      <c r="C272" s="283" t="s">
        <v>495</v>
      </c>
      <c r="D272" s="284" t="s">
        <v>3174</v>
      </c>
    </row>
    <row r="273" spans="1:4" x14ac:dyDescent="0.3">
      <c r="A273" s="282" t="s">
        <v>3175</v>
      </c>
      <c r="B273" s="283" t="s">
        <v>2708</v>
      </c>
      <c r="C273" s="283" t="s">
        <v>495</v>
      </c>
      <c r="D273" s="284" t="s">
        <v>3176</v>
      </c>
    </row>
    <row r="274" spans="1:4" x14ac:dyDescent="0.3">
      <c r="A274" s="282" t="s">
        <v>3177</v>
      </c>
      <c r="B274" s="283" t="s">
        <v>2708</v>
      </c>
      <c r="C274" s="283" t="s">
        <v>495</v>
      </c>
      <c r="D274" s="284" t="s">
        <v>2989</v>
      </c>
    </row>
    <row r="275" spans="1:4" x14ac:dyDescent="0.3">
      <c r="A275" s="282" t="s">
        <v>3178</v>
      </c>
      <c r="B275" s="283" t="s">
        <v>2708</v>
      </c>
      <c r="C275" s="283" t="s">
        <v>495</v>
      </c>
      <c r="D275" s="284" t="s">
        <v>3179</v>
      </c>
    </row>
    <row r="276" spans="1:4" x14ac:dyDescent="0.3">
      <c r="A276" s="282" t="s">
        <v>3180</v>
      </c>
      <c r="B276" s="283" t="s">
        <v>2708</v>
      </c>
      <c r="C276" s="283" t="s">
        <v>495</v>
      </c>
      <c r="D276" s="284" t="s">
        <v>2854</v>
      </c>
    </row>
    <row r="277" spans="1:4" x14ac:dyDescent="0.3">
      <c r="A277" s="282" t="s">
        <v>3181</v>
      </c>
      <c r="B277" s="283" t="s">
        <v>3182</v>
      </c>
      <c r="C277" s="283" t="s">
        <v>3183</v>
      </c>
      <c r="D277" s="284" t="s">
        <v>3184</v>
      </c>
    </row>
    <row r="278" spans="1:4" x14ac:dyDescent="0.3">
      <c r="A278" s="282" t="s">
        <v>3185</v>
      </c>
      <c r="B278" s="283" t="s">
        <v>3186</v>
      </c>
      <c r="C278" s="283" t="s">
        <v>3183</v>
      </c>
      <c r="D278" s="284" t="s">
        <v>3187</v>
      </c>
    </row>
    <row r="279" spans="1:4" x14ac:dyDescent="0.3">
      <c r="A279" s="282" t="s">
        <v>3188</v>
      </c>
      <c r="B279" s="283" t="s">
        <v>3189</v>
      </c>
      <c r="C279" s="283" t="s">
        <v>3183</v>
      </c>
      <c r="D279" s="284" t="s">
        <v>3190</v>
      </c>
    </row>
    <row r="280" spans="1:4" x14ac:dyDescent="0.3">
      <c r="A280" s="282" t="s">
        <v>3191</v>
      </c>
      <c r="B280" s="283" t="s">
        <v>3192</v>
      </c>
      <c r="C280" s="283" t="s">
        <v>3183</v>
      </c>
      <c r="D280" s="284" t="s">
        <v>3193</v>
      </c>
    </row>
    <row r="281" spans="1:4" x14ac:dyDescent="0.3">
      <c r="A281" s="282" t="s">
        <v>3194</v>
      </c>
      <c r="B281" s="283" t="s">
        <v>3186</v>
      </c>
      <c r="C281" s="283" t="s">
        <v>3183</v>
      </c>
      <c r="D281" s="284" t="s">
        <v>3195</v>
      </c>
    </row>
    <row r="282" spans="1:4" x14ac:dyDescent="0.3">
      <c r="A282" s="282" t="s">
        <v>3196</v>
      </c>
      <c r="B282" s="283" t="s">
        <v>3192</v>
      </c>
      <c r="C282" s="283" t="s">
        <v>3183</v>
      </c>
      <c r="D282" s="284" t="s">
        <v>3197</v>
      </c>
    </row>
    <row r="283" spans="1:4" x14ac:dyDescent="0.3">
      <c r="A283" s="282" t="s">
        <v>3198</v>
      </c>
      <c r="B283" s="283" t="s">
        <v>3186</v>
      </c>
      <c r="C283" s="283" t="s">
        <v>3199</v>
      </c>
      <c r="D283" s="284" t="s">
        <v>3200</v>
      </c>
    </row>
    <row r="284" spans="1:4" x14ac:dyDescent="0.3">
      <c r="A284" s="282" t="s">
        <v>3201</v>
      </c>
      <c r="B284" s="283" t="s">
        <v>3182</v>
      </c>
      <c r="C284" s="283" t="s">
        <v>3183</v>
      </c>
      <c r="D284" s="284" t="s">
        <v>3202</v>
      </c>
    </row>
    <row r="285" spans="1:4" x14ac:dyDescent="0.3">
      <c r="A285" s="282" t="s">
        <v>3203</v>
      </c>
      <c r="B285" s="283" t="s">
        <v>3204</v>
      </c>
      <c r="C285" s="283" t="s">
        <v>3183</v>
      </c>
      <c r="D285" s="284" t="s">
        <v>3205</v>
      </c>
    </row>
    <row r="286" spans="1:4" x14ac:dyDescent="0.3">
      <c r="A286" s="282" t="s">
        <v>3206</v>
      </c>
      <c r="B286" s="283" t="s">
        <v>3204</v>
      </c>
      <c r="C286" s="283" t="s">
        <v>3183</v>
      </c>
      <c r="D286" s="284" t="s">
        <v>3207</v>
      </c>
    </row>
    <row r="287" spans="1:4" x14ac:dyDescent="0.3">
      <c r="A287" s="282" t="s">
        <v>3208</v>
      </c>
      <c r="B287" s="283" t="s">
        <v>3186</v>
      </c>
      <c r="C287" s="283" t="s">
        <v>3183</v>
      </c>
      <c r="D287" s="284" t="s">
        <v>3209</v>
      </c>
    </row>
    <row r="288" spans="1:4" x14ac:dyDescent="0.3">
      <c r="A288" s="282" t="s">
        <v>3210</v>
      </c>
      <c r="B288" s="283" t="s">
        <v>2593</v>
      </c>
      <c r="C288" s="283" t="s">
        <v>3183</v>
      </c>
      <c r="D288" s="284" t="s">
        <v>3211</v>
      </c>
    </row>
    <row r="289" spans="1:4" x14ac:dyDescent="0.3">
      <c r="A289" s="282" t="s">
        <v>3212</v>
      </c>
      <c r="B289" s="283" t="s">
        <v>3186</v>
      </c>
      <c r="C289" s="283" t="s">
        <v>3183</v>
      </c>
      <c r="D289" s="284" t="s">
        <v>3213</v>
      </c>
    </row>
    <row r="290" spans="1:4" x14ac:dyDescent="0.3">
      <c r="A290" s="282" t="s">
        <v>3214</v>
      </c>
      <c r="B290" s="283" t="s">
        <v>3215</v>
      </c>
      <c r="C290" s="283" t="s">
        <v>3183</v>
      </c>
      <c r="D290" s="284" t="s">
        <v>3216</v>
      </c>
    </row>
    <row r="291" spans="1:4" x14ac:dyDescent="0.3">
      <c r="A291" s="282" t="s">
        <v>3217</v>
      </c>
      <c r="B291" s="283" t="s">
        <v>3218</v>
      </c>
      <c r="C291" s="283" t="s">
        <v>3183</v>
      </c>
      <c r="D291" s="284" t="s">
        <v>3219</v>
      </c>
    </row>
    <row r="292" spans="1:4" x14ac:dyDescent="0.3">
      <c r="A292" s="282" t="s">
        <v>3220</v>
      </c>
      <c r="B292" s="283" t="s">
        <v>3186</v>
      </c>
      <c r="C292" s="283" t="s">
        <v>3183</v>
      </c>
      <c r="D292" s="284" t="s">
        <v>3221</v>
      </c>
    </row>
    <row r="293" spans="1:4" x14ac:dyDescent="0.3">
      <c r="A293" s="282" t="s">
        <v>3222</v>
      </c>
      <c r="B293" s="283" t="s">
        <v>3186</v>
      </c>
      <c r="C293" s="283" t="s">
        <v>3183</v>
      </c>
      <c r="D293" s="284" t="s">
        <v>3223</v>
      </c>
    </row>
    <row r="294" spans="1:4" x14ac:dyDescent="0.3">
      <c r="A294" s="282" t="s">
        <v>3224</v>
      </c>
      <c r="B294" s="283" t="s">
        <v>3186</v>
      </c>
      <c r="C294" s="283" t="s">
        <v>3183</v>
      </c>
      <c r="D294" s="284" t="s">
        <v>3225</v>
      </c>
    </row>
    <row r="295" spans="1:4" x14ac:dyDescent="0.3">
      <c r="A295" s="282" t="s">
        <v>3226</v>
      </c>
      <c r="B295" s="283" t="s">
        <v>3186</v>
      </c>
      <c r="C295" s="283" t="s">
        <v>3183</v>
      </c>
      <c r="D295" s="284" t="s">
        <v>3227</v>
      </c>
    </row>
    <row r="296" spans="1:4" x14ac:dyDescent="0.3">
      <c r="A296" s="282" t="s">
        <v>3228</v>
      </c>
      <c r="B296" s="283" t="s">
        <v>3215</v>
      </c>
      <c r="C296" s="283" t="s">
        <v>3183</v>
      </c>
      <c r="D296" s="284" t="s">
        <v>3229</v>
      </c>
    </row>
    <row r="297" spans="1:4" x14ac:dyDescent="0.3">
      <c r="A297" s="282" t="s">
        <v>3230</v>
      </c>
      <c r="B297" s="283" t="s">
        <v>3215</v>
      </c>
      <c r="C297" s="283" t="s">
        <v>3183</v>
      </c>
      <c r="D297" s="284" t="s">
        <v>3231</v>
      </c>
    </row>
    <row r="298" spans="1:4" x14ac:dyDescent="0.3">
      <c r="A298" s="282" t="s">
        <v>3232</v>
      </c>
      <c r="B298" s="283" t="s">
        <v>3204</v>
      </c>
      <c r="C298" s="283" t="s">
        <v>3183</v>
      </c>
      <c r="D298" s="284" t="s">
        <v>3233</v>
      </c>
    </row>
    <row r="299" spans="1:4" x14ac:dyDescent="0.3">
      <c r="A299" s="282" t="s">
        <v>3234</v>
      </c>
      <c r="B299" s="283" t="s">
        <v>3186</v>
      </c>
      <c r="C299" s="283" t="s">
        <v>3183</v>
      </c>
      <c r="D299" s="284" t="s">
        <v>3235</v>
      </c>
    </row>
    <row r="300" spans="1:4" x14ac:dyDescent="0.3">
      <c r="A300" s="282" t="s">
        <v>3236</v>
      </c>
      <c r="B300" s="283" t="s">
        <v>3186</v>
      </c>
      <c r="C300" s="283" t="s">
        <v>3183</v>
      </c>
      <c r="D300" s="284" t="s">
        <v>3237</v>
      </c>
    </row>
    <row r="301" spans="1:4" x14ac:dyDescent="0.3">
      <c r="A301" s="282" t="s">
        <v>3238</v>
      </c>
      <c r="B301" s="283" t="s">
        <v>3204</v>
      </c>
      <c r="C301" s="283" t="s">
        <v>3183</v>
      </c>
      <c r="D301" s="284" t="s">
        <v>3239</v>
      </c>
    </row>
    <row r="302" spans="1:4" x14ac:dyDescent="0.3">
      <c r="A302" s="282" t="s">
        <v>3240</v>
      </c>
      <c r="B302" s="283" t="s">
        <v>3204</v>
      </c>
      <c r="C302" s="283" t="s">
        <v>3183</v>
      </c>
      <c r="D302" s="284" t="s">
        <v>3241</v>
      </c>
    </row>
    <row r="303" spans="1:4" x14ac:dyDescent="0.3">
      <c r="A303" s="282" t="s">
        <v>3242</v>
      </c>
      <c r="B303" s="283" t="s">
        <v>3204</v>
      </c>
      <c r="C303" s="283" t="s">
        <v>3183</v>
      </c>
      <c r="D303" s="284" t="s">
        <v>3243</v>
      </c>
    </row>
    <row r="304" spans="1:4" x14ac:dyDescent="0.3">
      <c r="A304" s="282" t="s">
        <v>3244</v>
      </c>
      <c r="B304" s="283" t="s">
        <v>3204</v>
      </c>
      <c r="C304" s="283" t="s">
        <v>3245</v>
      </c>
      <c r="D304" s="284" t="s">
        <v>3246</v>
      </c>
    </row>
    <row r="305" spans="1:4" x14ac:dyDescent="0.3">
      <c r="A305" s="282" t="s">
        <v>3247</v>
      </c>
      <c r="B305" s="283" t="s">
        <v>3204</v>
      </c>
      <c r="C305" s="283" t="s">
        <v>3183</v>
      </c>
      <c r="D305" s="284" t="s">
        <v>3248</v>
      </c>
    </row>
    <row r="306" spans="1:4" x14ac:dyDescent="0.3">
      <c r="A306" s="282" t="s">
        <v>3249</v>
      </c>
      <c r="B306" s="283" t="s">
        <v>3204</v>
      </c>
      <c r="C306" s="283" t="s">
        <v>3183</v>
      </c>
      <c r="D306" s="284" t="s">
        <v>3250</v>
      </c>
    </row>
    <row r="307" spans="1:4" x14ac:dyDescent="0.3">
      <c r="A307" s="282" t="s">
        <v>3251</v>
      </c>
      <c r="B307" s="283" t="s">
        <v>3252</v>
      </c>
      <c r="C307" s="283" t="s">
        <v>3183</v>
      </c>
      <c r="D307" s="284" t="s">
        <v>3253</v>
      </c>
    </row>
    <row r="308" spans="1:4" x14ac:dyDescent="0.3">
      <c r="A308" s="282" t="s">
        <v>3254</v>
      </c>
      <c r="B308" s="283" t="s">
        <v>3204</v>
      </c>
      <c r="C308" s="283" t="s">
        <v>3183</v>
      </c>
      <c r="D308" s="284" t="s">
        <v>3255</v>
      </c>
    </row>
    <row r="309" spans="1:4" x14ac:dyDescent="0.3">
      <c r="A309" s="282" t="s">
        <v>3256</v>
      </c>
      <c r="B309" s="283" t="s">
        <v>3215</v>
      </c>
      <c r="C309" s="283" t="s">
        <v>3183</v>
      </c>
      <c r="D309" s="284" t="s">
        <v>3257</v>
      </c>
    </row>
    <row r="310" spans="1:4" x14ac:dyDescent="0.3">
      <c r="A310" s="282" t="s">
        <v>3256</v>
      </c>
      <c r="B310" s="283" t="s">
        <v>3215</v>
      </c>
      <c r="C310" s="283" t="s">
        <v>3183</v>
      </c>
      <c r="D310" s="284" t="s">
        <v>3258</v>
      </c>
    </row>
    <row r="311" spans="1:4" x14ac:dyDescent="0.3">
      <c r="A311" s="282" t="s">
        <v>3259</v>
      </c>
      <c r="B311" s="283" t="s">
        <v>3182</v>
      </c>
      <c r="C311" s="283" t="s">
        <v>3183</v>
      </c>
      <c r="D311" s="284" t="s">
        <v>3260</v>
      </c>
    </row>
    <row r="312" spans="1:4" x14ac:dyDescent="0.3">
      <c r="A312" s="282" t="s">
        <v>3261</v>
      </c>
      <c r="B312" s="283" t="s">
        <v>2708</v>
      </c>
      <c r="C312" s="283" t="s">
        <v>3183</v>
      </c>
      <c r="D312" s="284" t="s">
        <v>3262</v>
      </c>
    </row>
    <row r="313" spans="1:4" x14ac:dyDescent="0.3">
      <c r="A313" s="282" t="s">
        <v>3263</v>
      </c>
      <c r="B313" s="283" t="s">
        <v>3186</v>
      </c>
      <c r="C313" s="283" t="s">
        <v>3183</v>
      </c>
      <c r="D313" s="284" t="s">
        <v>3264</v>
      </c>
    </row>
    <row r="314" spans="1:4" x14ac:dyDescent="0.3">
      <c r="A314" s="282" t="s">
        <v>3265</v>
      </c>
      <c r="B314" s="283" t="s">
        <v>3218</v>
      </c>
      <c r="C314" s="283" t="s">
        <v>3183</v>
      </c>
      <c r="D314" s="284" t="s">
        <v>3266</v>
      </c>
    </row>
    <row r="315" spans="1:4" x14ac:dyDescent="0.3">
      <c r="A315" s="282" t="s">
        <v>3267</v>
      </c>
      <c r="B315" s="283" t="s">
        <v>3186</v>
      </c>
      <c r="C315" s="283" t="s">
        <v>3183</v>
      </c>
      <c r="D315" s="284" t="s">
        <v>3268</v>
      </c>
    </row>
    <row r="316" spans="1:4" x14ac:dyDescent="0.3">
      <c r="A316" s="282" t="s">
        <v>3269</v>
      </c>
      <c r="B316" s="283" t="s">
        <v>3192</v>
      </c>
      <c r="C316" s="283" t="s">
        <v>3183</v>
      </c>
      <c r="D316" s="284" t="s">
        <v>3270</v>
      </c>
    </row>
    <row r="317" spans="1:4" x14ac:dyDescent="0.3">
      <c r="A317" s="282" t="s">
        <v>3271</v>
      </c>
      <c r="B317" s="283" t="s">
        <v>3204</v>
      </c>
      <c r="C317" s="283" t="s">
        <v>3183</v>
      </c>
      <c r="D317" s="284" t="s">
        <v>3272</v>
      </c>
    </row>
    <row r="318" spans="1:4" x14ac:dyDescent="0.3">
      <c r="A318" s="282" t="s">
        <v>3273</v>
      </c>
      <c r="B318" s="283" t="s">
        <v>3192</v>
      </c>
      <c r="C318" s="283" t="s">
        <v>3183</v>
      </c>
      <c r="D318" s="284" t="s">
        <v>3274</v>
      </c>
    </row>
    <row r="319" spans="1:4" x14ac:dyDescent="0.3">
      <c r="A319" s="282" t="s">
        <v>3275</v>
      </c>
      <c r="B319" s="283" t="s">
        <v>3276</v>
      </c>
      <c r="C319" s="283" t="s">
        <v>3277</v>
      </c>
      <c r="D319" s="284" t="s">
        <v>3278</v>
      </c>
    </row>
    <row r="320" spans="1:4" x14ac:dyDescent="0.3">
      <c r="A320" s="282" t="s">
        <v>3279</v>
      </c>
      <c r="B320" s="283" t="s">
        <v>3280</v>
      </c>
      <c r="C320" s="283" t="s">
        <v>3281</v>
      </c>
      <c r="D320" s="284" t="s">
        <v>3282</v>
      </c>
    </row>
    <row r="321" spans="1:4" x14ac:dyDescent="0.3">
      <c r="A321" s="282" t="s">
        <v>3283</v>
      </c>
      <c r="B321" s="283" t="s">
        <v>3215</v>
      </c>
      <c r="C321" s="283" t="s">
        <v>3183</v>
      </c>
      <c r="D321" s="284" t="s">
        <v>3284</v>
      </c>
    </row>
    <row r="322" spans="1:4" x14ac:dyDescent="0.3">
      <c r="A322" s="282" t="s">
        <v>3285</v>
      </c>
      <c r="B322" s="283" t="s">
        <v>3204</v>
      </c>
      <c r="C322" s="283" t="s">
        <v>3183</v>
      </c>
      <c r="D322" s="284" t="s">
        <v>3286</v>
      </c>
    </row>
    <row r="323" spans="1:4" x14ac:dyDescent="0.3">
      <c r="A323" s="282" t="s">
        <v>3287</v>
      </c>
      <c r="B323" s="283" t="s">
        <v>3186</v>
      </c>
      <c r="C323" s="283" t="s">
        <v>3183</v>
      </c>
      <c r="D323" s="284" t="s">
        <v>3288</v>
      </c>
    </row>
    <row r="324" spans="1:4" x14ac:dyDescent="0.3">
      <c r="A324" s="282" t="s">
        <v>3289</v>
      </c>
      <c r="B324" s="283" t="s">
        <v>3204</v>
      </c>
      <c r="C324" s="283" t="s">
        <v>3183</v>
      </c>
      <c r="D324" s="284" t="s">
        <v>3290</v>
      </c>
    </row>
    <row r="325" spans="1:4" x14ac:dyDescent="0.3">
      <c r="A325" s="282" t="s">
        <v>3291</v>
      </c>
      <c r="B325" s="283" t="s">
        <v>3186</v>
      </c>
      <c r="C325" s="283" t="s">
        <v>3183</v>
      </c>
      <c r="D325" s="284" t="s">
        <v>3292</v>
      </c>
    </row>
    <row r="326" spans="1:4" x14ac:dyDescent="0.3">
      <c r="A326" s="282" t="s">
        <v>3293</v>
      </c>
      <c r="B326" s="283" t="s">
        <v>3182</v>
      </c>
      <c r="C326" s="283" t="s">
        <v>3183</v>
      </c>
      <c r="D326" s="284" t="s">
        <v>3294</v>
      </c>
    </row>
    <row r="327" spans="1:4" x14ac:dyDescent="0.3">
      <c r="A327" s="282" t="s">
        <v>3295</v>
      </c>
      <c r="B327" s="283" t="s">
        <v>3204</v>
      </c>
      <c r="C327" s="283" t="s">
        <v>3183</v>
      </c>
      <c r="D327" s="284" t="s">
        <v>3296</v>
      </c>
    </row>
    <row r="328" spans="1:4" x14ac:dyDescent="0.3">
      <c r="A328" s="282" t="s">
        <v>3297</v>
      </c>
      <c r="B328" s="283" t="s">
        <v>3298</v>
      </c>
      <c r="C328" s="283" t="s">
        <v>3183</v>
      </c>
      <c r="D328" s="284" t="s">
        <v>3299</v>
      </c>
    </row>
    <row r="329" spans="1:4" x14ac:dyDescent="0.3">
      <c r="A329" s="282" t="s">
        <v>3300</v>
      </c>
      <c r="B329" s="283" t="s">
        <v>3204</v>
      </c>
      <c r="C329" s="283" t="s">
        <v>3183</v>
      </c>
      <c r="D329" s="284" t="s">
        <v>3301</v>
      </c>
    </row>
    <row r="330" spans="1:4" x14ac:dyDescent="0.3">
      <c r="A330" s="282" t="s">
        <v>3302</v>
      </c>
      <c r="B330" s="283" t="s">
        <v>3215</v>
      </c>
      <c r="C330" s="283" t="s">
        <v>3183</v>
      </c>
      <c r="D330" s="284" t="s">
        <v>3303</v>
      </c>
    </row>
    <row r="331" spans="1:4" x14ac:dyDescent="0.3">
      <c r="A331" s="282" t="s">
        <v>3304</v>
      </c>
      <c r="B331" s="283" t="s">
        <v>3186</v>
      </c>
      <c r="C331" s="283" t="s">
        <v>3183</v>
      </c>
      <c r="D331" s="284" t="s">
        <v>3305</v>
      </c>
    </row>
    <row r="332" spans="1:4" x14ac:dyDescent="0.3">
      <c r="A332" s="282" t="s">
        <v>3306</v>
      </c>
      <c r="B332" s="283" t="s">
        <v>3186</v>
      </c>
      <c r="C332" s="283" t="s">
        <v>3183</v>
      </c>
      <c r="D332" s="284" t="s">
        <v>3307</v>
      </c>
    </row>
    <row r="333" spans="1:4" x14ac:dyDescent="0.3">
      <c r="A333" s="282" t="s">
        <v>3308</v>
      </c>
      <c r="B333" s="283" t="s">
        <v>3218</v>
      </c>
      <c r="C333" s="283" t="s">
        <v>3183</v>
      </c>
      <c r="D333" s="284" t="s">
        <v>3309</v>
      </c>
    </row>
    <row r="334" spans="1:4" x14ac:dyDescent="0.3">
      <c r="A334" s="282" t="s">
        <v>3310</v>
      </c>
      <c r="B334" s="283" t="s">
        <v>3192</v>
      </c>
      <c r="C334" s="283" t="s">
        <v>3183</v>
      </c>
      <c r="D334" s="284" t="s">
        <v>3311</v>
      </c>
    </row>
    <row r="335" spans="1:4" x14ac:dyDescent="0.3">
      <c r="A335" s="282" t="s">
        <v>3312</v>
      </c>
      <c r="B335" s="283" t="s">
        <v>2593</v>
      </c>
      <c r="C335" s="283" t="s">
        <v>3183</v>
      </c>
      <c r="D335" s="284" t="s">
        <v>3313</v>
      </c>
    </row>
    <row r="336" spans="1:4" x14ac:dyDescent="0.3">
      <c r="A336" s="282" t="s">
        <v>3314</v>
      </c>
      <c r="B336" s="283" t="s">
        <v>3215</v>
      </c>
      <c r="C336" s="283" t="s">
        <v>3183</v>
      </c>
      <c r="D336" s="284" t="s">
        <v>3315</v>
      </c>
    </row>
    <row r="337" spans="1:4" x14ac:dyDescent="0.3">
      <c r="A337" s="282" t="s">
        <v>3316</v>
      </c>
      <c r="B337" s="283" t="s">
        <v>2593</v>
      </c>
      <c r="C337" s="283" t="s">
        <v>3183</v>
      </c>
      <c r="D337" s="284" t="s">
        <v>3317</v>
      </c>
    </row>
    <row r="338" spans="1:4" x14ac:dyDescent="0.3">
      <c r="A338" s="282" t="s">
        <v>3318</v>
      </c>
      <c r="B338" s="283" t="s">
        <v>3189</v>
      </c>
      <c r="C338" s="283" t="s">
        <v>3183</v>
      </c>
      <c r="D338" s="284" t="s">
        <v>3319</v>
      </c>
    </row>
    <row r="339" spans="1:4" x14ac:dyDescent="0.3">
      <c r="A339" s="282" t="s">
        <v>3320</v>
      </c>
      <c r="B339" s="283" t="s">
        <v>3204</v>
      </c>
      <c r="C339" s="283" t="s">
        <v>3183</v>
      </c>
      <c r="D339" s="284" t="s">
        <v>3321</v>
      </c>
    </row>
    <row r="340" spans="1:4" x14ac:dyDescent="0.3">
      <c r="A340" s="282" t="s">
        <v>3322</v>
      </c>
      <c r="B340" s="283" t="s">
        <v>3192</v>
      </c>
      <c r="C340" s="283" t="s">
        <v>3183</v>
      </c>
      <c r="D340" s="284" t="s">
        <v>3323</v>
      </c>
    </row>
    <row r="341" spans="1:4" x14ac:dyDescent="0.3">
      <c r="A341" s="282" t="s">
        <v>3324</v>
      </c>
      <c r="B341" s="283" t="s">
        <v>3204</v>
      </c>
      <c r="C341" s="283" t="s">
        <v>3183</v>
      </c>
      <c r="D341" s="284" t="s">
        <v>3325</v>
      </c>
    </row>
    <row r="342" spans="1:4" x14ac:dyDescent="0.3">
      <c r="A342" s="282" t="s">
        <v>3326</v>
      </c>
      <c r="B342" s="283" t="s">
        <v>3186</v>
      </c>
      <c r="C342" s="283" t="s">
        <v>3183</v>
      </c>
      <c r="D342" s="284" t="s">
        <v>3327</v>
      </c>
    </row>
    <row r="343" spans="1:4" x14ac:dyDescent="0.3">
      <c r="A343" s="282" t="s">
        <v>3328</v>
      </c>
      <c r="B343" s="283" t="s">
        <v>3192</v>
      </c>
      <c r="C343" s="283" t="s">
        <v>3183</v>
      </c>
      <c r="D343" s="284" t="s">
        <v>3329</v>
      </c>
    </row>
    <row r="344" spans="1:4" x14ac:dyDescent="0.3">
      <c r="A344" s="282" t="s">
        <v>3330</v>
      </c>
      <c r="B344" s="283" t="s">
        <v>3186</v>
      </c>
      <c r="C344" s="283" t="s">
        <v>3183</v>
      </c>
      <c r="D344" s="284" t="s">
        <v>3331</v>
      </c>
    </row>
    <row r="345" spans="1:4" x14ac:dyDescent="0.3">
      <c r="A345" s="282" t="s">
        <v>3332</v>
      </c>
      <c r="B345" s="283" t="s">
        <v>3182</v>
      </c>
      <c r="C345" s="283" t="s">
        <v>3183</v>
      </c>
      <c r="D345" s="284" t="s">
        <v>3333</v>
      </c>
    </row>
    <row r="346" spans="1:4" x14ac:dyDescent="0.3">
      <c r="A346" s="282" t="s">
        <v>3334</v>
      </c>
      <c r="B346" s="283" t="s">
        <v>3215</v>
      </c>
      <c r="C346" s="283" t="s">
        <v>3183</v>
      </c>
      <c r="D346" s="284" t="s">
        <v>3335</v>
      </c>
    </row>
    <row r="347" spans="1:4" x14ac:dyDescent="0.3">
      <c r="A347" s="282" t="s">
        <v>3336</v>
      </c>
      <c r="B347" s="283" t="s">
        <v>3204</v>
      </c>
      <c r="C347" s="283" t="s">
        <v>3183</v>
      </c>
      <c r="D347" s="284" t="s">
        <v>3337</v>
      </c>
    </row>
    <row r="348" spans="1:4" x14ac:dyDescent="0.3">
      <c r="A348" s="282" t="s">
        <v>3338</v>
      </c>
      <c r="B348" s="283" t="s">
        <v>3182</v>
      </c>
      <c r="C348" s="283" t="s">
        <v>3183</v>
      </c>
      <c r="D348" s="284" t="s">
        <v>3339</v>
      </c>
    </row>
    <row r="349" spans="1:4" x14ac:dyDescent="0.3">
      <c r="A349" s="282" t="s">
        <v>3340</v>
      </c>
      <c r="B349" s="283" t="s">
        <v>3182</v>
      </c>
      <c r="C349" s="283" t="s">
        <v>3183</v>
      </c>
      <c r="D349" s="284" t="s">
        <v>3341</v>
      </c>
    </row>
    <row r="350" spans="1:4" x14ac:dyDescent="0.3">
      <c r="A350" s="282" t="s">
        <v>3342</v>
      </c>
      <c r="B350" s="283" t="s">
        <v>3182</v>
      </c>
      <c r="C350" s="283" t="s">
        <v>3183</v>
      </c>
      <c r="D350" s="284" t="s">
        <v>3343</v>
      </c>
    </row>
    <row r="351" spans="1:4" x14ac:dyDescent="0.3">
      <c r="A351" s="282" t="s">
        <v>3344</v>
      </c>
      <c r="B351" s="283" t="s">
        <v>3345</v>
      </c>
      <c r="C351" s="283" t="s">
        <v>3346</v>
      </c>
      <c r="D351" s="284" t="s">
        <v>3347</v>
      </c>
    </row>
    <row r="352" spans="1:4" x14ac:dyDescent="0.3">
      <c r="A352" s="282" t="s">
        <v>3348</v>
      </c>
      <c r="B352" s="283" t="s">
        <v>3345</v>
      </c>
      <c r="C352" s="283" t="s">
        <v>3346</v>
      </c>
      <c r="D352" s="284" t="s">
        <v>3349</v>
      </c>
    </row>
    <row r="353" spans="1:4" x14ac:dyDescent="0.3">
      <c r="A353" s="282" t="s">
        <v>3350</v>
      </c>
      <c r="B353" s="283" t="s">
        <v>3345</v>
      </c>
      <c r="C353" s="283" t="s">
        <v>3346</v>
      </c>
      <c r="D353" s="284" t="s">
        <v>3351</v>
      </c>
    </row>
    <row r="354" spans="1:4" x14ac:dyDescent="0.3">
      <c r="A354" s="282" t="s">
        <v>3352</v>
      </c>
      <c r="B354" s="283" t="s">
        <v>3345</v>
      </c>
      <c r="C354" s="283" t="s">
        <v>3346</v>
      </c>
      <c r="D354" s="284" t="s">
        <v>3353</v>
      </c>
    </row>
    <row r="355" spans="1:4" x14ac:dyDescent="0.3">
      <c r="A355" s="282" t="s">
        <v>3354</v>
      </c>
      <c r="B355" s="283" t="s">
        <v>3276</v>
      </c>
      <c r="C355" s="283" t="s">
        <v>3277</v>
      </c>
      <c r="D355" s="284" t="s">
        <v>3355</v>
      </c>
    </row>
    <row r="356" spans="1:4" x14ac:dyDescent="0.3">
      <c r="A356" s="282" t="s">
        <v>3356</v>
      </c>
      <c r="B356" s="283" t="s">
        <v>3357</v>
      </c>
      <c r="C356" s="283" t="s">
        <v>3346</v>
      </c>
      <c r="D356" s="284" t="s">
        <v>3358</v>
      </c>
    </row>
    <row r="357" spans="1:4" x14ac:dyDescent="0.3">
      <c r="A357" s="282" t="s">
        <v>3359</v>
      </c>
      <c r="B357" s="283" t="s">
        <v>3276</v>
      </c>
      <c r="C357" s="283" t="s">
        <v>3277</v>
      </c>
      <c r="D357" s="284" t="s">
        <v>3360</v>
      </c>
    </row>
    <row r="358" spans="1:4" x14ac:dyDescent="0.3">
      <c r="A358" s="282" t="s">
        <v>3361</v>
      </c>
      <c r="B358" s="283" t="s">
        <v>3357</v>
      </c>
      <c r="C358" s="283" t="s">
        <v>3346</v>
      </c>
      <c r="D358" s="284" t="s">
        <v>3362</v>
      </c>
    </row>
    <row r="359" spans="1:4" x14ac:dyDescent="0.3">
      <c r="A359" s="282" t="s">
        <v>3363</v>
      </c>
      <c r="B359" s="283" t="s">
        <v>3357</v>
      </c>
      <c r="C359" s="283" t="s">
        <v>3346</v>
      </c>
      <c r="D359" s="284" t="s">
        <v>3364</v>
      </c>
    </row>
    <row r="360" spans="1:4" x14ac:dyDescent="0.3">
      <c r="A360" s="282" t="s">
        <v>3365</v>
      </c>
      <c r="B360" s="283" t="s">
        <v>3366</v>
      </c>
      <c r="C360" s="283" t="s">
        <v>3346</v>
      </c>
      <c r="D360" s="284" t="s">
        <v>3367</v>
      </c>
    </row>
    <row r="361" spans="1:4" x14ac:dyDescent="0.3">
      <c r="A361" s="282" t="s">
        <v>3368</v>
      </c>
      <c r="B361" s="283" t="s">
        <v>3369</v>
      </c>
      <c r="C361" s="283" t="s">
        <v>3346</v>
      </c>
      <c r="D361" s="284" t="s">
        <v>3370</v>
      </c>
    </row>
    <row r="362" spans="1:4" x14ac:dyDescent="0.3">
      <c r="A362" s="282" t="s">
        <v>3371</v>
      </c>
      <c r="B362" s="283" t="s">
        <v>3372</v>
      </c>
      <c r="C362" s="283" t="s">
        <v>3346</v>
      </c>
      <c r="D362" s="284" t="s">
        <v>3373</v>
      </c>
    </row>
    <row r="363" spans="1:4" x14ac:dyDescent="0.3">
      <c r="A363" s="282" t="s">
        <v>3374</v>
      </c>
      <c r="B363" s="283" t="s">
        <v>3345</v>
      </c>
      <c r="C363" s="283" t="s">
        <v>3346</v>
      </c>
      <c r="D363" s="284" t="s">
        <v>3375</v>
      </c>
    </row>
    <row r="364" spans="1:4" x14ac:dyDescent="0.3">
      <c r="A364" s="282" t="s">
        <v>3376</v>
      </c>
      <c r="B364" s="283" t="s">
        <v>3345</v>
      </c>
      <c r="C364" s="283" t="s">
        <v>3346</v>
      </c>
      <c r="D364" s="284" t="s">
        <v>3377</v>
      </c>
    </row>
    <row r="365" spans="1:4" x14ac:dyDescent="0.3">
      <c r="A365" s="282" t="s">
        <v>3378</v>
      </c>
      <c r="B365" s="283" t="s">
        <v>3366</v>
      </c>
      <c r="C365" s="283" t="s">
        <v>3346</v>
      </c>
      <c r="D365" s="284" t="s">
        <v>3379</v>
      </c>
    </row>
    <row r="366" spans="1:4" x14ac:dyDescent="0.3">
      <c r="A366" s="282" t="s">
        <v>3380</v>
      </c>
      <c r="B366" s="283" t="s">
        <v>3345</v>
      </c>
      <c r="C366" s="283" t="s">
        <v>3346</v>
      </c>
      <c r="D366" s="284" t="s">
        <v>3381</v>
      </c>
    </row>
    <row r="367" spans="1:4" x14ac:dyDescent="0.3">
      <c r="A367" s="282" t="s">
        <v>3382</v>
      </c>
      <c r="B367" s="283" t="s">
        <v>3345</v>
      </c>
      <c r="C367" s="283" t="s">
        <v>3346</v>
      </c>
      <c r="D367" s="284" t="s">
        <v>3383</v>
      </c>
    </row>
    <row r="368" spans="1:4" x14ac:dyDescent="0.3">
      <c r="A368" s="282" t="s">
        <v>3384</v>
      </c>
      <c r="B368" s="283" t="s">
        <v>3366</v>
      </c>
      <c r="C368" s="283" t="s">
        <v>3346</v>
      </c>
      <c r="D368" s="284" t="s">
        <v>3385</v>
      </c>
    </row>
    <row r="369" spans="1:4" x14ac:dyDescent="0.3">
      <c r="A369" s="282" t="s">
        <v>3386</v>
      </c>
      <c r="B369" s="283" t="s">
        <v>3345</v>
      </c>
      <c r="C369" s="283" t="s">
        <v>3346</v>
      </c>
      <c r="D369" s="284" t="s">
        <v>3387</v>
      </c>
    </row>
    <row r="370" spans="1:4" x14ac:dyDescent="0.3">
      <c r="A370" s="282" t="s">
        <v>3388</v>
      </c>
      <c r="B370" s="283" t="s">
        <v>3345</v>
      </c>
      <c r="C370" s="283" t="s">
        <v>3346</v>
      </c>
      <c r="D370" s="284" t="s">
        <v>3389</v>
      </c>
    </row>
    <row r="371" spans="1:4" x14ac:dyDescent="0.3">
      <c r="A371" s="282" t="s">
        <v>3390</v>
      </c>
      <c r="B371" s="283" t="s">
        <v>3369</v>
      </c>
      <c r="C371" s="283" t="s">
        <v>3346</v>
      </c>
      <c r="D371" s="284" t="s">
        <v>3391</v>
      </c>
    </row>
    <row r="372" spans="1:4" x14ac:dyDescent="0.3">
      <c r="A372" s="282" t="s">
        <v>3392</v>
      </c>
      <c r="B372" s="283" t="s">
        <v>3369</v>
      </c>
      <c r="C372" s="283" t="s">
        <v>3346</v>
      </c>
      <c r="D372" s="284" t="s">
        <v>3393</v>
      </c>
    </row>
    <row r="373" spans="1:4" x14ac:dyDescent="0.3">
      <c r="A373" s="282" t="s">
        <v>3394</v>
      </c>
      <c r="B373" s="283" t="s">
        <v>3395</v>
      </c>
      <c r="C373" s="283" t="s">
        <v>3346</v>
      </c>
      <c r="D373" s="284" t="s">
        <v>3396</v>
      </c>
    </row>
    <row r="374" spans="1:4" x14ac:dyDescent="0.3">
      <c r="A374" s="282" t="s">
        <v>3397</v>
      </c>
      <c r="B374" s="283" t="s">
        <v>3345</v>
      </c>
      <c r="C374" s="283" t="s">
        <v>3346</v>
      </c>
      <c r="D374" s="284" t="s">
        <v>3398</v>
      </c>
    </row>
    <row r="375" spans="1:4" x14ac:dyDescent="0.3">
      <c r="A375" s="282" t="s">
        <v>3399</v>
      </c>
      <c r="B375" s="283" t="s">
        <v>3345</v>
      </c>
      <c r="C375" s="283" t="s">
        <v>3346</v>
      </c>
      <c r="D375" s="284" t="s">
        <v>3400</v>
      </c>
    </row>
    <row r="376" spans="1:4" x14ac:dyDescent="0.3">
      <c r="A376" s="282" t="s">
        <v>3401</v>
      </c>
      <c r="B376" s="283" t="s">
        <v>3345</v>
      </c>
      <c r="C376" s="283" t="s">
        <v>3346</v>
      </c>
      <c r="D376" s="284" t="s">
        <v>3402</v>
      </c>
    </row>
    <row r="377" spans="1:4" x14ac:dyDescent="0.3">
      <c r="A377" s="282" t="s">
        <v>3403</v>
      </c>
      <c r="B377" s="283" t="s">
        <v>3345</v>
      </c>
      <c r="C377" s="283" t="s">
        <v>3346</v>
      </c>
      <c r="D377" s="284" t="s">
        <v>3404</v>
      </c>
    </row>
    <row r="378" spans="1:4" x14ac:dyDescent="0.3">
      <c r="A378" s="282" t="s">
        <v>3405</v>
      </c>
      <c r="B378" s="283" t="s">
        <v>3366</v>
      </c>
      <c r="C378" s="283" t="s">
        <v>3346</v>
      </c>
      <c r="D378" s="284" t="s">
        <v>3406</v>
      </c>
    </row>
    <row r="379" spans="1:4" x14ac:dyDescent="0.3">
      <c r="A379" s="282" t="s">
        <v>3407</v>
      </c>
      <c r="B379" s="283" t="s">
        <v>3357</v>
      </c>
      <c r="C379" s="283" t="s">
        <v>3346</v>
      </c>
      <c r="D379" s="284" t="s">
        <v>3408</v>
      </c>
    </row>
    <row r="380" spans="1:4" x14ac:dyDescent="0.3">
      <c r="A380" s="282" t="s">
        <v>3409</v>
      </c>
      <c r="B380" s="283" t="s">
        <v>3369</v>
      </c>
      <c r="C380" s="283" t="s">
        <v>3346</v>
      </c>
      <c r="D380" s="284" t="s">
        <v>3410</v>
      </c>
    </row>
    <row r="381" spans="1:4" x14ac:dyDescent="0.3">
      <c r="A381" s="282" t="s">
        <v>3411</v>
      </c>
      <c r="B381" s="283" t="s">
        <v>3366</v>
      </c>
      <c r="C381" s="283" t="s">
        <v>3346</v>
      </c>
      <c r="D381" s="284" t="s">
        <v>3412</v>
      </c>
    </row>
    <row r="382" spans="1:4" x14ac:dyDescent="0.3">
      <c r="A382" s="282" t="s">
        <v>3413</v>
      </c>
      <c r="B382" s="283" t="s">
        <v>3276</v>
      </c>
      <c r="C382" s="283" t="s">
        <v>3277</v>
      </c>
      <c r="D382" s="284" t="s">
        <v>3414</v>
      </c>
    </row>
    <row r="383" spans="1:4" x14ac:dyDescent="0.3">
      <c r="A383" s="282" t="s">
        <v>3415</v>
      </c>
      <c r="B383" s="283" t="s">
        <v>3369</v>
      </c>
      <c r="C383" s="283" t="s">
        <v>3346</v>
      </c>
      <c r="D383" s="284" t="s">
        <v>3416</v>
      </c>
    </row>
    <row r="384" spans="1:4" x14ac:dyDescent="0.3">
      <c r="A384" s="282" t="s">
        <v>3417</v>
      </c>
      <c r="B384" s="283" t="s">
        <v>3369</v>
      </c>
      <c r="C384" s="283" t="s">
        <v>3346</v>
      </c>
      <c r="D384" s="284" t="s">
        <v>3418</v>
      </c>
    </row>
    <row r="385" spans="1:4" x14ac:dyDescent="0.3">
      <c r="A385" s="282" t="s">
        <v>3419</v>
      </c>
      <c r="B385" s="283" t="s">
        <v>3276</v>
      </c>
      <c r="C385" s="283" t="s">
        <v>3277</v>
      </c>
      <c r="D385" s="284" t="s">
        <v>3420</v>
      </c>
    </row>
    <row r="386" spans="1:4" x14ac:dyDescent="0.3">
      <c r="A386" s="282" t="s">
        <v>3421</v>
      </c>
      <c r="B386" s="283" t="s">
        <v>3422</v>
      </c>
      <c r="C386" s="283" t="s">
        <v>3346</v>
      </c>
      <c r="D386" s="284" t="s">
        <v>3423</v>
      </c>
    </row>
    <row r="387" spans="1:4" x14ac:dyDescent="0.3">
      <c r="A387" s="282" t="s">
        <v>3424</v>
      </c>
      <c r="B387" s="283" t="s">
        <v>3345</v>
      </c>
      <c r="C387" s="283" t="s">
        <v>3346</v>
      </c>
      <c r="D387" s="284" t="s">
        <v>3425</v>
      </c>
    </row>
    <row r="388" spans="1:4" x14ac:dyDescent="0.3">
      <c r="A388" s="282" t="s">
        <v>3426</v>
      </c>
      <c r="B388" s="283" t="s">
        <v>3345</v>
      </c>
      <c r="C388" s="283" t="s">
        <v>3346</v>
      </c>
      <c r="D388" s="284" t="s">
        <v>3427</v>
      </c>
    </row>
    <row r="389" spans="1:4" x14ac:dyDescent="0.3">
      <c r="A389" s="282" t="s">
        <v>3428</v>
      </c>
      <c r="B389" s="283" t="s">
        <v>3366</v>
      </c>
      <c r="C389" s="283" t="s">
        <v>3346</v>
      </c>
      <c r="D389" s="284" t="s">
        <v>3429</v>
      </c>
    </row>
    <row r="390" spans="1:4" x14ac:dyDescent="0.3">
      <c r="A390" s="282" t="s">
        <v>3430</v>
      </c>
      <c r="B390" s="283" t="s">
        <v>3369</v>
      </c>
      <c r="C390" s="283" t="s">
        <v>3346</v>
      </c>
      <c r="D390" s="284" t="s">
        <v>3431</v>
      </c>
    </row>
    <row r="391" spans="1:4" x14ac:dyDescent="0.3">
      <c r="A391" s="282" t="s">
        <v>3432</v>
      </c>
      <c r="B391" s="283" t="s">
        <v>3366</v>
      </c>
      <c r="C391" s="283" t="s">
        <v>3346</v>
      </c>
      <c r="D391" s="284" t="s">
        <v>3433</v>
      </c>
    </row>
    <row r="392" spans="1:4" x14ac:dyDescent="0.3">
      <c r="A392" s="282" t="s">
        <v>3434</v>
      </c>
      <c r="B392" s="283" t="s">
        <v>3345</v>
      </c>
      <c r="C392" s="283" t="s">
        <v>3346</v>
      </c>
      <c r="D392" s="284" t="s">
        <v>3435</v>
      </c>
    </row>
    <row r="393" spans="1:4" x14ac:dyDescent="0.3">
      <c r="A393" s="282" t="s">
        <v>3436</v>
      </c>
      <c r="B393" s="283" t="s">
        <v>3366</v>
      </c>
      <c r="C393" s="283" t="s">
        <v>3346</v>
      </c>
      <c r="D393" s="284" t="s">
        <v>3437</v>
      </c>
    </row>
    <row r="394" spans="1:4" x14ac:dyDescent="0.3">
      <c r="A394" s="282" t="s">
        <v>3438</v>
      </c>
      <c r="B394" s="283" t="s">
        <v>3366</v>
      </c>
      <c r="C394" s="283" t="s">
        <v>3346</v>
      </c>
      <c r="D394" s="284" t="s">
        <v>3439</v>
      </c>
    </row>
    <row r="395" spans="1:4" x14ac:dyDescent="0.3">
      <c r="A395" s="282" t="s">
        <v>3440</v>
      </c>
      <c r="B395" s="283" t="s">
        <v>3395</v>
      </c>
      <c r="C395" s="283" t="s">
        <v>3346</v>
      </c>
      <c r="D395" s="284" t="s">
        <v>3441</v>
      </c>
    </row>
    <row r="396" spans="1:4" x14ac:dyDescent="0.3">
      <c r="A396" s="282" t="s">
        <v>3442</v>
      </c>
      <c r="B396" s="283" t="s">
        <v>3345</v>
      </c>
      <c r="C396" s="283" t="s">
        <v>3346</v>
      </c>
      <c r="D396" s="284" t="s">
        <v>3443</v>
      </c>
    </row>
    <row r="397" spans="1:4" x14ac:dyDescent="0.3">
      <c r="A397" s="282" t="s">
        <v>3444</v>
      </c>
      <c r="B397" s="283" t="s">
        <v>3345</v>
      </c>
      <c r="C397" s="283" t="s">
        <v>3346</v>
      </c>
      <c r="D397" s="284" t="s">
        <v>3445</v>
      </c>
    </row>
    <row r="398" spans="1:4" x14ac:dyDescent="0.3">
      <c r="A398" s="282" t="s">
        <v>3446</v>
      </c>
      <c r="B398" s="283" t="s">
        <v>3366</v>
      </c>
      <c r="C398" s="283" t="s">
        <v>3346</v>
      </c>
      <c r="D398" s="284" t="s">
        <v>3447</v>
      </c>
    </row>
    <row r="399" spans="1:4" x14ac:dyDescent="0.3">
      <c r="A399" s="282" t="s">
        <v>3448</v>
      </c>
      <c r="B399" s="283" t="s">
        <v>3395</v>
      </c>
      <c r="C399" s="283" t="s">
        <v>3346</v>
      </c>
      <c r="D399" s="284" t="s">
        <v>3449</v>
      </c>
    </row>
    <row r="400" spans="1:4" x14ac:dyDescent="0.3">
      <c r="A400" s="282" t="s">
        <v>3450</v>
      </c>
      <c r="B400" s="283" t="s">
        <v>3345</v>
      </c>
      <c r="C400" s="283" t="s">
        <v>3346</v>
      </c>
      <c r="D400" s="284" t="s">
        <v>3451</v>
      </c>
    </row>
    <row r="401" spans="1:4" x14ac:dyDescent="0.3">
      <c r="A401" s="282" t="s">
        <v>3452</v>
      </c>
      <c r="B401" s="283" t="s">
        <v>3395</v>
      </c>
      <c r="C401" s="283" t="s">
        <v>3346</v>
      </c>
      <c r="D401" s="284" t="s">
        <v>3453</v>
      </c>
    </row>
    <row r="402" spans="1:4" x14ac:dyDescent="0.3">
      <c r="A402" s="282" t="s">
        <v>3454</v>
      </c>
      <c r="B402" s="283" t="s">
        <v>3345</v>
      </c>
      <c r="C402" s="283" t="s">
        <v>3346</v>
      </c>
      <c r="D402" s="284" t="s">
        <v>3455</v>
      </c>
    </row>
    <row r="403" spans="1:4" x14ac:dyDescent="0.3">
      <c r="A403" s="282" t="s">
        <v>3456</v>
      </c>
      <c r="B403" s="283" t="s">
        <v>3457</v>
      </c>
      <c r="C403" s="283" t="s">
        <v>3346</v>
      </c>
      <c r="D403" s="284" t="s">
        <v>3458</v>
      </c>
    </row>
    <row r="404" spans="1:4" x14ac:dyDescent="0.3">
      <c r="A404" s="282" t="s">
        <v>3459</v>
      </c>
      <c r="B404" s="283" t="s">
        <v>3276</v>
      </c>
      <c r="C404" s="283" t="s">
        <v>3277</v>
      </c>
      <c r="D404" s="284" t="s">
        <v>3460</v>
      </c>
    </row>
    <row r="405" spans="1:4" x14ac:dyDescent="0.3">
      <c r="A405" s="282" t="s">
        <v>3461</v>
      </c>
      <c r="B405" s="283" t="s">
        <v>3345</v>
      </c>
      <c r="C405" s="283" t="s">
        <v>3346</v>
      </c>
      <c r="D405" s="284" t="s">
        <v>3462</v>
      </c>
    </row>
    <row r="406" spans="1:4" x14ac:dyDescent="0.3">
      <c r="A406" s="282" t="s">
        <v>3463</v>
      </c>
      <c r="B406" s="283" t="s">
        <v>3345</v>
      </c>
      <c r="C406" s="283" t="s">
        <v>3346</v>
      </c>
      <c r="D406" s="284" t="s">
        <v>3464</v>
      </c>
    </row>
    <row r="407" spans="1:4" x14ac:dyDescent="0.3">
      <c r="A407" s="282" t="s">
        <v>3465</v>
      </c>
      <c r="B407" s="283" t="s">
        <v>3345</v>
      </c>
      <c r="C407" s="283" t="s">
        <v>3346</v>
      </c>
      <c r="D407" s="284" t="s">
        <v>3466</v>
      </c>
    </row>
    <row r="408" spans="1:4" x14ac:dyDescent="0.3">
      <c r="A408" s="282" t="s">
        <v>3467</v>
      </c>
      <c r="B408" s="283" t="s">
        <v>3422</v>
      </c>
      <c r="C408" s="283" t="s">
        <v>3346</v>
      </c>
      <c r="D408" s="284" t="s">
        <v>3468</v>
      </c>
    </row>
    <row r="409" spans="1:4" x14ac:dyDescent="0.3">
      <c r="A409" s="282" t="s">
        <v>3469</v>
      </c>
      <c r="B409" s="283" t="s">
        <v>3369</v>
      </c>
      <c r="C409" s="283" t="s">
        <v>3346</v>
      </c>
      <c r="D409" s="284" t="s">
        <v>3470</v>
      </c>
    </row>
    <row r="410" spans="1:4" x14ac:dyDescent="0.3">
      <c r="A410" s="282" t="s">
        <v>3471</v>
      </c>
      <c r="B410" s="283" t="s">
        <v>3369</v>
      </c>
      <c r="C410" s="283" t="s">
        <v>3346</v>
      </c>
      <c r="D410" s="284" t="s">
        <v>3472</v>
      </c>
    </row>
    <row r="411" spans="1:4" x14ac:dyDescent="0.3">
      <c r="A411" s="282" t="s">
        <v>3473</v>
      </c>
      <c r="B411" s="283" t="s">
        <v>3366</v>
      </c>
      <c r="C411" s="283" t="s">
        <v>3346</v>
      </c>
      <c r="D411" s="284" t="s">
        <v>3474</v>
      </c>
    </row>
    <row r="412" spans="1:4" x14ac:dyDescent="0.3">
      <c r="A412" s="282" t="s">
        <v>3475</v>
      </c>
      <c r="B412" s="283" t="s">
        <v>3366</v>
      </c>
      <c r="C412" s="283" t="s">
        <v>3346</v>
      </c>
      <c r="D412" s="284" t="s">
        <v>3476</v>
      </c>
    </row>
    <row r="413" spans="1:4" x14ac:dyDescent="0.3">
      <c r="A413" s="282" t="s">
        <v>3477</v>
      </c>
      <c r="B413" s="283" t="s">
        <v>3345</v>
      </c>
      <c r="C413" s="283" t="s">
        <v>3346</v>
      </c>
      <c r="D413" s="284" t="s">
        <v>3478</v>
      </c>
    </row>
    <row r="414" spans="1:4" x14ac:dyDescent="0.3">
      <c r="A414" s="282" t="s">
        <v>3479</v>
      </c>
      <c r="B414" s="283" t="s">
        <v>3345</v>
      </c>
      <c r="C414" s="283" t="s">
        <v>3346</v>
      </c>
      <c r="D414" s="284" t="s">
        <v>3480</v>
      </c>
    </row>
    <row r="415" spans="1:4" x14ac:dyDescent="0.3">
      <c r="A415" s="282" t="s">
        <v>3481</v>
      </c>
      <c r="B415" s="283" t="s">
        <v>3345</v>
      </c>
      <c r="C415" s="283" t="s">
        <v>3346</v>
      </c>
      <c r="D415" s="284" t="s">
        <v>3482</v>
      </c>
    </row>
    <row r="416" spans="1:4" x14ac:dyDescent="0.3">
      <c r="A416" s="282" t="s">
        <v>3483</v>
      </c>
      <c r="B416" s="283" t="s">
        <v>3366</v>
      </c>
      <c r="C416" s="283" t="s">
        <v>3346</v>
      </c>
      <c r="D416" s="284" t="s">
        <v>3484</v>
      </c>
    </row>
    <row r="417" spans="1:4" x14ac:dyDescent="0.3">
      <c r="A417" s="282" t="s">
        <v>3485</v>
      </c>
      <c r="B417" s="283" t="s">
        <v>3345</v>
      </c>
      <c r="C417" s="283" t="s">
        <v>3346</v>
      </c>
      <c r="D417" s="284" t="s">
        <v>3486</v>
      </c>
    </row>
    <row r="418" spans="1:4" x14ac:dyDescent="0.3">
      <c r="A418" s="282" t="s">
        <v>3487</v>
      </c>
      <c r="B418" s="283" t="s">
        <v>3345</v>
      </c>
      <c r="C418" s="283" t="s">
        <v>3346</v>
      </c>
      <c r="D418" s="284" t="s">
        <v>3488</v>
      </c>
    </row>
    <row r="419" spans="1:4" x14ac:dyDescent="0.3">
      <c r="A419" s="282" t="s">
        <v>3489</v>
      </c>
      <c r="B419" s="283" t="s">
        <v>3366</v>
      </c>
      <c r="C419" s="283" t="s">
        <v>3346</v>
      </c>
      <c r="D419" s="284" t="s">
        <v>3490</v>
      </c>
    </row>
    <row r="420" spans="1:4" x14ac:dyDescent="0.3">
      <c r="A420" s="282" t="s">
        <v>3491</v>
      </c>
      <c r="B420" s="283" t="s">
        <v>2595</v>
      </c>
      <c r="C420" s="283" t="s">
        <v>3277</v>
      </c>
      <c r="D420" s="284" t="s">
        <v>3492</v>
      </c>
    </row>
    <row r="421" spans="1:4" x14ac:dyDescent="0.3">
      <c r="A421" s="282" t="s">
        <v>3493</v>
      </c>
      <c r="B421" s="283" t="s">
        <v>3276</v>
      </c>
      <c r="C421" s="283" t="s">
        <v>3277</v>
      </c>
      <c r="D421" s="284" t="s">
        <v>3494</v>
      </c>
    </row>
    <row r="422" spans="1:4" x14ac:dyDescent="0.3">
      <c r="A422" s="282" t="s">
        <v>3495</v>
      </c>
      <c r="B422" s="283" t="s">
        <v>3457</v>
      </c>
      <c r="C422" s="283" t="s">
        <v>3496</v>
      </c>
      <c r="D422" s="284" t="s">
        <v>3458</v>
      </c>
    </row>
    <row r="423" spans="1:4" x14ac:dyDescent="0.3">
      <c r="A423" s="282" t="s">
        <v>3497</v>
      </c>
      <c r="B423" s="283" t="s">
        <v>3357</v>
      </c>
      <c r="C423" s="283" t="s">
        <v>3346</v>
      </c>
      <c r="D423" s="284" t="s">
        <v>3498</v>
      </c>
    </row>
    <row r="424" spans="1:4" x14ac:dyDescent="0.3">
      <c r="A424" s="282" t="s">
        <v>3499</v>
      </c>
      <c r="B424" s="283" t="s">
        <v>3276</v>
      </c>
      <c r="C424" s="283" t="s">
        <v>3277</v>
      </c>
      <c r="D424" s="284" t="s">
        <v>3500</v>
      </c>
    </row>
    <row r="425" spans="1:4" x14ac:dyDescent="0.3">
      <c r="A425" s="282" t="s">
        <v>3501</v>
      </c>
      <c r="B425" s="283" t="s">
        <v>3366</v>
      </c>
      <c r="C425" s="283" t="s">
        <v>3346</v>
      </c>
      <c r="D425" s="284" t="s">
        <v>3502</v>
      </c>
    </row>
    <row r="426" spans="1:4" x14ac:dyDescent="0.3">
      <c r="A426" s="282" t="s">
        <v>3503</v>
      </c>
      <c r="B426" s="283" t="s">
        <v>3366</v>
      </c>
      <c r="C426" s="283" t="s">
        <v>3346</v>
      </c>
      <c r="D426" s="284" t="s">
        <v>3504</v>
      </c>
    </row>
    <row r="427" spans="1:4" x14ac:dyDescent="0.3">
      <c r="A427" s="282" t="s">
        <v>3505</v>
      </c>
      <c r="B427" s="283" t="s">
        <v>3345</v>
      </c>
      <c r="C427" s="283" t="s">
        <v>3346</v>
      </c>
      <c r="D427" s="284" t="s">
        <v>3506</v>
      </c>
    </row>
    <row r="428" spans="1:4" x14ac:dyDescent="0.3">
      <c r="A428" s="282" t="s">
        <v>3507</v>
      </c>
      <c r="B428" s="283" t="s">
        <v>3366</v>
      </c>
      <c r="C428" s="283" t="s">
        <v>3346</v>
      </c>
      <c r="D428" s="284" t="s">
        <v>3508</v>
      </c>
    </row>
    <row r="429" spans="1:4" x14ac:dyDescent="0.3">
      <c r="A429" s="282" t="s">
        <v>3509</v>
      </c>
      <c r="B429" s="283" t="s">
        <v>3366</v>
      </c>
      <c r="C429" s="283" t="s">
        <v>3346</v>
      </c>
      <c r="D429" s="284" t="s">
        <v>3510</v>
      </c>
    </row>
    <row r="430" spans="1:4" x14ac:dyDescent="0.3">
      <c r="A430" s="282" t="s">
        <v>3511</v>
      </c>
      <c r="B430" s="283" t="s">
        <v>3345</v>
      </c>
      <c r="C430" s="283" t="s">
        <v>3346</v>
      </c>
      <c r="D430" s="284" t="s">
        <v>3512</v>
      </c>
    </row>
    <row r="431" spans="1:4" x14ac:dyDescent="0.3">
      <c r="A431" s="282" t="s">
        <v>3513</v>
      </c>
      <c r="B431" s="283" t="s">
        <v>3357</v>
      </c>
      <c r="C431" s="283" t="s">
        <v>3346</v>
      </c>
      <c r="D431" s="284" t="s">
        <v>3514</v>
      </c>
    </row>
    <row r="432" spans="1:4" x14ac:dyDescent="0.3">
      <c r="A432" s="282" t="s">
        <v>3515</v>
      </c>
      <c r="B432" s="283" t="s">
        <v>3345</v>
      </c>
      <c r="C432" s="283" t="s">
        <v>3346</v>
      </c>
      <c r="D432" s="284" t="s">
        <v>3516</v>
      </c>
    </row>
    <row r="433" spans="1:4" x14ac:dyDescent="0.3">
      <c r="A433" s="282" t="s">
        <v>3517</v>
      </c>
      <c r="B433" s="283" t="s">
        <v>3457</v>
      </c>
      <c r="C433" s="283" t="s">
        <v>3346</v>
      </c>
      <c r="D433" s="284" t="s">
        <v>3518</v>
      </c>
    </row>
    <row r="434" spans="1:4" x14ac:dyDescent="0.3">
      <c r="A434" s="282" t="s">
        <v>3519</v>
      </c>
      <c r="B434" s="283" t="s">
        <v>3369</v>
      </c>
      <c r="C434" s="283" t="s">
        <v>3346</v>
      </c>
      <c r="D434" s="284" t="s">
        <v>3520</v>
      </c>
    </row>
    <row r="435" spans="1:4" x14ac:dyDescent="0.3">
      <c r="A435" s="282" t="s">
        <v>3521</v>
      </c>
      <c r="B435" s="283" t="s">
        <v>3522</v>
      </c>
      <c r="C435" s="283" t="s">
        <v>3346</v>
      </c>
      <c r="D435" s="284" t="s">
        <v>3523</v>
      </c>
    </row>
    <row r="436" spans="1:4" x14ac:dyDescent="0.3">
      <c r="A436" s="282" t="s">
        <v>3524</v>
      </c>
      <c r="B436" s="283" t="s">
        <v>2595</v>
      </c>
      <c r="C436" s="283" t="s">
        <v>3277</v>
      </c>
      <c r="D436" s="284" t="s">
        <v>3525</v>
      </c>
    </row>
    <row r="437" spans="1:4" x14ac:dyDescent="0.3">
      <c r="A437" s="282" t="s">
        <v>3526</v>
      </c>
      <c r="B437" s="283" t="s">
        <v>3369</v>
      </c>
      <c r="C437" s="283" t="s">
        <v>3346</v>
      </c>
      <c r="D437" s="284" t="s">
        <v>3527</v>
      </c>
    </row>
    <row r="438" spans="1:4" x14ac:dyDescent="0.3">
      <c r="A438" s="282" t="s">
        <v>3528</v>
      </c>
      <c r="B438" s="283" t="s">
        <v>3366</v>
      </c>
      <c r="C438" s="283" t="s">
        <v>3346</v>
      </c>
      <c r="D438" s="284" t="s">
        <v>3529</v>
      </c>
    </row>
    <row r="439" spans="1:4" x14ac:dyDescent="0.3">
      <c r="A439" s="282" t="s">
        <v>3530</v>
      </c>
      <c r="B439" s="283" t="s">
        <v>3345</v>
      </c>
      <c r="C439" s="283" t="s">
        <v>3346</v>
      </c>
      <c r="D439" s="284" t="s">
        <v>3531</v>
      </c>
    </row>
    <row r="440" spans="1:4" x14ac:dyDescent="0.3">
      <c r="A440" s="282" t="s">
        <v>3532</v>
      </c>
      <c r="B440" s="283" t="s">
        <v>2708</v>
      </c>
      <c r="C440" s="283" t="s">
        <v>3346</v>
      </c>
      <c r="D440" s="284" t="s">
        <v>3533</v>
      </c>
    </row>
    <row r="441" spans="1:4" x14ac:dyDescent="0.3">
      <c r="A441" s="282" t="s">
        <v>3534</v>
      </c>
      <c r="B441" s="283" t="s">
        <v>3345</v>
      </c>
      <c r="C441" s="283" t="s">
        <v>3346</v>
      </c>
      <c r="D441" s="284" t="s">
        <v>3535</v>
      </c>
    </row>
    <row r="442" spans="1:4" x14ac:dyDescent="0.3">
      <c r="A442" s="282" t="s">
        <v>3536</v>
      </c>
      <c r="B442" s="283" t="s">
        <v>3366</v>
      </c>
      <c r="C442" s="283" t="s">
        <v>3346</v>
      </c>
      <c r="D442" s="284" t="s">
        <v>3537</v>
      </c>
    </row>
    <row r="443" spans="1:4" x14ac:dyDescent="0.3">
      <c r="A443" s="282" t="s">
        <v>3538</v>
      </c>
      <c r="B443" s="283" t="s">
        <v>3345</v>
      </c>
      <c r="C443" s="283" t="s">
        <v>3346</v>
      </c>
      <c r="D443" s="284" t="s">
        <v>3539</v>
      </c>
    </row>
    <row r="444" spans="1:4" x14ac:dyDescent="0.3">
      <c r="A444" s="282" t="s">
        <v>3540</v>
      </c>
      <c r="B444" s="283" t="s">
        <v>3369</v>
      </c>
      <c r="C444" s="283" t="s">
        <v>3346</v>
      </c>
      <c r="D444" s="284" t="s">
        <v>3541</v>
      </c>
    </row>
    <row r="445" spans="1:4" x14ac:dyDescent="0.3">
      <c r="A445" s="282" t="s">
        <v>3542</v>
      </c>
      <c r="B445" s="283" t="s">
        <v>3366</v>
      </c>
      <c r="C445" s="283" t="s">
        <v>3346</v>
      </c>
      <c r="D445" s="284" t="s">
        <v>3543</v>
      </c>
    </row>
    <row r="446" spans="1:4" x14ac:dyDescent="0.3">
      <c r="A446" s="282" t="s">
        <v>3544</v>
      </c>
      <c r="B446" s="283" t="s">
        <v>3345</v>
      </c>
      <c r="C446" s="283" t="s">
        <v>3346</v>
      </c>
      <c r="D446" s="284" t="s">
        <v>3545</v>
      </c>
    </row>
    <row r="447" spans="1:4" x14ac:dyDescent="0.3">
      <c r="A447" s="282" t="s">
        <v>3546</v>
      </c>
      <c r="B447" s="283" t="s">
        <v>3395</v>
      </c>
      <c r="C447" s="283" t="s">
        <v>3346</v>
      </c>
      <c r="D447" s="284" t="s">
        <v>3547</v>
      </c>
    </row>
    <row r="448" spans="1:4" x14ac:dyDescent="0.3">
      <c r="A448" s="282" t="s">
        <v>3548</v>
      </c>
      <c r="B448" s="283" t="s">
        <v>3345</v>
      </c>
      <c r="C448" s="283" t="s">
        <v>3346</v>
      </c>
      <c r="D448" s="284" t="s">
        <v>3549</v>
      </c>
    </row>
    <row r="449" spans="1:4" x14ac:dyDescent="0.3">
      <c r="A449" s="282" t="s">
        <v>3550</v>
      </c>
      <c r="B449" s="283" t="s">
        <v>3422</v>
      </c>
      <c r="C449" s="283" t="s">
        <v>3346</v>
      </c>
      <c r="D449" s="284" t="s">
        <v>3551</v>
      </c>
    </row>
    <row r="450" spans="1:4" x14ac:dyDescent="0.3">
      <c r="A450" s="282" t="s">
        <v>3552</v>
      </c>
      <c r="B450" s="283" t="s">
        <v>3345</v>
      </c>
      <c r="C450" s="283" t="s">
        <v>3346</v>
      </c>
      <c r="D450" s="284" t="s">
        <v>3553</v>
      </c>
    </row>
    <row r="451" spans="1:4" x14ac:dyDescent="0.3">
      <c r="A451" s="282" t="s">
        <v>3554</v>
      </c>
      <c r="B451" s="283" t="s">
        <v>3345</v>
      </c>
      <c r="C451" s="283" t="s">
        <v>3346</v>
      </c>
      <c r="D451" s="284" t="s">
        <v>3555</v>
      </c>
    </row>
    <row r="452" spans="1:4" x14ac:dyDescent="0.3">
      <c r="A452" s="282" t="s">
        <v>3556</v>
      </c>
      <c r="B452" s="283" t="s">
        <v>3395</v>
      </c>
      <c r="C452" s="283" t="s">
        <v>3346</v>
      </c>
      <c r="D452" s="284" t="s">
        <v>3557</v>
      </c>
    </row>
    <row r="453" spans="1:4" x14ac:dyDescent="0.3">
      <c r="A453" s="282" t="s">
        <v>3558</v>
      </c>
      <c r="B453" s="283" t="s">
        <v>2708</v>
      </c>
      <c r="C453" s="283" t="s">
        <v>3346</v>
      </c>
      <c r="D453" s="284" t="s">
        <v>3559</v>
      </c>
    </row>
    <row r="454" spans="1:4" x14ac:dyDescent="0.3">
      <c r="A454" s="282" t="s">
        <v>3560</v>
      </c>
      <c r="B454" s="283" t="s">
        <v>3366</v>
      </c>
      <c r="C454" s="283" t="s">
        <v>3346</v>
      </c>
      <c r="D454" s="284" t="s">
        <v>3561</v>
      </c>
    </row>
    <row r="455" spans="1:4" x14ac:dyDescent="0.3">
      <c r="A455" s="282" t="s">
        <v>3562</v>
      </c>
      <c r="B455" s="283" t="s">
        <v>3369</v>
      </c>
      <c r="C455" s="283" t="s">
        <v>3346</v>
      </c>
      <c r="D455" s="284" t="s">
        <v>3563</v>
      </c>
    </row>
    <row r="456" spans="1:4" x14ac:dyDescent="0.3">
      <c r="A456" s="282" t="s">
        <v>3564</v>
      </c>
      <c r="B456" s="283" t="s">
        <v>3565</v>
      </c>
      <c r="C456" s="283" t="s">
        <v>3346</v>
      </c>
      <c r="D456" s="284" t="s">
        <v>3566</v>
      </c>
    </row>
    <row r="457" spans="1:4" x14ac:dyDescent="0.3">
      <c r="A457" s="282" t="s">
        <v>3567</v>
      </c>
      <c r="B457" s="283" t="s">
        <v>3366</v>
      </c>
      <c r="C457" s="283" t="s">
        <v>3346</v>
      </c>
      <c r="D457" s="284" t="s">
        <v>3568</v>
      </c>
    </row>
    <row r="458" spans="1:4" x14ac:dyDescent="0.3">
      <c r="A458" s="282" t="s">
        <v>3569</v>
      </c>
      <c r="B458" s="283" t="s">
        <v>3357</v>
      </c>
      <c r="C458" s="283" t="s">
        <v>3346</v>
      </c>
      <c r="D458" s="284" t="s">
        <v>3570</v>
      </c>
    </row>
    <row r="459" spans="1:4" x14ac:dyDescent="0.3">
      <c r="A459" s="282" t="s">
        <v>3571</v>
      </c>
      <c r="B459" s="283" t="s">
        <v>3345</v>
      </c>
      <c r="C459" s="283" t="s">
        <v>3346</v>
      </c>
      <c r="D459" s="284" t="s">
        <v>3572</v>
      </c>
    </row>
    <row r="460" spans="1:4" x14ac:dyDescent="0.3">
      <c r="A460" s="282" t="s">
        <v>3573</v>
      </c>
      <c r="B460" s="283" t="s">
        <v>3366</v>
      </c>
      <c r="C460" s="283" t="s">
        <v>3346</v>
      </c>
      <c r="D460" s="284" t="s">
        <v>3574</v>
      </c>
    </row>
    <row r="461" spans="1:4" x14ac:dyDescent="0.3">
      <c r="A461" s="282" t="s">
        <v>3575</v>
      </c>
      <c r="B461" s="283" t="s">
        <v>3345</v>
      </c>
      <c r="C461" s="283" t="s">
        <v>3346</v>
      </c>
      <c r="D461" s="284" t="s">
        <v>3576</v>
      </c>
    </row>
    <row r="462" spans="1:4" x14ac:dyDescent="0.3">
      <c r="A462" s="282" t="s">
        <v>3577</v>
      </c>
      <c r="B462" s="283" t="s">
        <v>3395</v>
      </c>
      <c r="C462" s="283" t="s">
        <v>3346</v>
      </c>
      <c r="D462" s="284" t="s">
        <v>3453</v>
      </c>
    </row>
    <row r="463" spans="1:4" x14ac:dyDescent="0.3">
      <c r="A463" s="282" t="s">
        <v>3578</v>
      </c>
      <c r="B463" s="283" t="s">
        <v>3345</v>
      </c>
      <c r="C463" s="283" t="s">
        <v>3346</v>
      </c>
      <c r="D463" s="284" t="s">
        <v>3579</v>
      </c>
    </row>
    <row r="464" spans="1:4" x14ac:dyDescent="0.3">
      <c r="A464" s="282" t="s">
        <v>3580</v>
      </c>
      <c r="B464" s="283" t="s">
        <v>3276</v>
      </c>
      <c r="C464" s="283" t="s">
        <v>3277</v>
      </c>
      <c r="D464" s="284" t="s">
        <v>3581</v>
      </c>
    </row>
    <row r="465" spans="1:4" x14ac:dyDescent="0.3">
      <c r="A465" s="282" t="s">
        <v>3582</v>
      </c>
      <c r="B465" s="283" t="s">
        <v>3276</v>
      </c>
      <c r="C465" s="283" t="s">
        <v>3277</v>
      </c>
      <c r="D465" s="284" t="s">
        <v>3583</v>
      </c>
    </row>
    <row r="466" spans="1:4" x14ac:dyDescent="0.3">
      <c r="A466" s="282" t="s">
        <v>3584</v>
      </c>
      <c r="B466" s="283" t="s">
        <v>3457</v>
      </c>
      <c r="C466" s="283" t="s">
        <v>3496</v>
      </c>
      <c r="D466" s="284" t="s">
        <v>3585</v>
      </c>
    </row>
    <row r="467" spans="1:4" x14ac:dyDescent="0.3">
      <c r="A467" s="282" t="s">
        <v>3586</v>
      </c>
      <c r="B467" s="283" t="s">
        <v>3345</v>
      </c>
      <c r="C467" s="283" t="s">
        <v>3346</v>
      </c>
      <c r="D467" s="284" t="s">
        <v>3587</v>
      </c>
    </row>
    <row r="468" spans="1:4" x14ac:dyDescent="0.3">
      <c r="A468" s="282" t="s">
        <v>3588</v>
      </c>
      <c r="B468" s="283" t="s">
        <v>3276</v>
      </c>
      <c r="C468" s="283" t="s">
        <v>3277</v>
      </c>
      <c r="D468" s="284" t="s">
        <v>3589</v>
      </c>
    </row>
    <row r="469" spans="1:4" x14ac:dyDescent="0.3">
      <c r="A469" s="282" t="s">
        <v>3590</v>
      </c>
      <c r="B469" s="283" t="s">
        <v>3345</v>
      </c>
      <c r="C469" s="283" t="s">
        <v>3346</v>
      </c>
      <c r="D469" s="284" t="s">
        <v>3591</v>
      </c>
    </row>
    <row r="470" spans="1:4" x14ac:dyDescent="0.3">
      <c r="A470" s="282" t="s">
        <v>3592</v>
      </c>
      <c r="B470" s="283" t="s">
        <v>3422</v>
      </c>
      <c r="C470" s="283" t="s">
        <v>3346</v>
      </c>
      <c r="D470" s="284" t="s">
        <v>3593</v>
      </c>
    </row>
    <row r="471" spans="1:4" x14ac:dyDescent="0.3">
      <c r="A471" s="282" t="s">
        <v>3594</v>
      </c>
      <c r="B471" s="283" t="s">
        <v>3422</v>
      </c>
      <c r="C471" s="283" t="s">
        <v>3346</v>
      </c>
      <c r="D471" s="284" t="s">
        <v>3595</v>
      </c>
    </row>
    <row r="472" spans="1:4" x14ac:dyDescent="0.3">
      <c r="A472" s="282" t="s">
        <v>3596</v>
      </c>
      <c r="B472" s="283" t="s">
        <v>3345</v>
      </c>
      <c r="C472" s="283" t="s">
        <v>3346</v>
      </c>
      <c r="D472" s="284" t="s">
        <v>3597</v>
      </c>
    </row>
    <row r="473" spans="1:4" x14ac:dyDescent="0.3">
      <c r="A473" s="282" t="s">
        <v>3598</v>
      </c>
      <c r="B473" s="283" t="s">
        <v>3345</v>
      </c>
      <c r="C473" s="283" t="s">
        <v>3346</v>
      </c>
      <c r="D473" s="284" t="s">
        <v>3599</v>
      </c>
    </row>
    <row r="474" spans="1:4" x14ac:dyDescent="0.3">
      <c r="A474" s="282" t="s">
        <v>3600</v>
      </c>
      <c r="B474" s="283" t="s">
        <v>3457</v>
      </c>
      <c r="C474" s="283" t="s">
        <v>3346</v>
      </c>
      <c r="D474" s="284" t="s">
        <v>3601</v>
      </c>
    </row>
    <row r="475" spans="1:4" x14ac:dyDescent="0.3">
      <c r="A475" s="282" t="s">
        <v>3602</v>
      </c>
      <c r="B475" s="283" t="s">
        <v>3603</v>
      </c>
      <c r="C475" s="283" t="s">
        <v>3277</v>
      </c>
      <c r="D475" s="284" t="s">
        <v>3604</v>
      </c>
    </row>
    <row r="476" spans="1:4" x14ac:dyDescent="0.3">
      <c r="A476" s="282" t="s">
        <v>3605</v>
      </c>
      <c r="B476" s="283" t="s">
        <v>3276</v>
      </c>
      <c r="C476" s="283" t="s">
        <v>3277</v>
      </c>
      <c r="D476" s="284" t="s">
        <v>3606</v>
      </c>
    </row>
    <row r="477" spans="1:4" x14ac:dyDescent="0.3">
      <c r="A477" s="282" t="s">
        <v>3607</v>
      </c>
      <c r="B477" s="283" t="s">
        <v>2708</v>
      </c>
      <c r="C477" s="283" t="s">
        <v>3346</v>
      </c>
      <c r="D477" s="284" t="s">
        <v>3608</v>
      </c>
    </row>
    <row r="478" spans="1:4" x14ac:dyDescent="0.3">
      <c r="A478" s="282" t="s">
        <v>3609</v>
      </c>
      <c r="B478" s="283" t="s">
        <v>3345</v>
      </c>
      <c r="C478" s="283" t="s">
        <v>3346</v>
      </c>
      <c r="D478" s="284" t="s">
        <v>3610</v>
      </c>
    </row>
    <row r="479" spans="1:4" x14ac:dyDescent="0.3">
      <c r="A479" s="282" t="s">
        <v>3611</v>
      </c>
      <c r="B479" s="283" t="s">
        <v>3369</v>
      </c>
      <c r="C479" s="283" t="s">
        <v>3346</v>
      </c>
      <c r="D479" s="284" t="s">
        <v>3612</v>
      </c>
    </row>
    <row r="480" spans="1:4" x14ac:dyDescent="0.3">
      <c r="A480" s="282" t="s">
        <v>3613</v>
      </c>
      <c r="B480" s="283" t="s">
        <v>3366</v>
      </c>
      <c r="C480" s="283" t="s">
        <v>3346</v>
      </c>
      <c r="D480" s="284" t="s">
        <v>3614</v>
      </c>
    </row>
    <row r="481" spans="1:4" x14ac:dyDescent="0.3">
      <c r="A481" s="282" t="s">
        <v>3615</v>
      </c>
      <c r="B481" s="283" t="s">
        <v>3345</v>
      </c>
      <c r="C481" s="283" t="s">
        <v>3346</v>
      </c>
      <c r="D481" s="284" t="s">
        <v>3616</v>
      </c>
    </row>
    <row r="482" spans="1:4" x14ac:dyDescent="0.3">
      <c r="A482" s="282" t="s">
        <v>3617</v>
      </c>
      <c r="B482" s="283" t="s">
        <v>3369</v>
      </c>
      <c r="C482" s="283" t="s">
        <v>3346</v>
      </c>
      <c r="D482" s="284" t="s">
        <v>3618</v>
      </c>
    </row>
    <row r="483" spans="1:4" x14ac:dyDescent="0.3">
      <c r="A483" s="282" t="s">
        <v>3619</v>
      </c>
      <c r="B483" s="283" t="s">
        <v>3369</v>
      </c>
      <c r="C483" s="283" t="s">
        <v>3346</v>
      </c>
      <c r="D483" s="284" t="s">
        <v>3620</v>
      </c>
    </row>
    <row r="484" spans="1:4" x14ac:dyDescent="0.3">
      <c r="A484" s="282" t="s">
        <v>3621</v>
      </c>
      <c r="B484" s="283" t="s">
        <v>3369</v>
      </c>
      <c r="C484" s="283" t="s">
        <v>3346</v>
      </c>
      <c r="D484" s="284" t="s">
        <v>3622</v>
      </c>
    </row>
    <row r="485" spans="1:4" x14ac:dyDescent="0.3">
      <c r="A485" s="282" t="s">
        <v>3623</v>
      </c>
      <c r="B485" s="283" t="s">
        <v>3366</v>
      </c>
      <c r="C485" s="283" t="s">
        <v>3346</v>
      </c>
      <c r="D485" s="284" t="s">
        <v>3624</v>
      </c>
    </row>
    <row r="486" spans="1:4" x14ac:dyDescent="0.3">
      <c r="A486" s="282" t="s">
        <v>3625</v>
      </c>
      <c r="B486" s="283" t="s">
        <v>3369</v>
      </c>
      <c r="C486" s="283" t="s">
        <v>3346</v>
      </c>
      <c r="D486" s="284" t="s">
        <v>3626</v>
      </c>
    </row>
    <row r="487" spans="1:4" x14ac:dyDescent="0.3">
      <c r="A487" s="282" t="s">
        <v>3627</v>
      </c>
      <c r="B487" s="283" t="s">
        <v>3345</v>
      </c>
      <c r="C487" s="283" t="s">
        <v>3346</v>
      </c>
      <c r="D487" s="284" t="s">
        <v>3628</v>
      </c>
    </row>
    <row r="488" spans="1:4" x14ac:dyDescent="0.3">
      <c r="A488" s="282" t="s">
        <v>3629</v>
      </c>
      <c r="B488" s="283" t="s">
        <v>3345</v>
      </c>
      <c r="C488" s="283" t="s">
        <v>3346</v>
      </c>
      <c r="D488" s="284" t="s">
        <v>3630</v>
      </c>
    </row>
    <row r="489" spans="1:4" x14ac:dyDescent="0.3">
      <c r="A489" s="282" t="s">
        <v>3631</v>
      </c>
      <c r="B489" s="283" t="s">
        <v>3395</v>
      </c>
      <c r="C489" s="283" t="s">
        <v>3346</v>
      </c>
      <c r="D489" s="284" t="s">
        <v>3632</v>
      </c>
    </row>
    <row r="490" spans="1:4" x14ac:dyDescent="0.3">
      <c r="A490" s="282" t="s">
        <v>3633</v>
      </c>
      <c r="B490" s="283" t="s">
        <v>3345</v>
      </c>
      <c r="C490" s="283" t="s">
        <v>3346</v>
      </c>
      <c r="D490" s="284" t="s">
        <v>3634</v>
      </c>
    </row>
    <row r="491" spans="1:4" x14ac:dyDescent="0.3">
      <c r="A491" s="282" t="s">
        <v>3635</v>
      </c>
      <c r="B491" s="283" t="s">
        <v>3345</v>
      </c>
      <c r="C491" s="283" t="s">
        <v>3346</v>
      </c>
      <c r="D491" s="284" t="s">
        <v>3636</v>
      </c>
    </row>
    <row r="492" spans="1:4" x14ac:dyDescent="0.3">
      <c r="A492" s="282" t="s">
        <v>3637</v>
      </c>
      <c r="B492" s="283" t="s">
        <v>3345</v>
      </c>
      <c r="C492" s="283" t="s">
        <v>3346</v>
      </c>
      <c r="D492" s="284" t="s">
        <v>3638</v>
      </c>
    </row>
    <row r="493" spans="1:4" x14ac:dyDescent="0.3">
      <c r="A493" s="282" t="s">
        <v>3639</v>
      </c>
      <c r="B493" s="283" t="s">
        <v>3345</v>
      </c>
      <c r="C493" s="283" t="s">
        <v>3346</v>
      </c>
      <c r="D493" s="284" t="s">
        <v>3640</v>
      </c>
    </row>
    <row r="494" spans="1:4" x14ac:dyDescent="0.3">
      <c r="A494" s="282" t="s">
        <v>3641</v>
      </c>
      <c r="B494" s="283" t="s">
        <v>3345</v>
      </c>
      <c r="C494" s="283" t="s">
        <v>3346</v>
      </c>
      <c r="D494" s="284" t="s">
        <v>3642</v>
      </c>
    </row>
    <row r="495" spans="1:4" x14ac:dyDescent="0.3">
      <c r="A495" s="282" t="s">
        <v>3643</v>
      </c>
      <c r="B495" s="283" t="s">
        <v>3369</v>
      </c>
      <c r="C495" s="283" t="s">
        <v>3346</v>
      </c>
      <c r="D495" s="284" t="s">
        <v>3644</v>
      </c>
    </row>
    <row r="496" spans="1:4" x14ac:dyDescent="0.3">
      <c r="A496" s="282" t="s">
        <v>3645</v>
      </c>
      <c r="B496" s="283" t="s">
        <v>3369</v>
      </c>
      <c r="C496" s="283" t="s">
        <v>3346</v>
      </c>
      <c r="D496" s="284" t="s">
        <v>3646</v>
      </c>
    </row>
    <row r="497" spans="1:4" x14ac:dyDescent="0.3">
      <c r="A497" s="282" t="s">
        <v>3647</v>
      </c>
      <c r="B497" s="283" t="s">
        <v>3369</v>
      </c>
      <c r="C497" s="283" t="s">
        <v>3346</v>
      </c>
      <c r="D497" s="284" t="s">
        <v>3648</v>
      </c>
    </row>
    <row r="498" spans="1:4" x14ac:dyDescent="0.3">
      <c r="A498" s="282" t="s">
        <v>3649</v>
      </c>
      <c r="B498" s="283" t="s">
        <v>3372</v>
      </c>
      <c r="C498" s="283" t="s">
        <v>3346</v>
      </c>
      <c r="D498" s="284" t="s">
        <v>3650</v>
      </c>
    </row>
    <row r="499" spans="1:4" x14ac:dyDescent="0.3">
      <c r="A499" s="282" t="s">
        <v>3651</v>
      </c>
      <c r="B499" s="283" t="s">
        <v>3366</v>
      </c>
      <c r="C499" s="283" t="s">
        <v>3346</v>
      </c>
      <c r="D499" s="284" t="s">
        <v>3652</v>
      </c>
    </row>
    <row r="500" spans="1:4" x14ac:dyDescent="0.3">
      <c r="A500" s="282" t="s">
        <v>3653</v>
      </c>
      <c r="B500" s="283" t="s">
        <v>3369</v>
      </c>
      <c r="C500" s="283" t="s">
        <v>3346</v>
      </c>
      <c r="D500" s="284" t="s">
        <v>3654</v>
      </c>
    </row>
    <row r="501" spans="1:4" x14ac:dyDescent="0.3">
      <c r="A501" s="282" t="s">
        <v>3655</v>
      </c>
      <c r="B501" s="283" t="s">
        <v>3345</v>
      </c>
      <c r="C501" s="283" t="s">
        <v>3346</v>
      </c>
      <c r="D501" s="284" t="s">
        <v>3656</v>
      </c>
    </row>
    <row r="502" spans="1:4" x14ac:dyDescent="0.3">
      <c r="A502" s="282" t="s">
        <v>3657</v>
      </c>
      <c r="B502" s="283" t="s">
        <v>3457</v>
      </c>
      <c r="C502" s="283" t="s">
        <v>3496</v>
      </c>
      <c r="D502" s="284" t="s">
        <v>3658</v>
      </c>
    </row>
    <row r="503" spans="1:4" x14ac:dyDescent="0.3">
      <c r="A503" s="282" t="s">
        <v>3659</v>
      </c>
      <c r="B503" s="283" t="s">
        <v>3395</v>
      </c>
      <c r="C503" s="283" t="s">
        <v>3346</v>
      </c>
      <c r="D503" s="284" t="s">
        <v>3660</v>
      </c>
    </row>
    <row r="504" spans="1:4" x14ac:dyDescent="0.3">
      <c r="A504" s="282" t="s">
        <v>3661</v>
      </c>
      <c r="B504" s="283" t="s">
        <v>3372</v>
      </c>
      <c r="C504" s="283" t="s">
        <v>3346</v>
      </c>
      <c r="D504" s="284" t="s">
        <v>3662</v>
      </c>
    </row>
    <row r="505" spans="1:4" x14ac:dyDescent="0.3">
      <c r="A505" s="282" t="s">
        <v>3663</v>
      </c>
      <c r="B505" s="283" t="s">
        <v>3457</v>
      </c>
      <c r="C505" s="283" t="s">
        <v>3346</v>
      </c>
      <c r="D505" s="284" t="s">
        <v>3664</v>
      </c>
    </row>
    <row r="506" spans="1:4" x14ac:dyDescent="0.3">
      <c r="A506" s="282" t="s">
        <v>3665</v>
      </c>
      <c r="B506" s="283" t="s">
        <v>3366</v>
      </c>
      <c r="C506" s="283" t="s">
        <v>3346</v>
      </c>
      <c r="D506" s="284" t="s">
        <v>3666</v>
      </c>
    </row>
    <row r="507" spans="1:4" x14ac:dyDescent="0.3">
      <c r="A507" s="282" t="s">
        <v>3667</v>
      </c>
      <c r="B507" s="283" t="s">
        <v>3369</v>
      </c>
      <c r="C507" s="283" t="s">
        <v>3346</v>
      </c>
      <c r="D507" s="284" t="s">
        <v>3668</v>
      </c>
    </row>
    <row r="508" spans="1:4" x14ac:dyDescent="0.3">
      <c r="A508" s="282" t="s">
        <v>3669</v>
      </c>
      <c r="B508" s="283" t="s">
        <v>3422</v>
      </c>
      <c r="C508" s="283" t="s">
        <v>3346</v>
      </c>
      <c r="D508" s="284" t="s">
        <v>3670</v>
      </c>
    </row>
    <row r="509" spans="1:4" x14ac:dyDescent="0.3">
      <c r="A509" s="282" t="s">
        <v>3671</v>
      </c>
      <c r="B509" s="283" t="s">
        <v>3422</v>
      </c>
      <c r="C509" s="283" t="s">
        <v>3346</v>
      </c>
      <c r="D509" s="284" t="s">
        <v>3672</v>
      </c>
    </row>
    <row r="510" spans="1:4" x14ac:dyDescent="0.3">
      <c r="A510" s="282" t="s">
        <v>3673</v>
      </c>
      <c r="B510" s="283" t="s">
        <v>3422</v>
      </c>
      <c r="C510" s="283" t="s">
        <v>3346</v>
      </c>
      <c r="D510" s="284" t="s">
        <v>3674</v>
      </c>
    </row>
    <row r="511" spans="1:4" x14ac:dyDescent="0.3">
      <c r="A511" s="282" t="s">
        <v>3675</v>
      </c>
      <c r="B511" s="283" t="s">
        <v>3422</v>
      </c>
      <c r="C511" s="283" t="s">
        <v>3346</v>
      </c>
      <c r="D511" s="284" t="s">
        <v>3676</v>
      </c>
    </row>
    <row r="512" spans="1:4" x14ac:dyDescent="0.3">
      <c r="A512" s="282" t="s">
        <v>3677</v>
      </c>
      <c r="B512" s="283" t="s">
        <v>3678</v>
      </c>
      <c r="C512" s="283" t="s">
        <v>3346</v>
      </c>
      <c r="D512" s="284" t="s">
        <v>3679</v>
      </c>
    </row>
    <row r="513" spans="1:4" x14ac:dyDescent="0.3">
      <c r="A513" s="282" t="s">
        <v>3680</v>
      </c>
      <c r="B513" s="283" t="s">
        <v>3369</v>
      </c>
      <c r="C513" s="283" t="s">
        <v>3346</v>
      </c>
      <c r="D513" s="284" t="s">
        <v>3681</v>
      </c>
    </row>
    <row r="514" spans="1:4" x14ac:dyDescent="0.3">
      <c r="A514" s="282" t="s">
        <v>3682</v>
      </c>
      <c r="B514" s="283" t="s">
        <v>3369</v>
      </c>
      <c r="C514" s="283" t="s">
        <v>3346</v>
      </c>
      <c r="D514" s="284" t="s">
        <v>3683</v>
      </c>
    </row>
    <row r="515" spans="1:4" x14ac:dyDescent="0.3">
      <c r="A515" s="282" t="s">
        <v>3684</v>
      </c>
      <c r="B515" s="283" t="s">
        <v>3369</v>
      </c>
      <c r="C515" s="283" t="s">
        <v>3346</v>
      </c>
      <c r="D515" s="284" t="s">
        <v>3685</v>
      </c>
    </row>
    <row r="516" spans="1:4" x14ac:dyDescent="0.3">
      <c r="A516" s="282" t="s">
        <v>3686</v>
      </c>
      <c r="B516" s="283" t="s">
        <v>3687</v>
      </c>
      <c r="C516" s="283" t="s">
        <v>2846</v>
      </c>
      <c r="D516" s="284" t="s">
        <v>3688</v>
      </c>
    </row>
    <row r="517" spans="1:4" x14ac:dyDescent="0.3">
      <c r="A517" s="282" t="s">
        <v>3689</v>
      </c>
      <c r="B517" s="283" t="s">
        <v>3687</v>
      </c>
      <c r="C517" s="283" t="s">
        <v>2846</v>
      </c>
      <c r="D517" s="284" t="s">
        <v>3690</v>
      </c>
    </row>
    <row r="518" spans="1:4" x14ac:dyDescent="0.3">
      <c r="A518" s="282" t="s">
        <v>3691</v>
      </c>
      <c r="B518" s="283" t="s">
        <v>3687</v>
      </c>
      <c r="C518" s="283" t="s">
        <v>2846</v>
      </c>
      <c r="D518" s="284" t="s">
        <v>3692</v>
      </c>
    </row>
    <row r="519" spans="1:4" x14ac:dyDescent="0.3">
      <c r="A519" s="282" t="s">
        <v>3693</v>
      </c>
      <c r="B519" s="283" t="s">
        <v>3687</v>
      </c>
      <c r="C519" s="283" t="s">
        <v>2846</v>
      </c>
      <c r="D519" s="284" t="s">
        <v>3694</v>
      </c>
    </row>
    <row r="520" spans="1:4" x14ac:dyDescent="0.3">
      <c r="A520" s="282" t="s">
        <v>3695</v>
      </c>
      <c r="B520" s="283" t="s">
        <v>3687</v>
      </c>
      <c r="C520" s="283" t="s">
        <v>2846</v>
      </c>
      <c r="D520" s="284" t="s">
        <v>3696</v>
      </c>
    </row>
    <row r="521" spans="1:4" x14ac:dyDescent="0.3">
      <c r="A521" s="282" t="s">
        <v>3697</v>
      </c>
      <c r="B521" s="283" t="s">
        <v>3687</v>
      </c>
      <c r="C521" s="283" t="s">
        <v>2846</v>
      </c>
      <c r="D521" s="284" t="s">
        <v>3698</v>
      </c>
    </row>
    <row r="522" spans="1:4" x14ac:dyDescent="0.3">
      <c r="A522" s="282" t="s">
        <v>3699</v>
      </c>
      <c r="B522" s="283" t="s">
        <v>3700</v>
      </c>
      <c r="C522" s="283" t="s">
        <v>2846</v>
      </c>
      <c r="D522" s="284" t="s">
        <v>3701</v>
      </c>
    </row>
    <row r="523" spans="1:4" x14ac:dyDescent="0.3">
      <c r="A523" s="282" t="s">
        <v>3702</v>
      </c>
      <c r="B523" s="283" t="s">
        <v>3700</v>
      </c>
      <c r="C523" s="283" t="s">
        <v>2846</v>
      </c>
      <c r="D523" s="284" t="s">
        <v>3703</v>
      </c>
    </row>
    <row r="524" spans="1:4" x14ac:dyDescent="0.3">
      <c r="A524" s="282" t="s">
        <v>3704</v>
      </c>
      <c r="B524" s="283" t="s">
        <v>3687</v>
      </c>
      <c r="C524" s="283" t="s">
        <v>2846</v>
      </c>
      <c r="D524" s="284" t="s">
        <v>3705</v>
      </c>
    </row>
    <row r="525" spans="1:4" x14ac:dyDescent="0.3">
      <c r="A525" s="282" t="s">
        <v>3706</v>
      </c>
      <c r="B525" s="283" t="s">
        <v>3687</v>
      </c>
      <c r="C525" s="283" t="s">
        <v>2846</v>
      </c>
      <c r="D525" s="284" t="s">
        <v>3707</v>
      </c>
    </row>
    <row r="526" spans="1:4" x14ac:dyDescent="0.3">
      <c r="A526" s="282" t="s">
        <v>3708</v>
      </c>
      <c r="B526" s="283" t="s">
        <v>3687</v>
      </c>
      <c r="C526" s="283" t="s">
        <v>2846</v>
      </c>
      <c r="D526" s="284" t="s">
        <v>3709</v>
      </c>
    </row>
    <row r="527" spans="1:4" x14ac:dyDescent="0.3">
      <c r="A527" s="282" t="s">
        <v>3710</v>
      </c>
      <c r="B527" s="283" t="s">
        <v>3687</v>
      </c>
      <c r="C527" s="283" t="s">
        <v>2846</v>
      </c>
      <c r="D527" s="284" t="s">
        <v>3711</v>
      </c>
    </row>
    <row r="528" spans="1:4" x14ac:dyDescent="0.3">
      <c r="A528" s="282" t="s">
        <v>3712</v>
      </c>
      <c r="B528" s="283" t="s">
        <v>3687</v>
      </c>
      <c r="C528" s="283" t="s">
        <v>2846</v>
      </c>
      <c r="D528" s="284" t="s">
        <v>3713</v>
      </c>
    </row>
    <row r="529" spans="1:4" x14ac:dyDescent="0.3">
      <c r="A529" s="282" t="s">
        <v>3714</v>
      </c>
      <c r="B529" s="283" t="s">
        <v>3715</v>
      </c>
      <c r="C529" s="283" t="s">
        <v>2846</v>
      </c>
      <c r="D529" s="284" t="s">
        <v>3716</v>
      </c>
    </row>
    <row r="530" spans="1:4" x14ac:dyDescent="0.3">
      <c r="A530" s="282" t="s">
        <v>3717</v>
      </c>
      <c r="B530" s="283" t="s">
        <v>3687</v>
      </c>
      <c r="C530" s="283" t="s">
        <v>2846</v>
      </c>
      <c r="D530" s="284" t="s">
        <v>3718</v>
      </c>
    </row>
    <row r="531" spans="1:4" x14ac:dyDescent="0.3">
      <c r="A531" s="282" t="s">
        <v>3719</v>
      </c>
      <c r="B531" s="283" t="s">
        <v>3687</v>
      </c>
      <c r="C531" s="283" t="s">
        <v>2846</v>
      </c>
      <c r="D531" s="284" t="s">
        <v>3720</v>
      </c>
    </row>
    <row r="532" spans="1:4" x14ac:dyDescent="0.3">
      <c r="A532" s="282" t="s">
        <v>3721</v>
      </c>
      <c r="B532" s="283" t="s">
        <v>3687</v>
      </c>
      <c r="C532" s="283" t="s">
        <v>2846</v>
      </c>
      <c r="D532" s="284" t="s">
        <v>3722</v>
      </c>
    </row>
    <row r="533" spans="1:4" x14ac:dyDescent="0.3">
      <c r="A533" s="282" t="s">
        <v>3723</v>
      </c>
      <c r="B533" s="283" t="s">
        <v>3687</v>
      </c>
      <c r="C533" s="283" t="s">
        <v>2846</v>
      </c>
      <c r="D533" s="284" t="s">
        <v>3724</v>
      </c>
    </row>
    <row r="534" spans="1:4" x14ac:dyDescent="0.3">
      <c r="A534" s="282" t="s">
        <v>3725</v>
      </c>
      <c r="B534" s="283" t="s">
        <v>3687</v>
      </c>
      <c r="C534" s="283" t="s">
        <v>2846</v>
      </c>
      <c r="D534" s="284" t="s">
        <v>3726</v>
      </c>
    </row>
    <row r="535" spans="1:4" x14ac:dyDescent="0.3">
      <c r="A535" s="282" t="s">
        <v>3727</v>
      </c>
      <c r="B535" s="283" t="s">
        <v>3687</v>
      </c>
      <c r="C535" s="283" t="s">
        <v>2846</v>
      </c>
      <c r="D535" s="284" t="s">
        <v>3728</v>
      </c>
    </row>
    <row r="536" spans="1:4" x14ac:dyDescent="0.3">
      <c r="A536" s="282" t="s">
        <v>3729</v>
      </c>
      <c r="B536" s="283" t="s">
        <v>3687</v>
      </c>
      <c r="C536" s="283" t="s">
        <v>2846</v>
      </c>
      <c r="D536" s="284" t="s">
        <v>3730</v>
      </c>
    </row>
    <row r="537" spans="1:4" x14ac:dyDescent="0.3">
      <c r="A537" s="282" t="s">
        <v>3731</v>
      </c>
      <c r="B537" s="283" t="s">
        <v>3687</v>
      </c>
      <c r="C537" s="283" t="s">
        <v>2846</v>
      </c>
      <c r="D537" s="284" t="s">
        <v>3732</v>
      </c>
    </row>
    <row r="538" spans="1:4" x14ac:dyDescent="0.3">
      <c r="A538" s="282" t="s">
        <v>3733</v>
      </c>
      <c r="B538" s="283" t="s">
        <v>3687</v>
      </c>
      <c r="C538" s="283" t="s">
        <v>2846</v>
      </c>
      <c r="D538" s="284" t="s">
        <v>3734</v>
      </c>
    </row>
    <row r="539" spans="1:4" x14ac:dyDescent="0.3">
      <c r="A539" s="282" t="s">
        <v>3735</v>
      </c>
      <c r="B539" s="283" t="s">
        <v>3687</v>
      </c>
      <c r="C539" s="283" t="s">
        <v>2846</v>
      </c>
      <c r="D539" s="284" t="s">
        <v>3736</v>
      </c>
    </row>
    <row r="540" spans="1:4" x14ac:dyDescent="0.3">
      <c r="A540" s="282" t="s">
        <v>3737</v>
      </c>
      <c r="B540" s="283" t="s">
        <v>3738</v>
      </c>
      <c r="C540" s="283" t="s">
        <v>3496</v>
      </c>
      <c r="D540" s="284" t="s">
        <v>3739</v>
      </c>
    </row>
    <row r="541" spans="1:4" x14ac:dyDescent="0.3">
      <c r="A541" s="282" t="s">
        <v>3740</v>
      </c>
      <c r="B541" s="283" t="s">
        <v>3687</v>
      </c>
      <c r="C541" s="283" t="s">
        <v>2846</v>
      </c>
      <c r="D541" s="284" t="s">
        <v>3741</v>
      </c>
    </row>
    <row r="542" spans="1:4" x14ac:dyDescent="0.3">
      <c r="A542" s="282" t="s">
        <v>3742</v>
      </c>
      <c r="B542" s="283" t="s">
        <v>3687</v>
      </c>
      <c r="C542" s="283" t="s">
        <v>2846</v>
      </c>
      <c r="D542" s="284" t="s">
        <v>3743</v>
      </c>
    </row>
    <row r="543" spans="1:4" x14ac:dyDescent="0.3">
      <c r="A543" s="282" t="s">
        <v>3744</v>
      </c>
      <c r="B543" s="283" t="s">
        <v>3687</v>
      </c>
      <c r="C543" s="283" t="s">
        <v>2846</v>
      </c>
      <c r="D543" s="284" t="s">
        <v>3745</v>
      </c>
    </row>
    <row r="544" spans="1:4" x14ac:dyDescent="0.3">
      <c r="A544" s="282" t="s">
        <v>3746</v>
      </c>
      <c r="B544" s="283" t="s">
        <v>3687</v>
      </c>
      <c r="C544" s="283" t="s">
        <v>2846</v>
      </c>
      <c r="D544" s="284" t="s">
        <v>3747</v>
      </c>
    </row>
    <row r="545" spans="1:4" x14ac:dyDescent="0.3">
      <c r="A545" s="282" t="s">
        <v>3748</v>
      </c>
      <c r="B545" s="283" t="s">
        <v>3687</v>
      </c>
      <c r="C545" s="283" t="s">
        <v>2846</v>
      </c>
      <c r="D545" s="284" t="s">
        <v>3749</v>
      </c>
    </row>
    <row r="546" spans="1:4" x14ac:dyDescent="0.3">
      <c r="A546" s="282" t="s">
        <v>3750</v>
      </c>
      <c r="B546" s="283" t="s">
        <v>3687</v>
      </c>
      <c r="C546" s="283" t="s">
        <v>2846</v>
      </c>
      <c r="D546" s="284" t="s">
        <v>3751</v>
      </c>
    </row>
    <row r="547" spans="1:4" x14ac:dyDescent="0.3">
      <c r="A547" s="282" t="s">
        <v>3752</v>
      </c>
      <c r="B547" s="283" t="s">
        <v>3700</v>
      </c>
      <c r="C547" s="283" t="s">
        <v>2846</v>
      </c>
      <c r="D547" s="284" t="s">
        <v>3753</v>
      </c>
    </row>
    <row r="548" spans="1:4" x14ac:dyDescent="0.3">
      <c r="A548" s="282" t="s">
        <v>3754</v>
      </c>
      <c r="B548" s="283" t="s">
        <v>3687</v>
      </c>
      <c r="C548" s="283" t="s">
        <v>2846</v>
      </c>
      <c r="D548" s="284" t="s">
        <v>3755</v>
      </c>
    </row>
    <row r="549" spans="1:4" x14ac:dyDescent="0.3">
      <c r="A549" s="282" t="s">
        <v>3756</v>
      </c>
      <c r="B549" s="283" t="s">
        <v>3687</v>
      </c>
      <c r="C549" s="283" t="s">
        <v>2846</v>
      </c>
      <c r="D549" s="284" t="s">
        <v>3757</v>
      </c>
    </row>
    <row r="550" spans="1:4" x14ac:dyDescent="0.3">
      <c r="A550" s="282" t="s">
        <v>3758</v>
      </c>
      <c r="B550" s="283" t="s">
        <v>3687</v>
      </c>
      <c r="C550" s="283" t="s">
        <v>2846</v>
      </c>
      <c r="D550" s="284" t="s">
        <v>3759</v>
      </c>
    </row>
    <row r="551" spans="1:4" x14ac:dyDescent="0.3">
      <c r="A551" s="282" t="s">
        <v>3760</v>
      </c>
      <c r="B551" s="283" t="s">
        <v>3687</v>
      </c>
      <c r="C551" s="283" t="s">
        <v>2846</v>
      </c>
      <c r="D551" s="284" t="s">
        <v>3761</v>
      </c>
    </row>
    <row r="552" spans="1:4" x14ac:dyDescent="0.3">
      <c r="A552" s="282" t="s">
        <v>3762</v>
      </c>
      <c r="B552" s="283" t="s">
        <v>3687</v>
      </c>
      <c r="C552" s="283" t="s">
        <v>2846</v>
      </c>
      <c r="D552" s="284" t="s">
        <v>3763</v>
      </c>
    </row>
    <row r="553" spans="1:4" x14ac:dyDescent="0.3">
      <c r="A553" s="282" t="s">
        <v>3764</v>
      </c>
      <c r="B553" s="283" t="s">
        <v>3687</v>
      </c>
      <c r="C553" s="283" t="s">
        <v>2846</v>
      </c>
      <c r="D553" s="284" t="s">
        <v>3765</v>
      </c>
    </row>
    <row r="554" spans="1:4" x14ac:dyDescent="0.3">
      <c r="A554" s="282" t="s">
        <v>3766</v>
      </c>
      <c r="B554" s="283" t="s">
        <v>3687</v>
      </c>
      <c r="C554" s="283" t="s">
        <v>2846</v>
      </c>
      <c r="D554" s="284" t="s">
        <v>3767</v>
      </c>
    </row>
    <row r="555" spans="1:4" x14ac:dyDescent="0.3">
      <c r="A555" s="282" t="s">
        <v>3768</v>
      </c>
      <c r="B555" s="283" t="s">
        <v>3687</v>
      </c>
      <c r="C555" s="283" t="s">
        <v>2846</v>
      </c>
      <c r="D555" s="284" t="s">
        <v>3769</v>
      </c>
    </row>
    <row r="556" spans="1:4" x14ac:dyDescent="0.3">
      <c r="A556" s="282" t="s">
        <v>3770</v>
      </c>
      <c r="B556" s="283" t="s">
        <v>3687</v>
      </c>
      <c r="C556" s="283" t="s">
        <v>2846</v>
      </c>
      <c r="D556" s="284" t="s">
        <v>3771</v>
      </c>
    </row>
    <row r="557" spans="1:4" x14ac:dyDescent="0.3">
      <c r="A557" s="282" t="s">
        <v>3772</v>
      </c>
      <c r="B557" s="283" t="s">
        <v>3773</v>
      </c>
      <c r="C557" s="283" t="s">
        <v>3496</v>
      </c>
      <c r="D557" s="284" t="s">
        <v>3774</v>
      </c>
    </row>
    <row r="558" spans="1:4" x14ac:dyDescent="0.3">
      <c r="A558" s="282" t="s">
        <v>3775</v>
      </c>
      <c r="B558" s="283" t="s">
        <v>3687</v>
      </c>
      <c r="C558" s="283" t="s">
        <v>3776</v>
      </c>
      <c r="D558" s="284" t="s">
        <v>3777</v>
      </c>
    </row>
    <row r="559" spans="1:4" x14ac:dyDescent="0.3">
      <c r="A559" s="282" t="s">
        <v>3778</v>
      </c>
      <c r="B559" s="283" t="s">
        <v>3687</v>
      </c>
      <c r="C559" s="283" t="s">
        <v>3776</v>
      </c>
      <c r="D559" s="284" t="s">
        <v>3779</v>
      </c>
    </row>
    <row r="560" spans="1:4" x14ac:dyDescent="0.3">
      <c r="A560" s="282" t="s">
        <v>3780</v>
      </c>
      <c r="B560" s="283" t="s">
        <v>3687</v>
      </c>
      <c r="C560" s="283" t="s">
        <v>3776</v>
      </c>
      <c r="D560" s="284" t="s">
        <v>3781</v>
      </c>
    </row>
    <row r="561" spans="1:4" x14ac:dyDescent="0.3">
      <c r="A561" s="282" t="s">
        <v>3782</v>
      </c>
      <c r="B561" s="283" t="s">
        <v>3687</v>
      </c>
      <c r="C561" s="283" t="s">
        <v>3776</v>
      </c>
      <c r="D561" s="284" t="s">
        <v>3783</v>
      </c>
    </row>
    <row r="562" spans="1:4" x14ac:dyDescent="0.3">
      <c r="A562" s="282" t="s">
        <v>3784</v>
      </c>
      <c r="B562" s="283" t="s">
        <v>3687</v>
      </c>
      <c r="C562" s="283" t="s">
        <v>3776</v>
      </c>
      <c r="D562" s="284" t="s">
        <v>3785</v>
      </c>
    </row>
    <row r="563" spans="1:4" x14ac:dyDescent="0.3">
      <c r="A563" s="282" t="s">
        <v>3786</v>
      </c>
      <c r="B563" s="283" t="s">
        <v>3787</v>
      </c>
      <c r="C563" s="283" t="s">
        <v>3776</v>
      </c>
      <c r="D563" s="284" t="s">
        <v>3788</v>
      </c>
    </row>
    <row r="564" spans="1:4" x14ac:dyDescent="0.3">
      <c r="A564" s="282" t="s">
        <v>3789</v>
      </c>
      <c r="B564" s="283" t="s">
        <v>3687</v>
      </c>
      <c r="C564" s="283" t="s">
        <v>3776</v>
      </c>
      <c r="D564" s="284" t="s">
        <v>3790</v>
      </c>
    </row>
    <row r="565" spans="1:4" x14ac:dyDescent="0.3">
      <c r="A565" s="282" t="s">
        <v>3791</v>
      </c>
      <c r="B565" s="283" t="s">
        <v>3787</v>
      </c>
      <c r="C565" s="283" t="s">
        <v>3776</v>
      </c>
      <c r="D565" s="284" t="s">
        <v>3792</v>
      </c>
    </row>
    <row r="566" spans="1:4" x14ac:dyDescent="0.3">
      <c r="A566" s="282" t="s">
        <v>3793</v>
      </c>
      <c r="B566" s="283" t="s">
        <v>2708</v>
      </c>
      <c r="C566" s="283" t="s">
        <v>3776</v>
      </c>
      <c r="D566" s="284" t="s">
        <v>3794</v>
      </c>
    </row>
    <row r="567" spans="1:4" x14ac:dyDescent="0.3">
      <c r="A567" s="282" t="s">
        <v>3795</v>
      </c>
      <c r="B567" s="283" t="s">
        <v>3687</v>
      </c>
      <c r="C567" s="283" t="s">
        <v>3776</v>
      </c>
      <c r="D567" s="284" t="s">
        <v>3796</v>
      </c>
    </row>
    <row r="568" spans="1:4" x14ac:dyDescent="0.3">
      <c r="A568" s="282" t="s">
        <v>3797</v>
      </c>
      <c r="B568" s="283" t="s">
        <v>3687</v>
      </c>
      <c r="C568" s="283" t="s">
        <v>3776</v>
      </c>
      <c r="D568" s="284" t="s">
        <v>3798</v>
      </c>
    </row>
    <row r="569" spans="1:4" x14ac:dyDescent="0.3">
      <c r="A569" s="282" t="s">
        <v>3799</v>
      </c>
      <c r="B569" s="283" t="s">
        <v>3687</v>
      </c>
      <c r="C569" s="283" t="s">
        <v>3776</v>
      </c>
      <c r="D569" s="284" t="s">
        <v>3800</v>
      </c>
    </row>
    <row r="570" spans="1:4" x14ac:dyDescent="0.3">
      <c r="A570" s="282" t="s">
        <v>3801</v>
      </c>
      <c r="B570" s="283" t="s">
        <v>3687</v>
      </c>
      <c r="C570" s="283" t="s">
        <v>3776</v>
      </c>
      <c r="D570" s="284" t="s">
        <v>3802</v>
      </c>
    </row>
    <row r="571" spans="1:4" x14ac:dyDescent="0.3">
      <c r="A571" s="282" t="s">
        <v>3803</v>
      </c>
      <c r="B571" s="283" t="s">
        <v>3687</v>
      </c>
      <c r="C571" s="283" t="s">
        <v>3776</v>
      </c>
      <c r="D571" s="284" t="s">
        <v>3804</v>
      </c>
    </row>
    <row r="572" spans="1:4" x14ac:dyDescent="0.3">
      <c r="A572" s="282" t="s">
        <v>3805</v>
      </c>
      <c r="B572" s="283" t="s">
        <v>3806</v>
      </c>
      <c r="C572" s="283" t="s">
        <v>3776</v>
      </c>
      <c r="D572" s="284" t="s">
        <v>3807</v>
      </c>
    </row>
    <row r="573" spans="1:4" x14ac:dyDescent="0.3">
      <c r="A573" s="282" t="s">
        <v>3808</v>
      </c>
      <c r="B573" s="283" t="s">
        <v>3700</v>
      </c>
      <c r="C573" s="283" t="s">
        <v>3776</v>
      </c>
      <c r="D573" s="284" t="s">
        <v>3809</v>
      </c>
    </row>
    <row r="574" spans="1:4" x14ac:dyDescent="0.3">
      <c r="A574" s="282" t="s">
        <v>3810</v>
      </c>
      <c r="B574" s="283" t="s">
        <v>3687</v>
      </c>
      <c r="C574" s="283" t="s">
        <v>3776</v>
      </c>
      <c r="D574" s="284" t="s">
        <v>3811</v>
      </c>
    </row>
    <row r="575" spans="1:4" x14ac:dyDescent="0.3">
      <c r="A575" s="282" t="s">
        <v>3812</v>
      </c>
      <c r="B575" s="283" t="s">
        <v>3813</v>
      </c>
      <c r="C575" s="283" t="s">
        <v>3776</v>
      </c>
      <c r="D575" s="284" t="s">
        <v>3814</v>
      </c>
    </row>
    <row r="576" spans="1:4" x14ac:dyDescent="0.3">
      <c r="A576" s="282" t="s">
        <v>3815</v>
      </c>
      <c r="B576" s="283" t="s">
        <v>3687</v>
      </c>
      <c r="C576" s="283" t="s">
        <v>3776</v>
      </c>
      <c r="D576" s="284" t="s">
        <v>3816</v>
      </c>
    </row>
    <row r="577" spans="1:4" x14ac:dyDescent="0.3">
      <c r="A577" s="282" t="s">
        <v>3817</v>
      </c>
      <c r="B577" s="283" t="s">
        <v>3687</v>
      </c>
      <c r="C577" s="283" t="s">
        <v>3776</v>
      </c>
      <c r="D577" s="284" t="s">
        <v>3818</v>
      </c>
    </row>
    <row r="578" spans="1:4" x14ac:dyDescent="0.3">
      <c r="A578" s="282" t="s">
        <v>3819</v>
      </c>
      <c r="B578" s="283" t="s">
        <v>3687</v>
      </c>
      <c r="C578" s="283" t="s">
        <v>3776</v>
      </c>
      <c r="D578" s="284" t="s">
        <v>3820</v>
      </c>
    </row>
    <row r="579" spans="1:4" x14ac:dyDescent="0.3">
      <c r="A579" s="282" t="s">
        <v>3821</v>
      </c>
      <c r="B579" s="283" t="s">
        <v>2708</v>
      </c>
      <c r="C579" s="283" t="s">
        <v>3776</v>
      </c>
      <c r="D579" s="284" t="s">
        <v>3822</v>
      </c>
    </row>
    <row r="580" spans="1:4" x14ac:dyDescent="0.3">
      <c r="A580" s="282" t="s">
        <v>3823</v>
      </c>
      <c r="B580" s="283" t="s">
        <v>3824</v>
      </c>
      <c r="C580" s="283" t="s">
        <v>3496</v>
      </c>
      <c r="D580" s="284" t="s">
        <v>3825</v>
      </c>
    </row>
    <row r="581" spans="1:4" x14ac:dyDescent="0.3">
      <c r="A581" s="282" t="s">
        <v>3826</v>
      </c>
      <c r="B581" s="283" t="s">
        <v>3738</v>
      </c>
      <c r="C581" s="283" t="s">
        <v>3496</v>
      </c>
      <c r="D581" s="284" t="s">
        <v>3827</v>
      </c>
    </row>
    <row r="582" spans="1:4" x14ac:dyDescent="0.3">
      <c r="A582" s="282" t="s">
        <v>3828</v>
      </c>
      <c r="B582" s="283" t="s">
        <v>3824</v>
      </c>
      <c r="C582" s="283" t="s">
        <v>3496</v>
      </c>
      <c r="D582" s="284" t="s">
        <v>3829</v>
      </c>
    </row>
    <row r="583" spans="1:4" x14ac:dyDescent="0.3">
      <c r="A583" s="282" t="s">
        <v>3830</v>
      </c>
      <c r="B583" s="283" t="s">
        <v>3824</v>
      </c>
      <c r="C583" s="283" t="s">
        <v>3496</v>
      </c>
      <c r="D583" s="284" t="s">
        <v>3831</v>
      </c>
    </row>
    <row r="584" spans="1:4" x14ac:dyDescent="0.3">
      <c r="A584" s="282" t="s">
        <v>3832</v>
      </c>
      <c r="B584" s="283" t="s">
        <v>3738</v>
      </c>
      <c r="C584" s="283" t="s">
        <v>3496</v>
      </c>
      <c r="D584" s="284" t="s">
        <v>3833</v>
      </c>
    </row>
    <row r="585" spans="1:4" x14ac:dyDescent="0.3">
      <c r="A585" s="282" t="s">
        <v>3834</v>
      </c>
      <c r="B585" s="283" t="s">
        <v>3738</v>
      </c>
      <c r="C585" s="283" t="s">
        <v>3496</v>
      </c>
      <c r="D585" s="284" t="s">
        <v>3835</v>
      </c>
    </row>
    <row r="586" spans="1:4" x14ac:dyDescent="0.3">
      <c r="A586" s="282" t="s">
        <v>3836</v>
      </c>
      <c r="B586" s="283" t="s">
        <v>3837</v>
      </c>
      <c r="C586" s="283" t="s">
        <v>3496</v>
      </c>
      <c r="D586" s="284" t="s">
        <v>3838</v>
      </c>
    </row>
    <row r="587" spans="1:4" x14ac:dyDescent="0.3">
      <c r="A587" s="282" t="s">
        <v>3839</v>
      </c>
      <c r="B587" s="283" t="s">
        <v>3738</v>
      </c>
      <c r="C587" s="283" t="s">
        <v>3496</v>
      </c>
      <c r="D587" s="284" t="s">
        <v>3840</v>
      </c>
    </row>
    <row r="588" spans="1:4" x14ac:dyDescent="0.3">
      <c r="A588" s="282" t="s">
        <v>3841</v>
      </c>
      <c r="B588" s="283" t="s">
        <v>3773</v>
      </c>
      <c r="C588" s="283" t="s">
        <v>3496</v>
      </c>
      <c r="D588" s="284" t="s">
        <v>3842</v>
      </c>
    </row>
    <row r="589" spans="1:4" x14ac:dyDescent="0.3">
      <c r="A589" s="282" t="s">
        <v>3843</v>
      </c>
      <c r="B589" s="283" t="s">
        <v>3738</v>
      </c>
      <c r="C589" s="283" t="s">
        <v>3496</v>
      </c>
      <c r="D589" s="284" t="s">
        <v>3844</v>
      </c>
    </row>
    <row r="590" spans="1:4" x14ac:dyDescent="0.3">
      <c r="A590" s="282" t="s">
        <v>3845</v>
      </c>
      <c r="B590" s="283" t="s">
        <v>3738</v>
      </c>
      <c r="C590" s="283" t="s">
        <v>3496</v>
      </c>
      <c r="D590" s="284" t="s">
        <v>3846</v>
      </c>
    </row>
    <row r="591" spans="1:4" x14ac:dyDescent="0.3">
      <c r="A591" s="282" t="s">
        <v>3847</v>
      </c>
      <c r="B591" s="283" t="s">
        <v>3738</v>
      </c>
      <c r="C591" s="283" t="s">
        <v>3496</v>
      </c>
      <c r="D591" s="284" t="s">
        <v>3694</v>
      </c>
    </row>
    <row r="592" spans="1:4" x14ac:dyDescent="0.3">
      <c r="A592" s="282" t="s">
        <v>3848</v>
      </c>
      <c r="B592" s="283" t="s">
        <v>3738</v>
      </c>
      <c r="C592" s="283" t="s">
        <v>3496</v>
      </c>
      <c r="D592" s="284" t="s">
        <v>3849</v>
      </c>
    </row>
    <row r="593" spans="1:4" x14ac:dyDescent="0.3">
      <c r="A593" s="282" t="s">
        <v>3850</v>
      </c>
      <c r="B593" s="283" t="s">
        <v>3738</v>
      </c>
      <c r="C593" s="283" t="s">
        <v>3496</v>
      </c>
      <c r="D593" s="284" t="s">
        <v>3851</v>
      </c>
    </row>
    <row r="594" spans="1:4" x14ac:dyDescent="0.3">
      <c r="A594" s="282" t="s">
        <v>3852</v>
      </c>
      <c r="B594" s="283" t="s">
        <v>3824</v>
      </c>
      <c r="C594" s="283" t="s">
        <v>3496</v>
      </c>
      <c r="D594" s="284" t="s">
        <v>3853</v>
      </c>
    </row>
    <row r="595" spans="1:4" x14ac:dyDescent="0.3">
      <c r="A595" s="282" t="s">
        <v>3854</v>
      </c>
      <c r="B595" s="283" t="s">
        <v>3738</v>
      </c>
      <c r="C595" s="283" t="s">
        <v>3496</v>
      </c>
      <c r="D595" s="284" t="s">
        <v>3855</v>
      </c>
    </row>
    <row r="596" spans="1:4" x14ac:dyDescent="0.3">
      <c r="A596" s="282" t="s">
        <v>3856</v>
      </c>
      <c r="B596" s="283" t="s">
        <v>3824</v>
      </c>
      <c r="C596" s="283" t="s">
        <v>3496</v>
      </c>
      <c r="D596" s="284" t="s">
        <v>3857</v>
      </c>
    </row>
    <row r="597" spans="1:4" x14ac:dyDescent="0.3">
      <c r="A597" s="282" t="s">
        <v>3858</v>
      </c>
      <c r="B597" s="283" t="s">
        <v>3837</v>
      </c>
      <c r="C597" s="283" t="s">
        <v>3496</v>
      </c>
      <c r="D597" s="284" t="s">
        <v>3859</v>
      </c>
    </row>
    <row r="598" spans="1:4" x14ac:dyDescent="0.3">
      <c r="A598" s="282" t="s">
        <v>3860</v>
      </c>
      <c r="B598" s="283" t="s">
        <v>3738</v>
      </c>
      <c r="C598" s="283" t="s">
        <v>3496</v>
      </c>
      <c r="D598" s="284" t="s">
        <v>3861</v>
      </c>
    </row>
    <row r="599" spans="1:4" x14ac:dyDescent="0.3">
      <c r="A599" s="282" t="s">
        <v>3862</v>
      </c>
      <c r="B599" s="283" t="s">
        <v>3824</v>
      </c>
      <c r="C599" s="283" t="s">
        <v>3496</v>
      </c>
      <c r="D599" s="284" t="s">
        <v>3863</v>
      </c>
    </row>
    <row r="600" spans="1:4" x14ac:dyDescent="0.3">
      <c r="A600" s="282" t="s">
        <v>3864</v>
      </c>
      <c r="B600" s="283" t="s">
        <v>3865</v>
      </c>
      <c r="C600" s="283" t="s">
        <v>3496</v>
      </c>
      <c r="D600" s="284" t="s">
        <v>3866</v>
      </c>
    </row>
    <row r="601" spans="1:4" x14ac:dyDescent="0.3">
      <c r="A601" s="282" t="s">
        <v>3867</v>
      </c>
      <c r="B601" s="283" t="s">
        <v>3824</v>
      </c>
      <c r="C601" s="283" t="s">
        <v>3496</v>
      </c>
      <c r="D601" s="284" t="s">
        <v>3868</v>
      </c>
    </row>
    <row r="602" spans="1:4" x14ac:dyDescent="0.3">
      <c r="A602" s="282" t="s">
        <v>3869</v>
      </c>
      <c r="B602" s="283" t="s">
        <v>3824</v>
      </c>
      <c r="C602" s="283" t="s">
        <v>3496</v>
      </c>
      <c r="D602" s="284" t="s">
        <v>3870</v>
      </c>
    </row>
    <row r="603" spans="1:4" x14ac:dyDescent="0.3">
      <c r="A603" s="282" t="s">
        <v>3871</v>
      </c>
      <c r="B603" s="283" t="s">
        <v>3824</v>
      </c>
      <c r="C603" s="283" t="s">
        <v>3496</v>
      </c>
      <c r="D603" s="284" t="s">
        <v>3863</v>
      </c>
    </row>
    <row r="604" spans="1:4" x14ac:dyDescent="0.3">
      <c r="A604" s="282" t="s">
        <v>3872</v>
      </c>
      <c r="B604" s="283" t="s">
        <v>3738</v>
      </c>
      <c r="C604" s="283" t="s">
        <v>3496</v>
      </c>
      <c r="D604" s="284" t="s">
        <v>3873</v>
      </c>
    </row>
    <row r="605" spans="1:4" x14ac:dyDescent="0.3">
      <c r="A605" s="282" t="s">
        <v>3874</v>
      </c>
      <c r="B605" s="283" t="s">
        <v>3738</v>
      </c>
      <c r="C605" s="283" t="s">
        <v>3496</v>
      </c>
      <c r="D605" s="284" t="s">
        <v>3875</v>
      </c>
    </row>
    <row r="606" spans="1:4" x14ac:dyDescent="0.3">
      <c r="A606" s="282" t="s">
        <v>3876</v>
      </c>
      <c r="B606" s="283" t="s">
        <v>3738</v>
      </c>
      <c r="C606" s="283" t="s">
        <v>3496</v>
      </c>
      <c r="D606" s="284" t="s">
        <v>3877</v>
      </c>
    </row>
    <row r="607" spans="1:4" x14ac:dyDescent="0.3">
      <c r="A607" s="282" t="s">
        <v>3878</v>
      </c>
      <c r="B607" s="283" t="s">
        <v>3824</v>
      </c>
      <c r="C607" s="283" t="s">
        <v>3496</v>
      </c>
      <c r="D607" s="284" t="s">
        <v>3879</v>
      </c>
    </row>
    <row r="608" spans="1:4" x14ac:dyDescent="0.3">
      <c r="A608" s="282" t="s">
        <v>3880</v>
      </c>
      <c r="B608" s="283" t="s">
        <v>3824</v>
      </c>
      <c r="C608" s="283" t="s">
        <v>3496</v>
      </c>
      <c r="D608" s="284" t="s">
        <v>3881</v>
      </c>
    </row>
    <row r="609" spans="1:4" x14ac:dyDescent="0.3">
      <c r="A609" s="282" t="s">
        <v>3882</v>
      </c>
      <c r="B609" s="283" t="s">
        <v>3824</v>
      </c>
      <c r="C609" s="283" t="s">
        <v>3496</v>
      </c>
      <c r="D609" s="284" t="s">
        <v>3883</v>
      </c>
    </row>
    <row r="610" spans="1:4" x14ac:dyDescent="0.3">
      <c r="A610" s="282" t="s">
        <v>3884</v>
      </c>
      <c r="B610" s="283" t="s">
        <v>3824</v>
      </c>
      <c r="C610" s="283" t="s">
        <v>3496</v>
      </c>
      <c r="D610" s="284" t="s">
        <v>3885</v>
      </c>
    </row>
    <row r="611" spans="1:4" x14ac:dyDescent="0.3">
      <c r="A611" s="282" t="s">
        <v>3886</v>
      </c>
      <c r="B611" s="283" t="s">
        <v>3824</v>
      </c>
      <c r="C611" s="283" t="s">
        <v>3496</v>
      </c>
      <c r="D611" s="284" t="s">
        <v>3887</v>
      </c>
    </row>
    <row r="612" spans="1:4" x14ac:dyDescent="0.3">
      <c r="A612" s="282" t="s">
        <v>3888</v>
      </c>
      <c r="B612" s="283" t="s">
        <v>3824</v>
      </c>
      <c r="C612" s="283" t="s">
        <v>3496</v>
      </c>
      <c r="D612" s="284" t="s">
        <v>3889</v>
      </c>
    </row>
    <row r="613" spans="1:4" x14ac:dyDescent="0.3">
      <c r="A613" s="282" t="s">
        <v>3890</v>
      </c>
      <c r="B613" s="283" t="s">
        <v>3824</v>
      </c>
      <c r="C613" s="283" t="s">
        <v>3496</v>
      </c>
      <c r="D613" s="284" t="s">
        <v>3891</v>
      </c>
    </row>
    <row r="614" spans="1:4" x14ac:dyDescent="0.3">
      <c r="A614" s="282" t="s">
        <v>3892</v>
      </c>
      <c r="B614" s="283" t="s">
        <v>3893</v>
      </c>
      <c r="C614" s="283" t="s">
        <v>3776</v>
      </c>
      <c r="D614" s="284" t="s">
        <v>3650</v>
      </c>
    </row>
    <row r="615" spans="1:4" x14ac:dyDescent="0.3">
      <c r="A615" s="282" t="s">
        <v>3894</v>
      </c>
      <c r="B615" s="283" t="s">
        <v>3773</v>
      </c>
      <c r="C615" s="283" t="s">
        <v>3496</v>
      </c>
      <c r="D615" s="284" t="s">
        <v>3895</v>
      </c>
    </row>
    <row r="616" spans="1:4" x14ac:dyDescent="0.3">
      <c r="A616" s="282" t="s">
        <v>3896</v>
      </c>
      <c r="B616" s="283" t="s">
        <v>3773</v>
      </c>
      <c r="C616" s="283" t="s">
        <v>3496</v>
      </c>
      <c r="D616" s="284" t="s">
        <v>3897</v>
      </c>
    </row>
    <row r="617" spans="1:4" x14ac:dyDescent="0.3">
      <c r="A617" s="282" t="s">
        <v>3898</v>
      </c>
      <c r="B617" s="283" t="s">
        <v>3738</v>
      </c>
      <c r="C617" s="283" t="s">
        <v>3496</v>
      </c>
      <c r="D617" s="284" t="s">
        <v>3899</v>
      </c>
    </row>
    <row r="618" spans="1:4" x14ac:dyDescent="0.3">
      <c r="A618" s="282" t="s">
        <v>3900</v>
      </c>
      <c r="B618" s="283" t="s">
        <v>3738</v>
      </c>
      <c r="C618" s="283" t="s">
        <v>3496</v>
      </c>
      <c r="D618" s="284" t="s">
        <v>3901</v>
      </c>
    </row>
    <row r="619" spans="1:4" x14ac:dyDescent="0.3">
      <c r="A619" s="282" t="s">
        <v>3902</v>
      </c>
      <c r="B619" s="283" t="s">
        <v>3687</v>
      </c>
      <c r="C619" s="283" t="s">
        <v>2846</v>
      </c>
      <c r="D619" s="284" t="s">
        <v>3903</v>
      </c>
    </row>
    <row r="620" spans="1:4" x14ac:dyDescent="0.3">
      <c r="A620" s="282" t="s">
        <v>3904</v>
      </c>
      <c r="B620" s="283" t="s">
        <v>3905</v>
      </c>
      <c r="C620" s="283" t="s">
        <v>3906</v>
      </c>
      <c r="D620" s="284" t="s">
        <v>3907</v>
      </c>
    </row>
    <row r="621" spans="1:4" x14ac:dyDescent="0.3">
      <c r="A621" s="282" t="s">
        <v>3908</v>
      </c>
      <c r="B621" s="283" t="s">
        <v>3905</v>
      </c>
      <c r="C621" s="283" t="s">
        <v>3906</v>
      </c>
      <c r="D621" s="284" t="s">
        <v>3909</v>
      </c>
    </row>
    <row r="622" spans="1:4" x14ac:dyDescent="0.3">
      <c r="A622" s="282" t="s">
        <v>3910</v>
      </c>
      <c r="B622" s="283" t="s">
        <v>3905</v>
      </c>
      <c r="C622" s="283" t="s">
        <v>3906</v>
      </c>
      <c r="D622" s="284" t="s">
        <v>3094</v>
      </c>
    </row>
    <row r="623" spans="1:4" x14ac:dyDescent="0.3">
      <c r="A623" s="282" t="s">
        <v>3911</v>
      </c>
      <c r="B623" s="283" t="s">
        <v>3905</v>
      </c>
      <c r="C623" s="283" t="s">
        <v>3906</v>
      </c>
      <c r="D623" s="284" t="s">
        <v>3912</v>
      </c>
    </row>
    <row r="624" spans="1:4" x14ac:dyDescent="0.3">
      <c r="A624" s="282" t="s">
        <v>3913</v>
      </c>
      <c r="B624" s="283" t="s">
        <v>3914</v>
      </c>
      <c r="C624" s="283" t="s">
        <v>3906</v>
      </c>
      <c r="D624" s="284" t="s">
        <v>3915</v>
      </c>
    </row>
    <row r="625" spans="1:4" x14ac:dyDescent="0.3">
      <c r="A625" s="282" t="s">
        <v>3916</v>
      </c>
      <c r="B625" s="283" t="s">
        <v>3914</v>
      </c>
      <c r="C625" s="283" t="s">
        <v>3906</v>
      </c>
      <c r="D625" s="284" t="s">
        <v>3917</v>
      </c>
    </row>
    <row r="626" spans="1:4" x14ac:dyDescent="0.3">
      <c r="A626" s="282" t="s">
        <v>3918</v>
      </c>
      <c r="B626" s="283" t="s">
        <v>3914</v>
      </c>
      <c r="C626" s="283" t="s">
        <v>3906</v>
      </c>
      <c r="D626" s="284" t="s">
        <v>3919</v>
      </c>
    </row>
    <row r="627" spans="1:4" x14ac:dyDescent="0.3">
      <c r="A627" s="282" t="s">
        <v>3920</v>
      </c>
      <c r="B627" s="283" t="s">
        <v>3914</v>
      </c>
      <c r="C627" s="283" t="s">
        <v>3906</v>
      </c>
      <c r="D627" s="284" t="s">
        <v>3921</v>
      </c>
    </row>
    <row r="628" spans="1:4" x14ac:dyDescent="0.3">
      <c r="A628" s="282" t="s">
        <v>3922</v>
      </c>
      <c r="B628" s="283" t="s">
        <v>3914</v>
      </c>
      <c r="C628" s="283" t="s">
        <v>3906</v>
      </c>
      <c r="D628" s="284" t="s">
        <v>3923</v>
      </c>
    </row>
    <row r="629" spans="1:4" x14ac:dyDescent="0.3">
      <c r="A629" s="282" t="s">
        <v>3924</v>
      </c>
      <c r="B629" s="283" t="s">
        <v>3905</v>
      </c>
      <c r="C629" s="283" t="s">
        <v>3906</v>
      </c>
      <c r="D629" s="284" t="s">
        <v>3925</v>
      </c>
    </row>
    <row r="630" spans="1:4" x14ac:dyDescent="0.3">
      <c r="A630" s="282" t="s">
        <v>3926</v>
      </c>
      <c r="B630" s="283" t="s">
        <v>3905</v>
      </c>
      <c r="C630" s="283" t="s">
        <v>3906</v>
      </c>
      <c r="D630" s="284" t="s">
        <v>3927</v>
      </c>
    </row>
    <row r="631" spans="1:4" x14ac:dyDescent="0.3">
      <c r="A631" s="282" t="s">
        <v>3928</v>
      </c>
      <c r="B631" s="283" t="s">
        <v>3905</v>
      </c>
      <c r="C631" s="283" t="s">
        <v>3906</v>
      </c>
      <c r="D631" s="284" t="s">
        <v>3929</v>
      </c>
    </row>
    <row r="632" spans="1:4" x14ac:dyDescent="0.3">
      <c r="A632" s="282" t="s">
        <v>3930</v>
      </c>
      <c r="B632" s="283" t="s">
        <v>3905</v>
      </c>
      <c r="C632" s="283" t="s">
        <v>3906</v>
      </c>
      <c r="D632" s="284" t="s">
        <v>3931</v>
      </c>
    </row>
    <row r="633" spans="1:4" x14ac:dyDescent="0.3">
      <c r="A633" s="282" t="s">
        <v>3932</v>
      </c>
      <c r="B633" s="283" t="s">
        <v>3905</v>
      </c>
      <c r="C633" s="283" t="s">
        <v>3906</v>
      </c>
      <c r="D633" s="284" t="s">
        <v>3933</v>
      </c>
    </row>
    <row r="634" spans="1:4" x14ac:dyDescent="0.3">
      <c r="A634" s="282" t="s">
        <v>3934</v>
      </c>
      <c r="B634" s="283" t="s">
        <v>3905</v>
      </c>
      <c r="C634" s="283" t="s">
        <v>3906</v>
      </c>
      <c r="D634" s="284" t="s">
        <v>3935</v>
      </c>
    </row>
    <row r="635" spans="1:4" x14ac:dyDescent="0.3">
      <c r="A635" s="282" t="s">
        <v>3936</v>
      </c>
      <c r="B635" s="283" t="s">
        <v>3905</v>
      </c>
      <c r="C635" s="283" t="s">
        <v>3906</v>
      </c>
      <c r="D635" s="284" t="s">
        <v>3937</v>
      </c>
    </row>
    <row r="636" spans="1:4" x14ac:dyDescent="0.3">
      <c r="A636" s="282" t="s">
        <v>3938</v>
      </c>
      <c r="B636" s="283" t="s">
        <v>3905</v>
      </c>
      <c r="C636" s="283" t="s">
        <v>3906</v>
      </c>
      <c r="D636" s="284" t="s">
        <v>3939</v>
      </c>
    </row>
    <row r="637" spans="1:4" x14ac:dyDescent="0.3">
      <c r="A637" s="282" t="s">
        <v>3940</v>
      </c>
      <c r="B637" s="283" t="s">
        <v>3905</v>
      </c>
      <c r="C637" s="283" t="s">
        <v>3906</v>
      </c>
      <c r="D637" s="284" t="s">
        <v>3941</v>
      </c>
    </row>
    <row r="638" spans="1:4" x14ac:dyDescent="0.3">
      <c r="A638" s="282" t="s">
        <v>3942</v>
      </c>
      <c r="B638" s="283" t="s">
        <v>3905</v>
      </c>
      <c r="C638" s="283" t="s">
        <v>3906</v>
      </c>
      <c r="D638" s="284" t="s">
        <v>3943</v>
      </c>
    </row>
    <row r="639" spans="1:4" x14ac:dyDescent="0.3">
      <c r="A639" s="282" t="s">
        <v>3944</v>
      </c>
      <c r="B639" s="283" t="s">
        <v>3905</v>
      </c>
      <c r="C639" s="283" t="s">
        <v>3906</v>
      </c>
      <c r="D639" s="284" t="s">
        <v>3945</v>
      </c>
    </row>
    <row r="640" spans="1:4" x14ac:dyDescent="0.3">
      <c r="A640" s="282" t="s">
        <v>3946</v>
      </c>
      <c r="B640" s="283" t="s">
        <v>3905</v>
      </c>
      <c r="C640" s="283" t="s">
        <v>3906</v>
      </c>
      <c r="D640" s="284" t="s">
        <v>3947</v>
      </c>
    </row>
    <row r="641" spans="1:4" x14ac:dyDescent="0.3">
      <c r="A641" s="282" t="s">
        <v>3948</v>
      </c>
      <c r="B641" s="283" t="s">
        <v>3949</v>
      </c>
      <c r="C641" s="283" t="s">
        <v>3906</v>
      </c>
      <c r="D641" s="284" t="s">
        <v>3950</v>
      </c>
    </row>
    <row r="642" spans="1:4" x14ac:dyDescent="0.3">
      <c r="A642" s="282" t="s">
        <v>3951</v>
      </c>
      <c r="B642" s="283" t="s">
        <v>3905</v>
      </c>
      <c r="C642" s="283" t="s">
        <v>3906</v>
      </c>
      <c r="D642" s="284" t="s">
        <v>3952</v>
      </c>
    </row>
    <row r="643" spans="1:4" x14ac:dyDescent="0.3">
      <c r="A643" s="282" t="s">
        <v>3953</v>
      </c>
      <c r="B643" s="283" t="s">
        <v>3905</v>
      </c>
      <c r="C643" s="283" t="s">
        <v>3906</v>
      </c>
      <c r="D643" s="284" t="s">
        <v>3954</v>
      </c>
    </row>
    <row r="644" spans="1:4" x14ac:dyDescent="0.3">
      <c r="A644" s="282" t="s">
        <v>3955</v>
      </c>
      <c r="B644" s="283" t="s">
        <v>3905</v>
      </c>
      <c r="C644" s="283" t="s">
        <v>3906</v>
      </c>
      <c r="D644" s="284" t="s">
        <v>3956</v>
      </c>
    </row>
    <row r="645" spans="1:4" x14ac:dyDescent="0.3">
      <c r="A645" s="282" t="s">
        <v>3957</v>
      </c>
      <c r="B645" s="283" t="s">
        <v>3914</v>
      </c>
      <c r="C645" s="283" t="s">
        <v>3906</v>
      </c>
      <c r="D645" s="284" t="s">
        <v>3958</v>
      </c>
    </row>
    <row r="646" spans="1:4" x14ac:dyDescent="0.3">
      <c r="A646" s="282" t="s">
        <v>3959</v>
      </c>
      <c r="B646" s="283" t="s">
        <v>3914</v>
      </c>
      <c r="C646" s="283" t="s">
        <v>3906</v>
      </c>
      <c r="D646" s="284" t="s">
        <v>3960</v>
      </c>
    </row>
    <row r="647" spans="1:4" x14ac:dyDescent="0.3">
      <c r="A647" s="282" t="s">
        <v>3961</v>
      </c>
      <c r="B647" s="283" t="s">
        <v>3905</v>
      </c>
      <c r="C647" s="283" t="s">
        <v>3906</v>
      </c>
      <c r="D647" s="284" t="s">
        <v>3962</v>
      </c>
    </row>
    <row r="648" spans="1:4" x14ac:dyDescent="0.3">
      <c r="A648" s="282" t="s">
        <v>3963</v>
      </c>
      <c r="B648" s="283" t="s">
        <v>3905</v>
      </c>
      <c r="C648" s="283" t="s">
        <v>3906</v>
      </c>
      <c r="D648" s="284" t="s">
        <v>3964</v>
      </c>
    </row>
    <row r="649" spans="1:4" x14ac:dyDescent="0.3">
      <c r="A649" s="282" t="s">
        <v>3965</v>
      </c>
      <c r="B649" s="283" t="s">
        <v>3905</v>
      </c>
      <c r="C649" s="283" t="s">
        <v>3906</v>
      </c>
      <c r="D649" s="284" t="s">
        <v>3966</v>
      </c>
    </row>
    <row r="650" spans="1:4" x14ac:dyDescent="0.3">
      <c r="A650" s="282" t="s">
        <v>3967</v>
      </c>
      <c r="B650" s="283" t="s">
        <v>3905</v>
      </c>
      <c r="C650" s="283" t="s">
        <v>3906</v>
      </c>
      <c r="D650" s="284" t="s">
        <v>3968</v>
      </c>
    </row>
    <row r="651" spans="1:4" x14ac:dyDescent="0.3">
      <c r="A651" s="282" t="s">
        <v>3969</v>
      </c>
      <c r="B651" s="283" t="s">
        <v>3905</v>
      </c>
      <c r="C651" s="283" t="s">
        <v>3906</v>
      </c>
      <c r="D651" s="284" t="s">
        <v>3970</v>
      </c>
    </row>
    <row r="652" spans="1:4" x14ac:dyDescent="0.3">
      <c r="A652" s="282" t="s">
        <v>3971</v>
      </c>
      <c r="B652" s="283" t="s">
        <v>3905</v>
      </c>
      <c r="C652" s="283" t="s">
        <v>3906</v>
      </c>
      <c r="D652" s="284" t="s">
        <v>3972</v>
      </c>
    </row>
    <row r="653" spans="1:4" x14ac:dyDescent="0.3">
      <c r="A653" s="282" t="s">
        <v>3973</v>
      </c>
      <c r="B653" s="283" t="s">
        <v>3905</v>
      </c>
      <c r="C653" s="283" t="s">
        <v>3906</v>
      </c>
      <c r="D653" s="284" t="s">
        <v>3974</v>
      </c>
    </row>
    <row r="654" spans="1:4" x14ac:dyDescent="0.3">
      <c r="A654" s="282" t="s">
        <v>3975</v>
      </c>
      <c r="B654" s="283" t="s">
        <v>3905</v>
      </c>
      <c r="C654" s="283" t="s">
        <v>3906</v>
      </c>
      <c r="D654" s="284" t="s">
        <v>3976</v>
      </c>
    </row>
    <row r="655" spans="1:4" x14ac:dyDescent="0.3">
      <c r="A655" s="282" t="s">
        <v>3977</v>
      </c>
      <c r="B655" s="283" t="s">
        <v>3905</v>
      </c>
      <c r="C655" s="283" t="s">
        <v>3906</v>
      </c>
      <c r="D655" s="284" t="s">
        <v>3978</v>
      </c>
    </row>
    <row r="656" spans="1:4" x14ac:dyDescent="0.3">
      <c r="A656" s="282" t="s">
        <v>3979</v>
      </c>
      <c r="B656" s="283" t="s">
        <v>3905</v>
      </c>
      <c r="C656" s="283" t="s">
        <v>3906</v>
      </c>
      <c r="D656" s="284" t="s">
        <v>3980</v>
      </c>
    </row>
    <row r="657" spans="1:4" x14ac:dyDescent="0.3">
      <c r="A657" s="282" t="s">
        <v>3981</v>
      </c>
      <c r="B657" s="283" t="s">
        <v>3905</v>
      </c>
      <c r="C657" s="283" t="s">
        <v>3906</v>
      </c>
      <c r="D657" s="284" t="s">
        <v>3982</v>
      </c>
    </row>
    <row r="658" spans="1:4" x14ac:dyDescent="0.3">
      <c r="A658" s="282" t="s">
        <v>3983</v>
      </c>
      <c r="B658" s="283" t="s">
        <v>3905</v>
      </c>
      <c r="C658" s="283" t="s">
        <v>3906</v>
      </c>
      <c r="D658" s="284" t="s">
        <v>3984</v>
      </c>
    </row>
    <row r="659" spans="1:4" x14ac:dyDescent="0.3">
      <c r="A659" s="282" t="s">
        <v>3985</v>
      </c>
      <c r="B659" s="283" t="s">
        <v>3905</v>
      </c>
      <c r="C659" s="283" t="s">
        <v>3906</v>
      </c>
      <c r="D659" s="284" t="s">
        <v>3986</v>
      </c>
    </row>
    <row r="660" spans="1:4" x14ac:dyDescent="0.3">
      <c r="A660" s="282" t="s">
        <v>3987</v>
      </c>
      <c r="B660" s="283" t="s">
        <v>3905</v>
      </c>
      <c r="C660" s="283" t="s">
        <v>3906</v>
      </c>
      <c r="D660" s="284" t="s">
        <v>3988</v>
      </c>
    </row>
    <row r="661" spans="1:4" x14ac:dyDescent="0.3">
      <c r="A661" s="282" t="s">
        <v>3989</v>
      </c>
      <c r="B661" s="283" t="s">
        <v>3905</v>
      </c>
      <c r="C661" s="283" t="s">
        <v>3906</v>
      </c>
      <c r="D661" s="284" t="s">
        <v>3990</v>
      </c>
    </row>
    <row r="662" spans="1:4" x14ac:dyDescent="0.3">
      <c r="A662" s="282" t="s">
        <v>3991</v>
      </c>
      <c r="B662" s="283" t="s">
        <v>3905</v>
      </c>
      <c r="C662" s="283" t="s">
        <v>3906</v>
      </c>
      <c r="D662" s="284" t="s">
        <v>3992</v>
      </c>
    </row>
    <row r="663" spans="1:4" x14ac:dyDescent="0.3">
      <c r="A663" s="282" t="s">
        <v>3993</v>
      </c>
      <c r="B663" s="283" t="s">
        <v>3905</v>
      </c>
      <c r="C663" s="283" t="s">
        <v>3906</v>
      </c>
      <c r="D663" s="284" t="s">
        <v>3994</v>
      </c>
    </row>
    <row r="664" spans="1:4" x14ac:dyDescent="0.3">
      <c r="A664" s="282" t="s">
        <v>3995</v>
      </c>
      <c r="B664" s="283" t="s">
        <v>3905</v>
      </c>
      <c r="C664" s="283" t="s">
        <v>3906</v>
      </c>
      <c r="D664" s="284" t="s">
        <v>3996</v>
      </c>
    </row>
    <row r="665" spans="1:4" x14ac:dyDescent="0.3">
      <c r="A665" s="282" t="s">
        <v>3997</v>
      </c>
      <c r="B665" s="283" t="s">
        <v>3998</v>
      </c>
      <c r="C665" s="283" t="s">
        <v>3906</v>
      </c>
      <c r="D665" s="284" t="s">
        <v>3999</v>
      </c>
    </row>
    <row r="666" spans="1:4" x14ac:dyDescent="0.3">
      <c r="A666" s="282" t="s">
        <v>4000</v>
      </c>
      <c r="B666" s="283" t="s">
        <v>3905</v>
      </c>
      <c r="C666" s="283" t="s">
        <v>3906</v>
      </c>
      <c r="D666" s="284" t="s">
        <v>4001</v>
      </c>
    </row>
    <row r="667" spans="1:4" x14ac:dyDescent="0.3">
      <c r="A667" s="282" t="s">
        <v>4002</v>
      </c>
      <c r="B667" s="283" t="s">
        <v>3905</v>
      </c>
      <c r="C667" s="283" t="s">
        <v>3906</v>
      </c>
      <c r="D667" s="284" t="s">
        <v>4003</v>
      </c>
    </row>
    <row r="668" spans="1:4" x14ac:dyDescent="0.3">
      <c r="A668" s="282" t="s">
        <v>4004</v>
      </c>
      <c r="B668" s="283" t="s">
        <v>3905</v>
      </c>
      <c r="C668" s="283" t="s">
        <v>3906</v>
      </c>
      <c r="D668" s="284" t="s">
        <v>4005</v>
      </c>
    </row>
    <row r="669" spans="1:4" x14ac:dyDescent="0.3">
      <c r="A669" s="282" t="s">
        <v>4006</v>
      </c>
      <c r="B669" s="283" t="s">
        <v>3905</v>
      </c>
      <c r="C669" s="283" t="s">
        <v>3906</v>
      </c>
      <c r="D669" s="284" t="s">
        <v>4007</v>
      </c>
    </row>
    <row r="670" spans="1:4" x14ac:dyDescent="0.3">
      <c r="A670" s="282" t="s">
        <v>4008</v>
      </c>
      <c r="B670" s="283" t="s">
        <v>3905</v>
      </c>
      <c r="C670" s="283" t="s">
        <v>3906</v>
      </c>
      <c r="D670" s="284" t="s">
        <v>4009</v>
      </c>
    </row>
    <row r="671" spans="1:4" x14ac:dyDescent="0.3">
      <c r="A671" s="282" t="s">
        <v>4010</v>
      </c>
      <c r="B671" s="283" t="s">
        <v>3905</v>
      </c>
      <c r="C671" s="283" t="s">
        <v>3906</v>
      </c>
      <c r="D671" s="284" t="s">
        <v>4011</v>
      </c>
    </row>
    <row r="672" spans="1:4" x14ac:dyDescent="0.3">
      <c r="A672" s="282" t="s">
        <v>4012</v>
      </c>
      <c r="B672" s="283" t="s">
        <v>3905</v>
      </c>
      <c r="C672" s="283" t="s">
        <v>3906</v>
      </c>
      <c r="D672" s="284" t="s">
        <v>4013</v>
      </c>
    </row>
    <row r="673" spans="1:4" x14ac:dyDescent="0.3">
      <c r="A673" s="282" t="s">
        <v>4014</v>
      </c>
      <c r="B673" s="283" t="s">
        <v>3914</v>
      </c>
      <c r="C673" s="283" t="s">
        <v>3906</v>
      </c>
      <c r="D673" s="284" t="s">
        <v>4015</v>
      </c>
    </row>
    <row r="674" spans="1:4" x14ac:dyDescent="0.3">
      <c r="A674" s="282" t="s">
        <v>4016</v>
      </c>
      <c r="B674" s="283" t="s">
        <v>3905</v>
      </c>
      <c r="C674" s="283" t="s">
        <v>3906</v>
      </c>
      <c r="D674" s="284" t="s">
        <v>4017</v>
      </c>
    </row>
    <row r="675" spans="1:4" x14ac:dyDescent="0.3">
      <c r="A675" s="282" t="s">
        <v>4018</v>
      </c>
      <c r="B675" s="283" t="s">
        <v>3905</v>
      </c>
      <c r="C675" s="283" t="s">
        <v>3906</v>
      </c>
      <c r="D675" s="284" t="s">
        <v>4019</v>
      </c>
    </row>
    <row r="676" spans="1:4" x14ac:dyDescent="0.3">
      <c r="A676" s="282" t="s">
        <v>4020</v>
      </c>
      <c r="B676" s="283" t="s">
        <v>3998</v>
      </c>
      <c r="C676" s="283" t="s">
        <v>3906</v>
      </c>
      <c r="D676" s="284" t="s">
        <v>4021</v>
      </c>
    </row>
    <row r="677" spans="1:4" x14ac:dyDescent="0.3">
      <c r="A677" s="282" t="s">
        <v>4022</v>
      </c>
      <c r="B677" s="283" t="s">
        <v>3905</v>
      </c>
      <c r="C677" s="283" t="s">
        <v>3906</v>
      </c>
      <c r="D677" s="284" t="s">
        <v>4023</v>
      </c>
    </row>
    <row r="678" spans="1:4" x14ac:dyDescent="0.3">
      <c r="A678" s="282" t="s">
        <v>4024</v>
      </c>
      <c r="B678" s="283" t="s">
        <v>3905</v>
      </c>
      <c r="C678" s="283" t="s">
        <v>3906</v>
      </c>
      <c r="D678" s="284" t="s">
        <v>4025</v>
      </c>
    </row>
    <row r="679" spans="1:4" x14ac:dyDescent="0.3">
      <c r="A679" s="282" t="s">
        <v>4026</v>
      </c>
      <c r="B679" s="283" t="s">
        <v>3905</v>
      </c>
      <c r="C679" s="283" t="s">
        <v>3906</v>
      </c>
      <c r="D679" s="284" t="s">
        <v>4027</v>
      </c>
    </row>
    <row r="680" spans="1:4" x14ac:dyDescent="0.3">
      <c r="A680" s="282" t="s">
        <v>4028</v>
      </c>
      <c r="B680" s="283" t="s">
        <v>3905</v>
      </c>
      <c r="C680" s="283" t="s">
        <v>3906</v>
      </c>
      <c r="D680" s="284" t="s">
        <v>4029</v>
      </c>
    </row>
    <row r="681" spans="1:4" x14ac:dyDescent="0.3">
      <c r="A681" s="282" t="s">
        <v>4030</v>
      </c>
      <c r="B681" s="283" t="s">
        <v>3905</v>
      </c>
      <c r="C681" s="283" t="s">
        <v>3906</v>
      </c>
      <c r="D681" s="284" t="s">
        <v>4031</v>
      </c>
    </row>
    <row r="682" spans="1:4" x14ac:dyDescent="0.3">
      <c r="A682" s="282" t="s">
        <v>4032</v>
      </c>
      <c r="B682" s="283" t="s">
        <v>4033</v>
      </c>
      <c r="C682" s="283" t="s">
        <v>3906</v>
      </c>
      <c r="D682" s="284" t="s">
        <v>4034</v>
      </c>
    </row>
    <row r="683" spans="1:4" x14ac:dyDescent="0.3">
      <c r="A683" s="282" t="s">
        <v>4035</v>
      </c>
      <c r="B683" s="283" t="s">
        <v>3949</v>
      </c>
      <c r="C683" s="283" t="s">
        <v>3906</v>
      </c>
      <c r="D683" s="284" t="s">
        <v>4036</v>
      </c>
    </row>
    <row r="684" spans="1:4" x14ac:dyDescent="0.3">
      <c r="A684" s="282" t="s">
        <v>4037</v>
      </c>
      <c r="B684" s="283" t="s">
        <v>3905</v>
      </c>
      <c r="C684" s="283" t="s">
        <v>3906</v>
      </c>
      <c r="D684" s="284" t="s">
        <v>4038</v>
      </c>
    </row>
    <row r="685" spans="1:4" x14ac:dyDescent="0.3">
      <c r="A685" s="282" t="s">
        <v>4039</v>
      </c>
      <c r="B685" s="283" t="s">
        <v>3905</v>
      </c>
      <c r="C685" s="283" t="s">
        <v>3906</v>
      </c>
      <c r="D685" s="284" t="s">
        <v>4040</v>
      </c>
    </row>
    <row r="686" spans="1:4" x14ac:dyDescent="0.3">
      <c r="A686" s="282" t="s">
        <v>4041</v>
      </c>
      <c r="B686" s="283" t="s">
        <v>3905</v>
      </c>
      <c r="C686" s="283" t="s">
        <v>3906</v>
      </c>
      <c r="D686" s="284" t="s">
        <v>4042</v>
      </c>
    </row>
    <row r="687" spans="1:4" x14ac:dyDescent="0.3">
      <c r="A687" s="282" t="s">
        <v>4043</v>
      </c>
      <c r="B687" s="283" t="s">
        <v>3905</v>
      </c>
      <c r="C687" s="283" t="s">
        <v>3906</v>
      </c>
      <c r="D687" s="284" t="s">
        <v>4044</v>
      </c>
    </row>
    <row r="688" spans="1:4" x14ac:dyDescent="0.3">
      <c r="A688" s="282" t="s">
        <v>4045</v>
      </c>
      <c r="B688" s="283" t="s">
        <v>3905</v>
      </c>
      <c r="C688" s="283" t="s">
        <v>3906</v>
      </c>
      <c r="D688" s="284" t="s">
        <v>4046</v>
      </c>
    </row>
    <row r="689" spans="1:4" x14ac:dyDescent="0.3">
      <c r="A689" s="282" t="s">
        <v>4047</v>
      </c>
      <c r="B689" s="283" t="s">
        <v>3687</v>
      </c>
      <c r="C689" s="283" t="s">
        <v>2846</v>
      </c>
      <c r="D689" s="284" t="s">
        <v>4048</v>
      </c>
    </row>
    <row r="690" spans="1:4" x14ac:dyDescent="0.3">
      <c r="A690" s="282" t="s">
        <v>4049</v>
      </c>
      <c r="B690" s="283" t="s">
        <v>4050</v>
      </c>
      <c r="C690" s="283" t="s">
        <v>3277</v>
      </c>
      <c r="D690" s="284" t="s">
        <v>4051</v>
      </c>
    </row>
    <row r="691" spans="1:4" x14ac:dyDescent="0.3">
      <c r="A691" s="282" t="s">
        <v>4052</v>
      </c>
      <c r="B691" s="283" t="s">
        <v>4053</v>
      </c>
      <c r="C691" s="283" t="s">
        <v>3277</v>
      </c>
      <c r="D691" s="284" t="s">
        <v>4054</v>
      </c>
    </row>
    <row r="692" spans="1:4" x14ac:dyDescent="0.3">
      <c r="A692" s="282" t="s">
        <v>4055</v>
      </c>
      <c r="B692" s="283" t="s">
        <v>3603</v>
      </c>
      <c r="C692" s="283" t="s">
        <v>3277</v>
      </c>
      <c r="D692" s="284" t="s">
        <v>4056</v>
      </c>
    </row>
    <row r="693" spans="1:4" x14ac:dyDescent="0.3">
      <c r="A693" s="282" t="s">
        <v>4057</v>
      </c>
      <c r="B693" s="283" t="s">
        <v>4058</v>
      </c>
      <c r="C693" s="283" t="s">
        <v>3277</v>
      </c>
      <c r="D693" s="284" t="s">
        <v>4059</v>
      </c>
    </row>
    <row r="694" spans="1:4" x14ac:dyDescent="0.3">
      <c r="A694" s="282" t="s">
        <v>4060</v>
      </c>
      <c r="B694" s="283" t="s">
        <v>4058</v>
      </c>
      <c r="C694" s="283" t="s">
        <v>3277</v>
      </c>
      <c r="D694" s="284" t="s">
        <v>2843</v>
      </c>
    </row>
    <row r="695" spans="1:4" x14ac:dyDescent="0.3">
      <c r="A695" s="282" t="s">
        <v>4061</v>
      </c>
      <c r="B695" s="283" t="s">
        <v>4058</v>
      </c>
      <c r="C695" s="283" t="s">
        <v>3277</v>
      </c>
      <c r="D695" s="284" t="s">
        <v>4062</v>
      </c>
    </row>
    <row r="696" spans="1:4" x14ac:dyDescent="0.3">
      <c r="A696" s="282" t="s">
        <v>4063</v>
      </c>
      <c r="B696" s="283" t="s">
        <v>4058</v>
      </c>
      <c r="C696" s="283" t="s">
        <v>3277</v>
      </c>
      <c r="D696" s="284" t="s">
        <v>4064</v>
      </c>
    </row>
    <row r="697" spans="1:4" x14ac:dyDescent="0.3">
      <c r="A697" s="282" t="s">
        <v>4065</v>
      </c>
      <c r="B697" s="283" t="s">
        <v>4058</v>
      </c>
      <c r="C697" s="283" t="s">
        <v>3277</v>
      </c>
      <c r="D697" s="284" t="s">
        <v>4066</v>
      </c>
    </row>
    <row r="698" spans="1:4" x14ac:dyDescent="0.3">
      <c r="A698" s="282" t="s">
        <v>4067</v>
      </c>
      <c r="B698" s="283" t="s">
        <v>4058</v>
      </c>
      <c r="C698" s="283" t="s">
        <v>3277</v>
      </c>
      <c r="D698" s="284" t="s">
        <v>4068</v>
      </c>
    </row>
    <row r="699" spans="1:4" x14ac:dyDescent="0.3">
      <c r="A699" s="282" t="s">
        <v>4069</v>
      </c>
      <c r="B699" s="283" t="s">
        <v>4070</v>
      </c>
      <c r="C699" s="283" t="s">
        <v>3277</v>
      </c>
      <c r="D699" s="284" t="s">
        <v>4071</v>
      </c>
    </row>
    <row r="700" spans="1:4" x14ac:dyDescent="0.3">
      <c r="A700" s="282" t="s">
        <v>4072</v>
      </c>
      <c r="B700" s="283" t="s">
        <v>4058</v>
      </c>
      <c r="C700" s="283" t="s">
        <v>3277</v>
      </c>
      <c r="D700" s="284" t="s">
        <v>4073</v>
      </c>
    </row>
    <row r="701" spans="1:4" x14ac:dyDescent="0.3">
      <c r="A701" s="282" t="s">
        <v>4074</v>
      </c>
      <c r="B701" s="283" t="s">
        <v>4058</v>
      </c>
      <c r="C701" s="283" t="s">
        <v>3277</v>
      </c>
      <c r="D701" s="284" t="s">
        <v>4075</v>
      </c>
    </row>
    <row r="702" spans="1:4" x14ac:dyDescent="0.3">
      <c r="A702" s="282" t="s">
        <v>4076</v>
      </c>
      <c r="B702" s="283" t="s">
        <v>4053</v>
      </c>
      <c r="C702" s="283" t="s">
        <v>3277</v>
      </c>
      <c r="D702" s="284" t="s">
        <v>4077</v>
      </c>
    </row>
    <row r="703" spans="1:4" x14ac:dyDescent="0.3">
      <c r="A703" s="282" t="s">
        <v>4078</v>
      </c>
      <c r="B703" s="283" t="s">
        <v>4053</v>
      </c>
      <c r="C703" s="283" t="s">
        <v>3277</v>
      </c>
      <c r="D703" s="284" t="s">
        <v>4079</v>
      </c>
    </row>
    <row r="704" spans="1:4" x14ac:dyDescent="0.3">
      <c r="A704" s="282" t="s">
        <v>4080</v>
      </c>
      <c r="B704" s="283" t="s">
        <v>4058</v>
      </c>
      <c r="C704" s="283" t="s">
        <v>3277</v>
      </c>
      <c r="D704" s="284" t="s">
        <v>4071</v>
      </c>
    </row>
    <row r="705" spans="1:4" x14ac:dyDescent="0.3">
      <c r="A705" s="282" t="s">
        <v>4081</v>
      </c>
      <c r="B705" s="283" t="s">
        <v>4058</v>
      </c>
      <c r="C705" s="283" t="s">
        <v>3277</v>
      </c>
      <c r="D705" s="284" t="s">
        <v>4082</v>
      </c>
    </row>
    <row r="706" spans="1:4" x14ac:dyDescent="0.3">
      <c r="A706" s="282" t="s">
        <v>4083</v>
      </c>
      <c r="B706" s="283" t="s">
        <v>4070</v>
      </c>
      <c r="C706" s="283" t="s">
        <v>3277</v>
      </c>
      <c r="D706" s="284" t="s">
        <v>4084</v>
      </c>
    </row>
    <row r="707" spans="1:4" x14ac:dyDescent="0.3">
      <c r="A707" s="282" t="s">
        <v>4085</v>
      </c>
      <c r="B707" s="283" t="s">
        <v>4058</v>
      </c>
      <c r="C707" s="283" t="s">
        <v>3277</v>
      </c>
      <c r="D707" s="284" t="s">
        <v>4086</v>
      </c>
    </row>
    <row r="708" spans="1:4" x14ac:dyDescent="0.3">
      <c r="A708" s="282" t="s">
        <v>4087</v>
      </c>
      <c r="B708" s="283" t="s">
        <v>4058</v>
      </c>
      <c r="C708" s="283" t="s">
        <v>3277</v>
      </c>
      <c r="D708" s="284" t="s">
        <v>4088</v>
      </c>
    </row>
    <row r="709" spans="1:4" x14ac:dyDescent="0.3">
      <c r="A709" s="282" t="s">
        <v>4089</v>
      </c>
      <c r="B709" s="283" t="s">
        <v>4058</v>
      </c>
      <c r="C709" s="283" t="s">
        <v>3277</v>
      </c>
      <c r="D709" s="284" t="s">
        <v>4090</v>
      </c>
    </row>
    <row r="710" spans="1:4" x14ac:dyDescent="0.3">
      <c r="A710" s="282" t="s">
        <v>4091</v>
      </c>
      <c r="B710" s="283" t="s">
        <v>4070</v>
      </c>
      <c r="C710" s="283" t="s">
        <v>3277</v>
      </c>
      <c r="D710" s="284" t="s">
        <v>4092</v>
      </c>
    </row>
    <row r="711" spans="1:4" x14ac:dyDescent="0.3">
      <c r="A711" s="282" t="s">
        <v>4093</v>
      </c>
      <c r="B711" s="283" t="s">
        <v>4058</v>
      </c>
      <c r="C711" s="283" t="s">
        <v>3277</v>
      </c>
      <c r="D711" s="284" t="s">
        <v>4094</v>
      </c>
    </row>
    <row r="712" spans="1:4" x14ac:dyDescent="0.3">
      <c r="A712" s="282" t="s">
        <v>4095</v>
      </c>
      <c r="B712" s="283" t="s">
        <v>4096</v>
      </c>
      <c r="C712" s="283" t="s">
        <v>3277</v>
      </c>
      <c r="D712" s="284" t="s">
        <v>4097</v>
      </c>
    </row>
    <row r="713" spans="1:4" x14ac:dyDescent="0.3">
      <c r="A713" s="282" t="s">
        <v>4098</v>
      </c>
      <c r="B713" s="283" t="s">
        <v>2595</v>
      </c>
      <c r="C713" s="283" t="s">
        <v>3277</v>
      </c>
      <c r="D713" s="284" t="s">
        <v>4099</v>
      </c>
    </row>
    <row r="714" spans="1:4" x14ac:dyDescent="0.3">
      <c r="A714" s="282" t="s">
        <v>4100</v>
      </c>
      <c r="B714" s="283" t="s">
        <v>4070</v>
      </c>
      <c r="C714" s="283" t="s">
        <v>3277</v>
      </c>
      <c r="D714" s="284" t="s">
        <v>4101</v>
      </c>
    </row>
    <row r="715" spans="1:4" x14ac:dyDescent="0.3">
      <c r="A715" s="282" t="s">
        <v>4102</v>
      </c>
      <c r="B715" s="283" t="s">
        <v>3700</v>
      </c>
      <c r="C715" s="283" t="s">
        <v>2846</v>
      </c>
      <c r="D715" s="284" t="s">
        <v>4103</v>
      </c>
    </row>
    <row r="716" spans="1:4" x14ac:dyDescent="0.3">
      <c r="A716" s="282" t="s">
        <v>4104</v>
      </c>
      <c r="B716" s="283" t="s">
        <v>4058</v>
      </c>
      <c r="C716" s="283" t="s">
        <v>3277</v>
      </c>
      <c r="D716" s="284" t="s">
        <v>4105</v>
      </c>
    </row>
    <row r="717" spans="1:4" x14ac:dyDescent="0.3">
      <c r="A717" s="282" t="s">
        <v>4106</v>
      </c>
      <c r="B717" s="283" t="s">
        <v>4058</v>
      </c>
      <c r="C717" s="283" t="s">
        <v>3277</v>
      </c>
      <c r="D717" s="284" t="s">
        <v>1581</v>
      </c>
    </row>
    <row r="718" spans="1:4" x14ac:dyDescent="0.3">
      <c r="A718" s="282" t="s">
        <v>4107</v>
      </c>
      <c r="B718" s="283" t="s">
        <v>4058</v>
      </c>
      <c r="C718" s="283" t="s">
        <v>3277</v>
      </c>
      <c r="D718" s="284" t="s">
        <v>4108</v>
      </c>
    </row>
    <row r="719" spans="1:4" x14ac:dyDescent="0.3">
      <c r="A719" s="282" t="s">
        <v>4109</v>
      </c>
      <c r="B719" s="283" t="s">
        <v>4070</v>
      </c>
      <c r="C719" s="283" t="s">
        <v>3277</v>
      </c>
      <c r="D719" s="284" t="s">
        <v>4110</v>
      </c>
    </row>
    <row r="720" spans="1:4" x14ac:dyDescent="0.3">
      <c r="A720" s="282" t="s">
        <v>4111</v>
      </c>
      <c r="B720" s="283" t="s">
        <v>4058</v>
      </c>
      <c r="C720" s="283" t="s">
        <v>3277</v>
      </c>
      <c r="D720" s="284" t="s">
        <v>4112</v>
      </c>
    </row>
    <row r="721" spans="1:4" x14ac:dyDescent="0.3">
      <c r="A721" s="282" t="s">
        <v>4113</v>
      </c>
      <c r="B721" s="283" t="s">
        <v>4058</v>
      </c>
      <c r="C721" s="283" t="s">
        <v>3277</v>
      </c>
      <c r="D721" s="284" t="s">
        <v>4114</v>
      </c>
    </row>
    <row r="722" spans="1:4" x14ac:dyDescent="0.3">
      <c r="A722" s="282" t="s">
        <v>4115</v>
      </c>
      <c r="B722" s="283" t="s">
        <v>4058</v>
      </c>
      <c r="C722" s="283" t="s">
        <v>3277</v>
      </c>
      <c r="D722" s="284" t="s">
        <v>4116</v>
      </c>
    </row>
    <row r="723" spans="1:4" x14ac:dyDescent="0.3">
      <c r="A723" s="282" t="s">
        <v>4117</v>
      </c>
      <c r="B723" s="283" t="s">
        <v>4070</v>
      </c>
      <c r="C723" s="283" t="s">
        <v>3277</v>
      </c>
      <c r="D723" s="284" t="s">
        <v>3299</v>
      </c>
    </row>
    <row r="724" spans="1:4" x14ac:dyDescent="0.3">
      <c r="A724" s="282" t="s">
        <v>4118</v>
      </c>
      <c r="B724" s="283" t="s">
        <v>3298</v>
      </c>
      <c r="C724" s="283" t="s">
        <v>3183</v>
      </c>
      <c r="D724" s="284" t="s">
        <v>4119</v>
      </c>
    </row>
    <row r="725" spans="1:4" x14ac:dyDescent="0.3">
      <c r="A725" s="282" t="s">
        <v>4120</v>
      </c>
      <c r="B725" s="283" t="s">
        <v>3298</v>
      </c>
      <c r="C725" s="283" t="s">
        <v>3183</v>
      </c>
      <c r="D725" s="284" t="s">
        <v>4121</v>
      </c>
    </row>
    <row r="726" spans="1:4" x14ac:dyDescent="0.3">
      <c r="A726" s="282" t="s">
        <v>4122</v>
      </c>
      <c r="B726" s="283" t="s">
        <v>4053</v>
      </c>
      <c r="C726" s="283" t="s">
        <v>3277</v>
      </c>
      <c r="D726" s="284" t="s">
        <v>4123</v>
      </c>
    </row>
    <row r="727" spans="1:4" x14ac:dyDescent="0.3">
      <c r="A727" s="282" t="s">
        <v>4124</v>
      </c>
      <c r="B727" s="283" t="s">
        <v>4058</v>
      </c>
      <c r="C727" s="283" t="s">
        <v>3277</v>
      </c>
      <c r="D727" s="284" t="s">
        <v>4125</v>
      </c>
    </row>
    <row r="728" spans="1:4" x14ac:dyDescent="0.3">
      <c r="A728" s="282" t="s">
        <v>4126</v>
      </c>
      <c r="B728" s="283" t="s">
        <v>4058</v>
      </c>
      <c r="C728" s="283" t="s">
        <v>3277</v>
      </c>
      <c r="D728" s="284" t="s">
        <v>4127</v>
      </c>
    </row>
    <row r="729" spans="1:4" x14ac:dyDescent="0.3">
      <c r="A729" s="282" t="s">
        <v>4128</v>
      </c>
      <c r="B729" s="283" t="s">
        <v>4058</v>
      </c>
      <c r="C729" s="283" t="s">
        <v>3277</v>
      </c>
      <c r="D729" s="284" t="s">
        <v>4129</v>
      </c>
    </row>
    <row r="730" spans="1:4" x14ac:dyDescent="0.3">
      <c r="A730" s="282" t="s">
        <v>4130</v>
      </c>
      <c r="B730" s="283" t="s">
        <v>4053</v>
      </c>
      <c r="C730" s="283" t="s">
        <v>3277</v>
      </c>
      <c r="D730" s="284" t="s">
        <v>4131</v>
      </c>
    </row>
    <row r="731" spans="1:4" x14ac:dyDescent="0.3">
      <c r="A731" s="282" t="s">
        <v>4132</v>
      </c>
      <c r="B731" s="283" t="s">
        <v>3192</v>
      </c>
      <c r="C731" s="283" t="s">
        <v>3183</v>
      </c>
      <c r="D731" s="284" t="s">
        <v>4133</v>
      </c>
    </row>
    <row r="732" spans="1:4" x14ac:dyDescent="0.3">
      <c r="A732" s="282" t="s">
        <v>4134</v>
      </c>
      <c r="B732" s="283" t="s">
        <v>4058</v>
      </c>
      <c r="C732" s="283" t="s">
        <v>3277</v>
      </c>
      <c r="D732" s="284" t="s">
        <v>4135</v>
      </c>
    </row>
    <row r="733" spans="1:4" x14ac:dyDescent="0.3">
      <c r="A733" s="282" t="s">
        <v>4136</v>
      </c>
      <c r="B733" s="283" t="s">
        <v>4058</v>
      </c>
      <c r="C733" s="283" t="s">
        <v>3277</v>
      </c>
      <c r="D733" s="284" t="s">
        <v>4137</v>
      </c>
    </row>
    <row r="734" spans="1:4" x14ac:dyDescent="0.3">
      <c r="A734" s="282" t="s">
        <v>4138</v>
      </c>
      <c r="B734" s="283" t="s">
        <v>4058</v>
      </c>
      <c r="C734" s="283" t="s">
        <v>3277</v>
      </c>
      <c r="D734" s="284" t="s">
        <v>4139</v>
      </c>
    </row>
    <row r="735" spans="1:4" x14ac:dyDescent="0.3">
      <c r="A735" s="282" t="s">
        <v>4140</v>
      </c>
      <c r="B735" s="283" t="s">
        <v>4058</v>
      </c>
      <c r="C735" s="283" t="s">
        <v>3277</v>
      </c>
      <c r="D735" s="284" t="s">
        <v>4141</v>
      </c>
    </row>
    <row r="736" spans="1:4" x14ac:dyDescent="0.3">
      <c r="A736" s="282" t="s">
        <v>4142</v>
      </c>
      <c r="B736" s="283" t="s">
        <v>4143</v>
      </c>
      <c r="C736" s="283" t="s">
        <v>3277</v>
      </c>
      <c r="D736" s="284" t="s">
        <v>4144</v>
      </c>
    </row>
    <row r="737" spans="1:4" x14ac:dyDescent="0.3">
      <c r="A737" s="282" t="s">
        <v>4145</v>
      </c>
      <c r="B737" s="283" t="s">
        <v>4058</v>
      </c>
      <c r="C737" s="283" t="s">
        <v>3277</v>
      </c>
      <c r="D737" s="284" t="s">
        <v>4146</v>
      </c>
    </row>
    <row r="738" spans="1:4" x14ac:dyDescent="0.3">
      <c r="A738" s="282" t="s">
        <v>4147</v>
      </c>
      <c r="B738" s="283" t="s">
        <v>4058</v>
      </c>
      <c r="C738" s="283" t="s">
        <v>3277</v>
      </c>
      <c r="D738" s="284" t="s">
        <v>4148</v>
      </c>
    </row>
    <row r="739" spans="1:4" x14ac:dyDescent="0.3">
      <c r="A739" s="282" t="s">
        <v>4149</v>
      </c>
      <c r="B739" s="283" t="s">
        <v>4058</v>
      </c>
      <c r="C739" s="283" t="s">
        <v>3277</v>
      </c>
      <c r="D739" s="284" t="s">
        <v>4150</v>
      </c>
    </row>
    <row r="740" spans="1:4" x14ac:dyDescent="0.3">
      <c r="A740" s="282" t="s">
        <v>4151</v>
      </c>
      <c r="B740" s="283" t="s">
        <v>4058</v>
      </c>
      <c r="C740" s="283" t="s">
        <v>3277</v>
      </c>
      <c r="D740" s="284" t="s">
        <v>4152</v>
      </c>
    </row>
    <row r="741" spans="1:4" x14ac:dyDescent="0.3">
      <c r="A741" s="282" t="s">
        <v>4153</v>
      </c>
      <c r="B741" s="283" t="s">
        <v>4058</v>
      </c>
      <c r="C741" s="283" t="s">
        <v>3277</v>
      </c>
      <c r="D741" s="284" t="s">
        <v>4154</v>
      </c>
    </row>
    <row r="742" spans="1:4" x14ac:dyDescent="0.3">
      <c r="A742" s="282" t="s">
        <v>4155</v>
      </c>
      <c r="B742" s="283" t="s">
        <v>4053</v>
      </c>
      <c r="C742" s="283" t="s">
        <v>3277</v>
      </c>
      <c r="D742" s="284" t="s">
        <v>4156</v>
      </c>
    </row>
    <row r="743" spans="1:4" x14ac:dyDescent="0.3">
      <c r="A743" s="282" t="s">
        <v>4157</v>
      </c>
      <c r="B743" s="283" t="s">
        <v>4053</v>
      </c>
      <c r="C743" s="283" t="s">
        <v>3277</v>
      </c>
      <c r="D743" s="284" t="s">
        <v>4158</v>
      </c>
    </row>
    <row r="744" spans="1:4" x14ac:dyDescent="0.3">
      <c r="A744" s="282" t="s">
        <v>4159</v>
      </c>
      <c r="B744" s="283" t="s">
        <v>2595</v>
      </c>
      <c r="C744" s="283" t="s">
        <v>3277</v>
      </c>
      <c r="D744" s="284" t="s">
        <v>4160</v>
      </c>
    </row>
    <row r="745" spans="1:4" x14ac:dyDescent="0.3">
      <c r="A745" s="282" t="s">
        <v>4161</v>
      </c>
      <c r="B745" s="283" t="s">
        <v>4162</v>
      </c>
      <c r="C745" s="283" t="s">
        <v>3281</v>
      </c>
      <c r="D745" s="284" t="s">
        <v>4163</v>
      </c>
    </row>
    <row r="746" spans="1:4" x14ac:dyDescent="0.3">
      <c r="A746" s="282" t="s">
        <v>4164</v>
      </c>
      <c r="B746" s="283" t="s">
        <v>4070</v>
      </c>
      <c r="C746" s="283" t="s">
        <v>3277</v>
      </c>
      <c r="D746" s="284" t="s">
        <v>4165</v>
      </c>
    </row>
    <row r="747" spans="1:4" x14ac:dyDescent="0.3">
      <c r="A747" s="282" t="s">
        <v>4166</v>
      </c>
      <c r="B747" s="283" t="s">
        <v>4058</v>
      </c>
      <c r="C747" s="283" t="s">
        <v>3277</v>
      </c>
      <c r="D747" s="284" t="s">
        <v>4167</v>
      </c>
    </row>
    <row r="748" spans="1:4" x14ac:dyDescent="0.3">
      <c r="A748" s="282" t="s">
        <v>4168</v>
      </c>
      <c r="B748" s="283" t="s">
        <v>4058</v>
      </c>
      <c r="C748" s="283" t="s">
        <v>3277</v>
      </c>
      <c r="D748" s="284" t="s">
        <v>4169</v>
      </c>
    </row>
    <row r="749" spans="1:4" x14ac:dyDescent="0.3">
      <c r="A749" s="282" t="s">
        <v>4170</v>
      </c>
      <c r="B749" s="283" t="s">
        <v>4058</v>
      </c>
      <c r="C749" s="283" t="s">
        <v>3277</v>
      </c>
      <c r="D749" s="284" t="s">
        <v>4171</v>
      </c>
    </row>
    <row r="750" spans="1:4" x14ac:dyDescent="0.3">
      <c r="A750" s="282" t="s">
        <v>4172</v>
      </c>
      <c r="B750" s="283" t="s">
        <v>4058</v>
      </c>
      <c r="C750" s="283" t="s">
        <v>3277</v>
      </c>
      <c r="D750" s="284" t="s">
        <v>4173</v>
      </c>
    </row>
    <row r="751" spans="1:4" x14ac:dyDescent="0.3">
      <c r="A751" s="282" t="s">
        <v>4174</v>
      </c>
      <c r="B751" s="283" t="s">
        <v>3298</v>
      </c>
      <c r="C751" s="283" t="s">
        <v>3183</v>
      </c>
      <c r="D751" s="284" t="s">
        <v>4175</v>
      </c>
    </row>
    <row r="752" spans="1:4" x14ac:dyDescent="0.3">
      <c r="A752" s="282" t="s">
        <v>4176</v>
      </c>
      <c r="B752" s="283" t="s">
        <v>3276</v>
      </c>
      <c r="C752" s="283" t="s">
        <v>3277</v>
      </c>
      <c r="D752" s="284" t="s">
        <v>4177</v>
      </c>
    </row>
    <row r="753" spans="1:4" x14ac:dyDescent="0.3">
      <c r="A753" s="282" t="s">
        <v>4178</v>
      </c>
      <c r="B753" s="283" t="s">
        <v>3276</v>
      </c>
      <c r="C753" s="283" t="s">
        <v>3277</v>
      </c>
      <c r="D753" s="284" t="s">
        <v>4179</v>
      </c>
    </row>
    <row r="754" spans="1:4" x14ac:dyDescent="0.3">
      <c r="A754" s="282" t="s">
        <v>4180</v>
      </c>
      <c r="B754" s="283" t="s">
        <v>4058</v>
      </c>
      <c r="C754" s="283" t="s">
        <v>3277</v>
      </c>
      <c r="D754" s="284" t="s">
        <v>4181</v>
      </c>
    </row>
    <row r="755" spans="1:4" x14ac:dyDescent="0.3">
      <c r="A755" s="282" t="s">
        <v>4182</v>
      </c>
      <c r="B755" s="283" t="s">
        <v>4058</v>
      </c>
      <c r="C755" s="283" t="s">
        <v>3277</v>
      </c>
      <c r="D755" s="284" t="s">
        <v>4183</v>
      </c>
    </row>
    <row r="756" spans="1:4" x14ac:dyDescent="0.3">
      <c r="A756" s="282" t="s">
        <v>4184</v>
      </c>
      <c r="B756" s="283" t="s">
        <v>4058</v>
      </c>
      <c r="C756" s="283" t="s">
        <v>3277</v>
      </c>
      <c r="D756" s="284" t="s">
        <v>4185</v>
      </c>
    </row>
    <row r="757" spans="1:4" x14ac:dyDescent="0.3">
      <c r="A757" s="282" t="s">
        <v>4186</v>
      </c>
      <c r="B757" s="283" t="s">
        <v>4058</v>
      </c>
      <c r="C757" s="283" t="s">
        <v>3277</v>
      </c>
      <c r="D757" s="284" t="s">
        <v>4187</v>
      </c>
    </row>
    <row r="758" spans="1:4" x14ac:dyDescent="0.3">
      <c r="A758" s="282" t="s">
        <v>4188</v>
      </c>
      <c r="B758" s="283" t="s">
        <v>4058</v>
      </c>
      <c r="C758" s="283" t="s">
        <v>3277</v>
      </c>
      <c r="D758" s="284" t="s">
        <v>4189</v>
      </c>
    </row>
    <row r="759" spans="1:4" x14ac:dyDescent="0.3">
      <c r="A759" s="282" t="s">
        <v>4190</v>
      </c>
      <c r="B759" s="283" t="s">
        <v>4058</v>
      </c>
      <c r="C759" s="283" t="s">
        <v>3277</v>
      </c>
      <c r="D759" s="284" t="s">
        <v>4191</v>
      </c>
    </row>
    <row r="760" spans="1:4" x14ac:dyDescent="0.3">
      <c r="A760" s="282" t="s">
        <v>4192</v>
      </c>
      <c r="B760" s="283" t="s">
        <v>4058</v>
      </c>
      <c r="C760" s="283" t="s">
        <v>3277</v>
      </c>
      <c r="D760" s="284" t="s">
        <v>4193</v>
      </c>
    </row>
    <row r="761" spans="1:4" x14ac:dyDescent="0.3">
      <c r="A761" s="282" t="s">
        <v>4194</v>
      </c>
      <c r="B761" s="283" t="s">
        <v>4058</v>
      </c>
      <c r="C761" s="283" t="s">
        <v>3277</v>
      </c>
      <c r="D761" s="284" t="s">
        <v>4195</v>
      </c>
    </row>
    <row r="762" spans="1:4" x14ac:dyDescent="0.3">
      <c r="A762" s="282" t="s">
        <v>4196</v>
      </c>
      <c r="B762" s="283" t="s">
        <v>4058</v>
      </c>
      <c r="C762" s="283" t="s">
        <v>3277</v>
      </c>
      <c r="D762" s="284" t="s">
        <v>4197</v>
      </c>
    </row>
    <row r="763" spans="1:4" x14ac:dyDescent="0.3">
      <c r="A763" s="282" t="s">
        <v>4198</v>
      </c>
      <c r="B763" s="283" t="s">
        <v>4070</v>
      </c>
      <c r="C763" s="283" t="s">
        <v>3277</v>
      </c>
      <c r="D763" s="284" t="s">
        <v>4199</v>
      </c>
    </row>
    <row r="764" spans="1:4" x14ac:dyDescent="0.3">
      <c r="A764" s="282" t="s">
        <v>4200</v>
      </c>
      <c r="B764" s="283" t="s">
        <v>4058</v>
      </c>
      <c r="C764" s="283" t="s">
        <v>3277</v>
      </c>
      <c r="D764" s="284" t="s">
        <v>4201</v>
      </c>
    </row>
    <row r="765" spans="1:4" x14ac:dyDescent="0.3">
      <c r="A765" s="282" t="s">
        <v>4202</v>
      </c>
      <c r="B765" s="283" t="s">
        <v>4058</v>
      </c>
      <c r="C765" s="283" t="s">
        <v>3277</v>
      </c>
      <c r="D765" s="284" t="s">
        <v>4203</v>
      </c>
    </row>
    <row r="766" spans="1:4" x14ac:dyDescent="0.3">
      <c r="A766" s="282" t="s">
        <v>4204</v>
      </c>
      <c r="B766" s="283" t="s">
        <v>4058</v>
      </c>
      <c r="C766" s="283" t="s">
        <v>3277</v>
      </c>
      <c r="D766" s="284" t="s">
        <v>4205</v>
      </c>
    </row>
    <row r="767" spans="1:4" x14ac:dyDescent="0.3">
      <c r="A767" s="282" t="s">
        <v>4206</v>
      </c>
      <c r="B767" s="283" t="s">
        <v>4058</v>
      </c>
      <c r="C767" s="283" t="s">
        <v>3277</v>
      </c>
      <c r="D767" s="284" t="s">
        <v>4207</v>
      </c>
    </row>
    <row r="768" spans="1:4" x14ac:dyDescent="0.3">
      <c r="A768" s="282" t="s">
        <v>4208</v>
      </c>
      <c r="B768" s="283" t="s">
        <v>4058</v>
      </c>
      <c r="C768" s="283" t="s">
        <v>3277</v>
      </c>
      <c r="D768" s="284" t="s">
        <v>4209</v>
      </c>
    </row>
    <row r="769" spans="1:4" x14ac:dyDescent="0.3">
      <c r="A769" s="282" t="s">
        <v>4210</v>
      </c>
      <c r="B769" s="283" t="s">
        <v>4058</v>
      </c>
      <c r="C769" s="283" t="s">
        <v>3277</v>
      </c>
      <c r="D769" s="284" t="s">
        <v>4211</v>
      </c>
    </row>
    <row r="770" spans="1:4" x14ac:dyDescent="0.3">
      <c r="A770" s="282" t="s">
        <v>4212</v>
      </c>
      <c r="B770" s="283" t="s">
        <v>4058</v>
      </c>
      <c r="C770" s="283" t="s">
        <v>3277</v>
      </c>
      <c r="D770" s="284" t="s">
        <v>4213</v>
      </c>
    </row>
    <row r="771" spans="1:4" x14ac:dyDescent="0.3">
      <c r="A771" s="282" t="s">
        <v>4214</v>
      </c>
      <c r="B771" s="283" t="s">
        <v>4058</v>
      </c>
      <c r="C771" s="283" t="s">
        <v>3277</v>
      </c>
      <c r="D771" s="284" t="s">
        <v>4215</v>
      </c>
    </row>
    <row r="772" spans="1:4" x14ac:dyDescent="0.3">
      <c r="A772" s="282" t="s">
        <v>4216</v>
      </c>
      <c r="B772" s="283" t="s">
        <v>4058</v>
      </c>
      <c r="C772" s="283" t="s">
        <v>3277</v>
      </c>
      <c r="D772" s="284" t="s">
        <v>4217</v>
      </c>
    </row>
    <row r="773" spans="1:4" x14ac:dyDescent="0.3">
      <c r="A773" s="282" t="s">
        <v>4218</v>
      </c>
      <c r="B773" s="283" t="s">
        <v>4058</v>
      </c>
      <c r="C773" s="283" t="s">
        <v>3277</v>
      </c>
      <c r="D773" s="284" t="s">
        <v>4219</v>
      </c>
    </row>
    <row r="774" spans="1:4" x14ac:dyDescent="0.3">
      <c r="A774" s="282" t="s">
        <v>4220</v>
      </c>
      <c r="B774" s="283" t="s">
        <v>4058</v>
      </c>
      <c r="C774" s="283" t="s">
        <v>3277</v>
      </c>
      <c r="D774" s="284" t="s">
        <v>4221</v>
      </c>
    </row>
    <row r="775" spans="1:4" x14ac:dyDescent="0.3">
      <c r="A775" s="282" t="s">
        <v>4222</v>
      </c>
      <c r="B775" s="283" t="s">
        <v>4058</v>
      </c>
      <c r="C775" s="283" t="s">
        <v>3277</v>
      </c>
      <c r="D775" s="284" t="s">
        <v>4223</v>
      </c>
    </row>
    <row r="776" spans="1:4" x14ac:dyDescent="0.3">
      <c r="A776" s="282" t="s">
        <v>4224</v>
      </c>
      <c r="B776" s="283" t="s">
        <v>4058</v>
      </c>
      <c r="C776" s="283" t="s">
        <v>3277</v>
      </c>
      <c r="D776" s="284" t="s">
        <v>4225</v>
      </c>
    </row>
    <row r="777" spans="1:4" x14ac:dyDescent="0.3">
      <c r="A777" s="282" t="s">
        <v>4226</v>
      </c>
      <c r="B777" s="283" t="s">
        <v>4058</v>
      </c>
      <c r="C777" s="283" t="s">
        <v>3277</v>
      </c>
      <c r="D777" s="284" t="s">
        <v>4227</v>
      </c>
    </row>
    <row r="778" spans="1:4" x14ac:dyDescent="0.3">
      <c r="A778" s="282" t="s">
        <v>4228</v>
      </c>
      <c r="B778" s="283" t="s">
        <v>4058</v>
      </c>
      <c r="C778" s="283" t="s">
        <v>3277</v>
      </c>
      <c r="D778" s="284" t="s">
        <v>4229</v>
      </c>
    </row>
    <row r="779" spans="1:4" x14ac:dyDescent="0.3">
      <c r="A779" s="282" t="s">
        <v>4230</v>
      </c>
      <c r="B779" s="283" t="s">
        <v>4058</v>
      </c>
      <c r="C779" s="283" t="s">
        <v>3277</v>
      </c>
      <c r="D779" s="284" t="s">
        <v>4231</v>
      </c>
    </row>
    <row r="780" spans="1:4" x14ac:dyDescent="0.3">
      <c r="A780" s="282" t="s">
        <v>4232</v>
      </c>
      <c r="B780" s="283" t="s">
        <v>4070</v>
      </c>
      <c r="C780" s="283" t="s">
        <v>3277</v>
      </c>
      <c r="D780" s="284" t="s">
        <v>4233</v>
      </c>
    </row>
    <row r="781" spans="1:4" x14ac:dyDescent="0.3">
      <c r="A781" s="282" t="s">
        <v>4234</v>
      </c>
      <c r="B781" s="283" t="s">
        <v>3345</v>
      </c>
      <c r="C781" s="283" t="s">
        <v>3346</v>
      </c>
      <c r="D781" s="284" t="s">
        <v>4235</v>
      </c>
    </row>
    <row r="782" spans="1:4" x14ac:dyDescent="0.3">
      <c r="A782" s="282" t="s">
        <v>4236</v>
      </c>
      <c r="B782" s="283" t="s">
        <v>4070</v>
      </c>
      <c r="C782" s="283" t="s">
        <v>3277</v>
      </c>
      <c r="D782" s="284" t="s">
        <v>4237</v>
      </c>
    </row>
    <row r="783" spans="1:4" x14ac:dyDescent="0.3">
      <c r="A783" s="282" t="s">
        <v>4238</v>
      </c>
      <c r="B783" s="283" t="s">
        <v>4058</v>
      </c>
      <c r="C783" s="283" t="s">
        <v>3277</v>
      </c>
      <c r="D783" s="284" t="s">
        <v>4239</v>
      </c>
    </row>
    <row r="784" spans="1:4" x14ac:dyDescent="0.3">
      <c r="A784" s="282" t="s">
        <v>4240</v>
      </c>
      <c r="B784" s="283" t="s">
        <v>4058</v>
      </c>
      <c r="C784" s="283" t="s">
        <v>3277</v>
      </c>
      <c r="D784" s="284" t="s">
        <v>4241</v>
      </c>
    </row>
    <row r="785" spans="1:4" x14ac:dyDescent="0.3">
      <c r="A785" s="282" t="s">
        <v>4242</v>
      </c>
      <c r="B785" s="283" t="s">
        <v>4058</v>
      </c>
      <c r="C785" s="283" t="s">
        <v>3277</v>
      </c>
      <c r="D785" s="284" t="s">
        <v>4243</v>
      </c>
    </row>
    <row r="786" spans="1:4" x14ac:dyDescent="0.3">
      <c r="A786" s="282" t="s">
        <v>4244</v>
      </c>
      <c r="B786" s="283" t="s">
        <v>4058</v>
      </c>
      <c r="C786" s="283" t="s">
        <v>3277</v>
      </c>
      <c r="D786" s="284" t="s">
        <v>4245</v>
      </c>
    </row>
    <row r="787" spans="1:4" x14ac:dyDescent="0.3">
      <c r="A787" s="282" t="s">
        <v>4246</v>
      </c>
      <c r="B787" s="283" t="s">
        <v>4058</v>
      </c>
      <c r="C787" s="283" t="s">
        <v>3277</v>
      </c>
      <c r="D787" s="284" t="s">
        <v>4247</v>
      </c>
    </row>
    <row r="788" spans="1:4" x14ac:dyDescent="0.3">
      <c r="A788" s="282" t="s">
        <v>4248</v>
      </c>
      <c r="B788" s="283" t="s">
        <v>4053</v>
      </c>
      <c r="C788" s="283" t="s">
        <v>3277</v>
      </c>
      <c r="D788" s="284" t="s">
        <v>4249</v>
      </c>
    </row>
    <row r="789" spans="1:4" x14ac:dyDescent="0.3">
      <c r="A789" s="282" t="s">
        <v>4250</v>
      </c>
      <c r="B789" s="283" t="s">
        <v>4058</v>
      </c>
      <c r="C789" s="283" t="s">
        <v>3277</v>
      </c>
      <c r="D789" s="284" t="s">
        <v>4251</v>
      </c>
    </row>
    <row r="790" spans="1:4" x14ac:dyDescent="0.3">
      <c r="A790" s="282" t="s">
        <v>4252</v>
      </c>
      <c r="B790" s="283" t="s">
        <v>4058</v>
      </c>
      <c r="C790" s="283" t="s">
        <v>3277</v>
      </c>
      <c r="D790" s="284" t="s">
        <v>4253</v>
      </c>
    </row>
    <row r="791" spans="1:4" x14ac:dyDescent="0.3">
      <c r="A791" s="282" t="s">
        <v>4254</v>
      </c>
      <c r="B791" s="283" t="s">
        <v>4058</v>
      </c>
      <c r="C791" s="283" t="s">
        <v>3277</v>
      </c>
      <c r="D791" s="284" t="s">
        <v>4255</v>
      </c>
    </row>
    <row r="792" spans="1:4" x14ac:dyDescent="0.3">
      <c r="A792" s="282" t="s">
        <v>4256</v>
      </c>
      <c r="B792" s="283" t="s">
        <v>4058</v>
      </c>
      <c r="C792" s="283" t="s">
        <v>3277</v>
      </c>
      <c r="D792" s="284" t="s">
        <v>4257</v>
      </c>
    </row>
    <row r="793" spans="1:4" x14ac:dyDescent="0.3">
      <c r="A793" s="282" t="s">
        <v>4258</v>
      </c>
      <c r="B793" s="283" t="s">
        <v>3218</v>
      </c>
      <c r="C793" s="283" t="s">
        <v>3183</v>
      </c>
      <c r="D793" s="284" t="s">
        <v>4259</v>
      </c>
    </row>
    <row r="794" spans="1:4" x14ac:dyDescent="0.3">
      <c r="A794" s="282" t="s">
        <v>4260</v>
      </c>
      <c r="B794" s="283" t="s">
        <v>4058</v>
      </c>
      <c r="C794" s="283" t="s">
        <v>3277</v>
      </c>
      <c r="D794" s="284" t="s">
        <v>4261</v>
      </c>
    </row>
    <row r="795" spans="1:4" x14ac:dyDescent="0.3">
      <c r="A795" s="282" t="s">
        <v>4262</v>
      </c>
      <c r="B795" s="283" t="s">
        <v>4058</v>
      </c>
      <c r="C795" s="283" t="s">
        <v>3277</v>
      </c>
      <c r="D795" s="284" t="s">
        <v>2893</v>
      </c>
    </row>
    <row r="796" spans="1:4" x14ac:dyDescent="0.3">
      <c r="A796" s="282" t="s">
        <v>4263</v>
      </c>
      <c r="B796" s="283" t="s">
        <v>4058</v>
      </c>
      <c r="C796" s="283" t="s">
        <v>3277</v>
      </c>
      <c r="D796" s="284" t="s">
        <v>4264</v>
      </c>
    </row>
    <row r="797" spans="1:4" x14ac:dyDescent="0.3">
      <c r="A797" s="282" t="s">
        <v>4265</v>
      </c>
      <c r="B797" s="283" t="s">
        <v>4058</v>
      </c>
      <c r="C797" s="283" t="s">
        <v>3277</v>
      </c>
      <c r="D797" s="284" t="s">
        <v>4266</v>
      </c>
    </row>
    <row r="798" spans="1:4" x14ac:dyDescent="0.3">
      <c r="A798" s="282" t="s">
        <v>4267</v>
      </c>
      <c r="B798" s="283" t="s">
        <v>4058</v>
      </c>
      <c r="C798" s="283" t="s">
        <v>3277</v>
      </c>
      <c r="D798" s="284" t="s">
        <v>4268</v>
      </c>
    </row>
    <row r="799" spans="1:4" x14ac:dyDescent="0.3">
      <c r="A799" s="282" t="s">
        <v>4269</v>
      </c>
      <c r="B799" s="283" t="s">
        <v>4058</v>
      </c>
      <c r="C799" s="283" t="s">
        <v>3277</v>
      </c>
      <c r="D799" s="284" t="s">
        <v>4270</v>
      </c>
    </row>
    <row r="800" spans="1:4" x14ac:dyDescent="0.3">
      <c r="A800" s="282" t="s">
        <v>4271</v>
      </c>
      <c r="B800" s="283" t="s">
        <v>4070</v>
      </c>
      <c r="C800" s="283" t="s">
        <v>3277</v>
      </c>
      <c r="D800" s="284" t="s">
        <v>4272</v>
      </c>
    </row>
    <row r="801" spans="1:4" x14ac:dyDescent="0.3">
      <c r="A801" s="282" t="s">
        <v>4273</v>
      </c>
      <c r="B801" s="283" t="s">
        <v>4058</v>
      </c>
      <c r="C801" s="283" t="s">
        <v>3277</v>
      </c>
      <c r="D801" s="284" t="s">
        <v>4274</v>
      </c>
    </row>
    <row r="802" spans="1:4" x14ac:dyDescent="0.3">
      <c r="A802" s="282" t="s">
        <v>4275</v>
      </c>
      <c r="B802" s="283" t="s">
        <v>4070</v>
      </c>
      <c r="C802" s="283" t="s">
        <v>3277</v>
      </c>
      <c r="D802" s="284" t="s">
        <v>4276</v>
      </c>
    </row>
    <row r="803" spans="1:4" x14ac:dyDescent="0.3">
      <c r="A803" s="282" t="s">
        <v>4277</v>
      </c>
      <c r="B803" s="283" t="s">
        <v>4058</v>
      </c>
      <c r="C803" s="283" t="s">
        <v>3277</v>
      </c>
      <c r="D803" s="284" t="s">
        <v>4278</v>
      </c>
    </row>
    <row r="804" spans="1:4" x14ac:dyDescent="0.3">
      <c r="A804" s="282" t="s">
        <v>4279</v>
      </c>
      <c r="B804" s="283" t="s">
        <v>4058</v>
      </c>
      <c r="C804" s="283" t="s">
        <v>3277</v>
      </c>
      <c r="D804" s="284" t="s">
        <v>4280</v>
      </c>
    </row>
    <row r="805" spans="1:4" x14ac:dyDescent="0.3">
      <c r="A805" s="282" t="s">
        <v>4281</v>
      </c>
      <c r="B805" s="283" t="s">
        <v>4058</v>
      </c>
      <c r="C805" s="283" t="s">
        <v>3277</v>
      </c>
      <c r="D805" s="284" t="s">
        <v>4282</v>
      </c>
    </row>
    <row r="806" spans="1:4" x14ac:dyDescent="0.3">
      <c r="A806" s="282" t="s">
        <v>4283</v>
      </c>
      <c r="B806" s="283" t="s">
        <v>4058</v>
      </c>
      <c r="C806" s="283" t="s">
        <v>3277</v>
      </c>
      <c r="D806" s="284" t="s">
        <v>4284</v>
      </c>
    </row>
    <row r="807" spans="1:4" x14ac:dyDescent="0.3">
      <c r="A807" s="282" t="s">
        <v>4285</v>
      </c>
      <c r="B807" s="283" t="s">
        <v>4058</v>
      </c>
      <c r="C807" s="283" t="s">
        <v>3277</v>
      </c>
      <c r="D807" s="284" t="s">
        <v>4286</v>
      </c>
    </row>
    <row r="808" spans="1:4" x14ac:dyDescent="0.3">
      <c r="A808" s="282" t="s">
        <v>4287</v>
      </c>
      <c r="B808" s="283" t="s">
        <v>4070</v>
      </c>
      <c r="C808" s="283" t="s">
        <v>3277</v>
      </c>
      <c r="D808" s="284" t="s">
        <v>4288</v>
      </c>
    </row>
    <row r="809" spans="1:4" x14ac:dyDescent="0.3">
      <c r="A809" s="282" t="s">
        <v>4289</v>
      </c>
      <c r="B809" s="283" t="s">
        <v>4058</v>
      </c>
      <c r="C809" s="283" t="s">
        <v>3277</v>
      </c>
      <c r="D809" s="284" t="s">
        <v>4290</v>
      </c>
    </row>
    <row r="810" spans="1:4" x14ac:dyDescent="0.3">
      <c r="A810" s="282" t="s">
        <v>4291</v>
      </c>
      <c r="B810" s="283" t="s">
        <v>4058</v>
      </c>
      <c r="C810" s="283" t="s">
        <v>3277</v>
      </c>
      <c r="D810" s="284" t="s">
        <v>4211</v>
      </c>
    </row>
    <row r="811" spans="1:4" x14ac:dyDescent="0.3">
      <c r="A811" s="282" t="s">
        <v>4292</v>
      </c>
      <c r="B811" s="283" t="s">
        <v>4058</v>
      </c>
      <c r="C811" s="283" t="s">
        <v>3277</v>
      </c>
      <c r="D811" s="284" t="s">
        <v>4293</v>
      </c>
    </row>
    <row r="812" spans="1:4" x14ac:dyDescent="0.3">
      <c r="A812" s="282" t="s">
        <v>4294</v>
      </c>
      <c r="B812" s="283" t="s">
        <v>4058</v>
      </c>
      <c r="C812" s="283" t="s">
        <v>3277</v>
      </c>
      <c r="D812" s="284" t="s">
        <v>4295</v>
      </c>
    </row>
    <row r="813" spans="1:4" x14ac:dyDescent="0.3">
      <c r="A813" s="282" t="s">
        <v>4296</v>
      </c>
      <c r="B813" s="283" t="s">
        <v>4058</v>
      </c>
      <c r="C813" s="283" t="s">
        <v>3277</v>
      </c>
      <c r="D813" s="284" t="s">
        <v>4297</v>
      </c>
    </row>
    <row r="814" spans="1:4" x14ac:dyDescent="0.3">
      <c r="A814" s="282" t="s">
        <v>4298</v>
      </c>
      <c r="B814" s="283" t="s">
        <v>4058</v>
      </c>
      <c r="C814" s="283" t="s">
        <v>3277</v>
      </c>
      <c r="D814" s="284" t="s">
        <v>4299</v>
      </c>
    </row>
    <row r="815" spans="1:4" x14ac:dyDescent="0.3">
      <c r="A815" s="282" t="s">
        <v>4300</v>
      </c>
      <c r="B815" s="283" t="s">
        <v>4070</v>
      </c>
      <c r="C815" s="283" t="s">
        <v>3277</v>
      </c>
      <c r="D815" s="284" t="s">
        <v>4301</v>
      </c>
    </row>
    <row r="816" spans="1:4" x14ac:dyDescent="0.3">
      <c r="A816" s="282" t="s">
        <v>4302</v>
      </c>
      <c r="B816" s="283" t="s">
        <v>4058</v>
      </c>
      <c r="C816" s="283" t="s">
        <v>3277</v>
      </c>
      <c r="D816" s="284" t="s">
        <v>4303</v>
      </c>
    </row>
    <row r="817" spans="1:4" x14ac:dyDescent="0.3">
      <c r="A817" s="282" t="s">
        <v>4304</v>
      </c>
      <c r="B817" s="283" t="s">
        <v>4058</v>
      </c>
      <c r="C817" s="283" t="s">
        <v>3277</v>
      </c>
      <c r="D817" s="284" t="s">
        <v>4305</v>
      </c>
    </row>
    <row r="818" spans="1:4" x14ac:dyDescent="0.3">
      <c r="A818" s="282" t="s">
        <v>4306</v>
      </c>
      <c r="B818" s="283" t="s">
        <v>4070</v>
      </c>
      <c r="C818" s="283" t="s">
        <v>3277</v>
      </c>
      <c r="D818" s="284" t="s">
        <v>4307</v>
      </c>
    </row>
    <row r="819" spans="1:4" x14ac:dyDescent="0.3">
      <c r="A819" s="282" t="s">
        <v>4308</v>
      </c>
      <c r="B819" s="283" t="s">
        <v>4053</v>
      </c>
      <c r="C819" s="283" t="s">
        <v>3277</v>
      </c>
      <c r="D819" s="284" t="s">
        <v>4309</v>
      </c>
    </row>
    <row r="820" spans="1:4" x14ac:dyDescent="0.3">
      <c r="A820" s="282" t="s">
        <v>4310</v>
      </c>
      <c r="B820" s="283" t="s">
        <v>4070</v>
      </c>
      <c r="C820" s="283" t="s">
        <v>3277</v>
      </c>
      <c r="D820" s="284" t="s">
        <v>4311</v>
      </c>
    </row>
    <row r="821" spans="1:4" x14ac:dyDescent="0.3">
      <c r="A821" s="282" t="s">
        <v>4312</v>
      </c>
      <c r="B821" s="283" t="s">
        <v>3276</v>
      </c>
      <c r="C821" s="283" t="s">
        <v>3277</v>
      </c>
      <c r="D821" s="284" t="s">
        <v>4313</v>
      </c>
    </row>
    <row r="822" spans="1:4" x14ac:dyDescent="0.3">
      <c r="A822" s="282" t="s">
        <v>4314</v>
      </c>
      <c r="B822" s="283" t="s">
        <v>4058</v>
      </c>
      <c r="C822" s="283" t="s">
        <v>3277</v>
      </c>
      <c r="D822" s="284" t="s">
        <v>4315</v>
      </c>
    </row>
    <row r="823" spans="1:4" x14ac:dyDescent="0.3">
      <c r="A823" s="282" t="s">
        <v>4316</v>
      </c>
      <c r="B823" s="283" t="s">
        <v>4070</v>
      </c>
      <c r="C823" s="283" t="s">
        <v>3277</v>
      </c>
      <c r="D823" s="284" t="s">
        <v>4317</v>
      </c>
    </row>
    <row r="824" spans="1:4" x14ac:dyDescent="0.3">
      <c r="A824" s="282" t="s">
        <v>4318</v>
      </c>
      <c r="B824" s="283" t="s">
        <v>4070</v>
      </c>
      <c r="C824" s="283" t="s">
        <v>3277</v>
      </c>
      <c r="D824" s="284" t="s">
        <v>4319</v>
      </c>
    </row>
    <row r="825" spans="1:4" x14ac:dyDescent="0.3">
      <c r="A825" s="282" t="s">
        <v>4320</v>
      </c>
      <c r="B825" s="283"/>
      <c r="C825" s="283" t="s">
        <v>3277</v>
      </c>
      <c r="D825" s="284" t="s">
        <v>4321</v>
      </c>
    </row>
    <row r="826" spans="1:4" x14ac:dyDescent="0.3">
      <c r="A826" s="282" t="s">
        <v>4322</v>
      </c>
      <c r="B826" s="283" t="s">
        <v>4058</v>
      </c>
      <c r="C826" s="283" t="s">
        <v>3277</v>
      </c>
      <c r="D826" s="284" t="s">
        <v>4323</v>
      </c>
    </row>
    <row r="827" spans="1:4" x14ac:dyDescent="0.3">
      <c r="A827" s="282" t="s">
        <v>4324</v>
      </c>
      <c r="B827" s="283" t="s">
        <v>4058</v>
      </c>
      <c r="C827" s="283" t="s">
        <v>3277</v>
      </c>
      <c r="D827" s="284" t="s">
        <v>4325</v>
      </c>
    </row>
    <row r="828" spans="1:4" x14ac:dyDescent="0.3">
      <c r="A828" s="282" t="s">
        <v>4326</v>
      </c>
      <c r="B828" s="283" t="s">
        <v>4058</v>
      </c>
      <c r="C828" s="283" t="s">
        <v>3277</v>
      </c>
      <c r="D828" s="284" t="s">
        <v>4327</v>
      </c>
    </row>
    <row r="829" spans="1:4" x14ac:dyDescent="0.3">
      <c r="A829" s="282" t="s">
        <v>4328</v>
      </c>
      <c r="B829" s="283" t="s">
        <v>4058</v>
      </c>
      <c r="C829" s="283" t="s">
        <v>3277</v>
      </c>
      <c r="D829" s="284" t="s">
        <v>4329</v>
      </c>
    </row>
    <row r="830" spans="1:4" x14ac:dyDescent="0.3">
      <c r="A830" s="282" t="s">
        <v>4330</v>
      </c>
      <c r="B830" s="283" t="s">
        <v>4058</v>
      </c>
      <c r="C830" s="283" t="s">
        <v>3277</v>
      </c>
      <c r="D830" s="284" t="s">
        <v>4331</v>
      </c>
    </row>
    <row r="831" spans="1:4" x14ac:dyDescent="0.3">
      <c r="A831" s="282" t="s">
        <v>4332</v>
      </c>
      <c r="B831" s="283" t="s">
        <v>4058</v>
      </c>
      <c r="C831" s="283" t="s">
        <v>3277</v>
      </c>
      <c r="D831" s="284" t="s">
        <v>4333</v>
      </c>
    </row>
    <row r="832" spans="1:4" x14ac:dyDescent="0.3">
      <c r="A832" s="282" t="s">
        <v>4334</v>
      </c>
      <c r="B832" s="283" t="s">
        <v>4058</v>
      </c>
      <c r="C832" s="283" t="s">
        <v>3277</v>
      </c>
      <c r="D832" s="284" t="s">
        <v>4335</v>
      </c>
    </row>
    <row r="833" spans="1:4" x14ac:dyDescent="0.3">
      <c r="A833" s="282" t="s">
        <v>4336</v>
      </c>
      <c r="B833" s="283" t="s">
        <v>4058</v>
      </c>
      <c r="C833" s="283" t="s">
        <v>3277</v>
      </c>
      <c r="D833" s="284" t="s">
        <v>4337</v>
      </c>
    </row>
    <row r="834" spans="1:4" x14ac:dyDescent="0.3">
      <c r="A834" s="282" t="s">
        <v>4338</v>
      </c>
      <c r="B834" s="283" t="s">
        <v>4058</v>
      </c>
      <c r="C834" s="283" t="s">
        <v>3277</v>
      </c>
      <c r="D834" s="284" t="s">
        <v>4339</v>
      </c>
    </row>
    <row r="835" spans="1:4" x14ac:dyDescent="0.3">
      <c r="A835" s="282" t="s">
        <v>4340</v>
      </c>
      <c r="B835" s="283" t="s">
        <v>4070</v>
      </c>
      <c r="C835" s="283" t="s">
        <v>3277</v>
      </c>
      <c r="D835" s="284" t="s">
        <v>4341</v>
      </c>
    </row>
    <row r="836" spans="1:4" x14ac:dyDescent="0.3">
      <c r="A836" s="282" t="s">
        <v>4342</v>
      </c>
      <c r="B836" s="283" t="s">
        <v>3773</v>
      </c>
      <c r="C836" s="283" t="s">
        <v>3277</v>
      </c>
      <c r="D836" s="284" t="s">
        <v>4343</v>
      </c>
    </row>
    <row r="837" spans="1:4" x14ac:dyDescent="0.3">
      <c r="A837" s="282" t="s">
        <v>4344</v>
      </c>
      <c r="B837" s="283" t="s">
        <v>4162</v>
      </c>
      <c r="C837" s="283" t="s">
        <v>3281</v>
      </c>
      <c r="D837" s="284" t="s">
        <v>4345</v>
      </c>
    </row>
    <row r="838" spans="1:4" x14ac:dyDescent="0.3">
      <c r="A838" s="282" t="s">
        <v>4346</v>
      </c>
      <c r="B838" s="283" t="s">
        <v>4347</v>
      </c>
      <c r="C838" s="283" t="s">
        <v>3281</v>
      </c>
      <c r="D838" s="284" t="s">
        <v>4348</v>
      </c>
    </row>
    <row r="839" spans="1:4" x14ac:dyDescent="0.3">
      <c r="A839" s="282" t="s">
        <v>4349</v>
      </c>
      <c r="B839" s="283" t="s">
        <v>3457</v>
      </c>
      <c r="C839" s="283" t="s">
        <v>3346</v>
      </c>
      <c r="D839" s="284" t="s">
        <v>4350</v>
      </c>
    </row>
    <row r="840" spans="1:4" x14ac:dyDescent="0.3">
      <c r="A840" s="282" t="s">
        <v>4351</v>
      </c>
      <c r="B840" s="283" t="s">
        <v>4347</v>
      </c>
      <c r="C840" s="283" t="s">
        <v>3281</v>
      </c>
      <c r="D840" s="284" t="s">
        <v>4352</v>
      </c>
    </row>
    <row r="841" spans="1:4" x14ac:dyDescent="0.3">
      <c r="A841" s="282" t="s">
        <v>4353</v>
      </c>
      <c r="B841" s="283" t="s">
        <v>4347</v>
      </c>
      <c r="C841" s="283" t="s">
        <v>3281</v>
      </c>
      <c r="D841" s="284" t="s">
        <v>4354</v>
      </c>
    </row>
    <row r="842" spans="1:4" x14ac:dyDescent="0.3">
      <c r="A842" s="282" t="s">
        <v>4355</v>
      </c>
      <c r="B842" s="283" t="s">
        <v>4143</v>
      </c>
      <c r="C842" s="283" t="s">
        <v>3277</v>
      </c>
      <c r="D842" s="284" t="s">
        <v>4356</v>
      </c>
    </row>
    <row r="843" spans="1:4" x14ac:dyDescent="0.3">
      <c r="A843" s="282" t="s">
        <v>4357</v>
      </c>
      <c r="B843" s="283" t="s">
        <v>3395</v>
      </c>
      <c r="C843" s="283" t="s">
        <v>3346</v>
      </c>
      <c r="D843" s="284" t="s">
        <v>4358</v>
      </c>
    </row>
    <row r="844" spans="1:4" x14ac:dyDescent="0.3">
      <c r="A844" s="282" t="s">
        <v>4359</v>
      </c>
      <c r="B844" s="283" t="s">
        <v>4360</v>
      </c>
      <c r="C844" s="283" t="s">
        <v>3281</v>
      </c>
      <c r="D844" s="284" t="s">
        <v>4361</v>
      </c>
    </row>
    <row r="845" spans="1:4" x14ac:dyDescent="0.3">
      <c r="A845" s="282" t="s">
        <v>4362</v>
      </c>
      <c r="B845" s="283" t="s">
        <v>4347</v>
      </c>
      <c r="C845" s="283" t="s">
        <v>3281</v>
      </c>
      <c r="D845" s="284" t="s">
        <v>4363</v>
      </c>
    </row>
    <row r="846" spans="1:4" x14ac:dyDescent="0.3">
      <c r="A846" s="282" t="s">
        <v>4364</v>
      </c>
      <c r="B846" s="283" t="s">
        <v>4347</v>
      </c>
      <c r="C846" s="283" t="s">
        <v>3281</v>
      </c>
      <c r="D846" s="284" t="s">
        <v>4365</v>
      </c>
    </row>
    <row r="847" spans="1:4" x14ac:dyDescent="0.3">
      <c r="A847" s="282" t="s">
        <v>4366</v>
      </c>
      <c r="B847" s="283" t="s">
        <v>4347</v>
      </c>
      <c r="C847" s="283" t="s">
        <v>3281</v>
      </c>
      <c r="D847" s="284" t="s">
        <v>4367</v>
      </c>
    </row>
    <row r="848" spans="1:4" x14ac:dyDescent="0.3">
      <c r="A848" s="282" t="s">
        <v>4368</v>
      </c>
      <c r="B848" s="283" t="s">
        <v>4369</v>
      </c>
      <c r="C848" s="283" t="s">
        <v>3281</v>
      </c>
      <c r="D848" s="284" t="s">
        <v>4370</v>
      </c>
    </row>
    <row r="849" spans="1:4" x14ac:dyDescent="0.3">
      <c r="A849" s="282" t="s">
        <v>4371</v>
      </c>
      <c r="B849" s="283" t="s">
        <v>4347</v>
      </c>
      <c r="C849" s="283" t="s">
        <v>3281</v>
      </c>
      <c r="D849" s="284" t="s">
        <v>4372</v>
      </c>
    </row>
    <row r="850" spans="1:4" x14ac:dyDescent="0.3">
      <c r="A850" s="282" t="s">
        <v>4373</v>
      </c>
      <c r="B850" s="283" t="s">
        <v>4369</v>
      </c>
      <c r="C850" s="283" t="s">
        <v>3281</v>
      </c>
      <c r="D850" s="284" t="s">
        <v>4374</v>
      </c>
    </row>
    <row r="851" spans="1:4" x14ac:dyDescent="0.3">
      <c r="A851" s="282" t="s">
        <v>4375</v>
      </c>
      <c r="B851" s="283" t="s">
        <v>4347</v>
      </c>
      <c r="C851" s="283" t="s">
        <v>3281</v>
      </c>
      <c r="D851" s="284" t="s">
        <v>4376</v>
      </c>
    </row>
    <row r="852" spans="1:4" x14ac:dyDescent="0.3">
      <c r="A852" s="282" t="s">
        <v>4377</v>
      </c>
      <c r="B852" s="283" t="s">
        <v>4378</v>
      </c>
      <c r="C852" s="283" t="s">
        <v>3281</v>
      </c>
      <c r="D852" s="284" t="s">
        <v>4379</v>
      </c>
    </row>
    <row r="853" spans="1:4" x14ac:dyDescent="0.3">
      <c r="A853" s="282" t="s">
        <v>4380</v>
      </c>
      <c r="B853" s="283" t="s">
        <v>4347</v>
      </c>
      <c r="C853" s="283" t="s">
        <v>3281</v>
      </c>
      <c r="D853" s="284" t="s">
        <v>4381</v>
      </c>
    </row>
    <row r="854" spans="1:4" x14ac:dyDescent="0.3">
      <c r="A854" s="282" t="s">
        <v>4382</v>
      </c>
      <c r="B854" s="283" t="s">
        <v>4347</v>
      </c>
      <c r="C854" s="283" t="s">
        <v>3281</v>
      </c>
      <c r="D854" s="284" t="s">
        <v>4383</v>
      </c>
    </row>
    <row r="855" spans="1:4" x14ac:dyDescent="0.3">
      <c r="A855" s="282" t="s">
        <v>4384</v>
      </c>
      <c r="B855" s="283" t="s">
        <v>4385</v>
      </c>
      <c r="C855" s="283" t="s">
        <v>3277</v>
      </c>
      <c r="D855" s="284" t="s">
        <v>4386</v>
      </c>
    </row>
    <row r="856" spans="1:4" x14ac:dyDescent="0.3">
      <c r="A856" s="282" t="s">
        <v>4387</v>
      </c>
      <c r="B856" s="283" t="s">
        <v>4385</v>
      </c>
      <c r="C856" s="283" t="s">
        <v>3277</v>
      </c>
      <c r="D856" s="284" t="s">
        <v>4388</v>
      </c>
    </row>
    <row r="857" spans="1:4" x14ac:dyDescent="0.3">
      <c r="A857" s="282" t="s">
        <v>4389</v>
      </c>
      <c r="B857" s="283" t="s">
        <v>4390</v>
      </c>
      <c r="C857" s="283" t="s">
        <v>3281</v>
      </c>
      <c r="D857" s="284" t="s">
        <v>4391</v>
      </c>
    </row>
    <row r="858" spans="1:4" x14ac:dyDescent="0.3">
      <c r="A858" s="282" t="s">
        <v>4392</v>
      </c>
      <c r="B858" s="283" t="s">
        <v>4347</v>
      </c>
      <c r="C858" s="283" t="s">
        <v>3281</v>
      </c>
      <c r="D858" s="284" t="s">
        <v>4393</v>
      </c>
    </row>
    <row r="859" spans="1:4" x14ac:dyDescent="0.3">
      <c r="A859" s="282" t="s">
        <v>4394</v>
      </c>
      <c r="B859" s="283" t="s">
        <v>3192</v>
      </c>
      <c r="C859" s="283" t="s">
        <v>3183</v>
      </c>
      <c r="D859" s="284" t="s">
        <v>4395</v>
      </c>
    </row>
    <row r="860" spans="1:4" x14ac:dyDescent="0.3">
      <c r="A860" s="282" t="s">
        <v>4396</v>
      </c>
      <c r="B860" s="283" t="s">
        <v>4347</v>
      </c>
      <c r="C860" s="283" t="s">
        <v>3281</v>
      </c>
      <c r="D860" s="284" t="s">
        <v>4397</v>
      </c>
    </row>
    <row r="861" spans="1:4" x14ac:dyDescent="0.3">
      <c r="A861" s="282" t="s">
        <v>4398</v>
      </c>
      <c r="B861" s="283" t="s">
        <v>4347</v>
      </c>
      <c r="C861" s="283" t="s">
        <v>3281</v>
      </c>
      <c r="D861" s="284" t="s">
        <v>4399</v>
      </c>
    </row>
    <row r="862" spans="1:4" x14ac:dyDescent="0.3">
      <c r="A862" s="282" t="s">
        <v>4400</v>
      </c>
      <c r="B862" s="283" t="s">
        <v>3280</v>
      </c>
      <c r="C862" s="283" t="s">
        <v>3281</v>
      </c>
      <c r="D862" s="284" t="s">
        <v>4401</v>
      </c>
    </row>
    <row r="863" spans="1:4" x14ac:dyDescent="0.3">
      <c r="A863" s="282" t="s">
        <v>4402</v>
      </c>
      <c r="B863" s="283" t="s">
        <v>4403</v>
      </c>
      <c r="C863" s="283" t="s">
        <v>3906</v>
      </c>
      <c r="D863" s="284" t="s">
        <v>4404</v>
      </c>
    </row>
    <row r="864" spans="1:4" x14ac:dyDescent="0.3">
      <c r="A864" s="282" t="s">
        <v>4405</v>
      </c>
      <c r="B864" s="283" t="s">
        <v>4403</v>
      </c>
      <c r="C864" s="283" t="s">
        <v>3906</v>
      </c>
      <c r="D864" s="284" t="s">
        <v>4406</v>
      </c>
    </row>
    <row r="865" spans="1:4" x14ac:dyDescent="0.3">
      <c r="A865" s="282" t="s">
        <v>4407</v>
      </c>
      <c r="B865" s="283" t="s">
        <v>4408</v>
      </c>
      <c r="C865" s="283" t="s">
        <v>3281</v>
      </c>
      <c r="D865" s="284" t="s">
        <v>4409</v>
      </c>
    </row>
    <row r="866" spans="1:4" x14ac:dyDescent="0.3">
      <c r="A866" s="282" t="s">
        <v>4410</v>
      </c>
      <c r="B866" s="283" t="s">
        <v>3905</v>
      </c>
      <c r="C866" s="283" t="s">
        <v>3906</v>
      </c>
      <c r="D866" s="284" t="s">
        <v>4411</v>
      </c>
    </row>
    <row r="867" spans="1:4" x14ac:dyDescent="0.3">
      <c r="A867" s="282" t="s">
        <v>4412</v>
      </c>
      <c r="B867" s="283" t="s">
        <v>3218</v>
      </c>
      <c r="C867" s="283" t="s">
        <v>3183</v>
      </c>
      <c r="D867" s="284" t="s">
        <v>4413</v>
      </c>
    </row>
    <row r="868" spans="1:4" x14ac:dyDescent="0.3">
      <c r="A868" s="282" t="s">
        <v>4414</v>
      </c>
      <c r="B868" s="283" t="s">
        <v>4385</v>
      </c>
      <c r="C868" s="283" t="s">
        <v>3277</v>
      </c>
      <c r="D868" s="284" t="s">
        <v>4415</v>
      </c>
    </row>
    <row r="869" spans="1:4" x14ac:dyDescent="0.3">
      <c r="A869" s="282" t="s">
        <v>4416</v>
      </c>
      <c r="B869" s="283" t="s">
        <v>4385</v>
      </c>
      <c r="C869" s="283" t="s">
        <v>3277</v>
      </c>
      <c r="D869" s="284" t="s">
        <v>4417</v>
      </c>
    </row>
    <row r="870" spans="1:4" x14ac:dyDescent="0.3">
      <c r="A870" s="282" t="s">
        <v>4418</v>
      </c>
      <c r="B870" s="283" t="s">
        <v>4143</v>
      </c>
      <c r="C870" s="283" t="s">
        <v>3277</v>
      </c>
      <c r="D870" s="284" t="s">
        <v>4419</v>
      </c>
    </row>
    <row r="871" spans="1:4" x14ac:dyDescent="0.3">
      <c r="A871" s="282" t="s">
        <v>4420</v>
      </c>
      <c r="B871" s="283" t="s">
        <v>4369</v>
      </c>
      <c r="C871" s="283" t="s">
        <v>3281</v>
      </c>
      <c r="D871" s="284" t="s">
        <v>4421</v>
      </c>
    </row>
    <row r="872" spans="1:4" x14ac:dyDescent="0.3">
      <c r="A872" s="282" t="s">
        <v>4422</v>
      </c>
      <c r="B872" s="283" t="s">
        <v>4369</v>
      </c>
      <c r="C872" s="283" t="s">
        <v>3281</v>
      </c>
      <c r="D872" s="284" t="s">
        <v>4423</v>
      </c>
    </row>
    <row r="873" spans="1:4" x14ac:dyDescent="0.3">
      <c r="A873" s="282" t="s">
        <v>4424</v>
      </c>
      <c r="B873" s="283" t="s">
        <v>4347</v>
      </c>
      <c r="C873" s="283" t="s">
        <v>3281</v>
      </c>
      <c r="D873" s="284" t="s">
        <v>4425</v>
      </c>
    </row>
    <row r="874" spans="1:4" x14ac:dyDescent="0.3">
      <c r="A874" s="282" t="s">
        <v>4426</v>
      </c>
      <c r="B874" s="283" t="s">
        <v>4347</v>
      </c>
      <c r="C874" s="283" t="s">
        <v>3281</v>
      </c>
      <c r="D874" s="284" t="s">
        <v>4427</v>
      </c>
    </row>
    <row r="875" spans="1:4" x14ac:dyDescent="0.3">
      <c r="A875" s="282" t="s">
        <v>4428</v>
      </c>
      <c r="B875" s="283" t="s">
        <v>4347</v>
      </c>
      <c r="C875" s="283" t="s">
        <v>3281</v>
      </c>
      <c r="D875" s="284" t="s">
        <v>4429</v>
      </c>
    </row>
    <row r="876" spans="1:4" x14ac:dyDescent="0.3">
      <c r="A876" s="282" t="s">
        <v>4430</v>
      </c>
      <c r="B876" s="283" t="s">
        <v>4431</v>
      </c>
      <c r="C876" s="283" t="s">
        <v>3281</v>
      </c>
      <c r="D876" s="284" t="s">
        <v>4432</v>
      </c>
    </row>
    <row r="877" spans="1:4" x14ac:dyDescent="0.3">
      <c r="A877" s="282" t="s">
        <v>4433</v>
      </c>
      <c r="B877" s="283" t="s">
        <v>4434</v>
      </c>
      <c r="C877" s="283" t="s">
        <v>3281</v>
      </c>
      <c r="D877" s="284" t="s">
        <v>4435</v>
      </c>
    </row>
    <row r="878" spans="1:4" x14ac:dyDescent="0.3">
      <c r="A878" s="282" t="s">
        <v>4436</v>
      </c>
      <c r="B878" s="283" t="s">
        <v>4434</v>
      </c>
      <c r="C878" s="283" t="s">
        <v>3281</v>
      </c>
      <c r="D878" s="284" t="s">
        <v>4437</v>
      </c>
    </row>
    <row r="879" spans="1:4" x14ac:dyDescent="0.3">
      <c r="A879" s="282" t="s">
        <v>4438</v>
      </c>
      <c r="B879" s="283" t="s">
        <v>4378</v>
      </c>
      <c r="C879" s="283" t="s">
        <v>3281</v>
      </c>
      <c r="D879" s="284" t="s">
        <v>4439</v>
      </c>
    </row>
    <row r="880" spans="1:4" x14ac:dyDescent="0.3">
      <c r="A880" s="282" t="s">
        <v>4440</v>
      </c>
      <c r="B880" s="283" t="s">
        <v>4369</v>
      </c>
      <c r="C880" s="283" t="s">
        <v>3281</v>
      </c>
      <c r="D880" s="284" t="s">
        <v>4441</v>
      </c>
    </row>
    <row r="881" spans="1:4" x14ac:dyDescent="0.3">
      <c r="A881" s="282" t="s">
        <v>4442</v>
      </c>
      <c r="B881" s="283" t="s">
        <v>4369</v>
      </c>
      <c r="C881" s="283" t="s">
        <v>3281</v>
      </c>
      <c r="D881" s="284" t="s">
        <v>4443</v>
      </c>
    </row>
    <row r="882" spans="1:4" x14ac:dyDescent="0.3">
      <c r="A882" s="282" t="s">
        <v>4444</v>
      </c>
      <c r="B882" s="283" t="s">
        <v>4347</v>
      </c>
      <c r="C882" s="283" t="s">
        <v>3281</v>
      </c>
      <c r="D882" s="284" t="s">
        <v>4445</v>
      </c>
    </row>
    <row r="883" spans="1:4" x14ac:dyDescent="0.3">
      <c r="A883" s="282" t="s">
        <v>4446</v>
      </c>
      <c r="B883" s="283" t="s">
        <v>4369</v>
      </c>
      <c r="C883" s="283" t="s">
        <v>3281</v>
      </c>
      <c r="D883" s="284" t="s">
        <v>4447</v>
      </c>
    </row>
    <row r="884" spans="1:4" x14ac:dyDescent="0.3">
      <c r="A884" s="282" t="s">
        <v>4448</v>
      </c>
      <c r="B884" s="283" t="s">
        <v>4369</v>
      </c>
      <c r="C884" s="283" t="s">
        <v>3281</v>
      </c>
      <c r="D884" s="284" t="s">
        <v>4449</v>
      </c>
    </row>
    <row r="885" spans="1:4" x14ac:dyDescent="0.3">
      <c r="A885" s="282" t="s">
        <v>4450</v>
      </c>
      <c r="B885" s="283" t="s">
        <v>4408</v>
      </c>
      <c r="C885" s="283" t="s">
        <v>3281</v>
      </c>
      <c r="D885" s="284" t="s">
        <v>4451</v>
      </c>
    </row>
    <row r="886" spans="1:4" x14ac:dyDescent="0.3">
      <c r="A886" s="282" t="s">
        <v>4452</v>
      </c>
      <c r="B886" s="283" t="s">
        <v>4347</v>
      </c>
      <c r="C886" s="283" t="s">
        <v>3281</v>
      </c>
      <c r="D886" s="284" t="s">
        <v>4453</v>
      </c>
    </row>
    <row r="887" spans="1:4" x14ac:dyDescent="0.3">
      <c r="A887" s="282" t="s">
        <v>4454</v>
      </c>
      <c r="B887" s="283" t="s">
        <v>4369</v>
      </c>
      <c r="C887" s="283" t="s">
        <v>3281</v>
      </c>
      <c r="D887" s="284" t="s">
        <v>4455</v>
      </c>
    </row>
    <row r="888" spans="1:4" x14ac:dyDescent="0.3">
      <c r="A888" s="282" t="s">
        <v>4456</v>
      </c>
      <c r="B888" s="283" t="s">
        <v>4347</v>
      </c>
      <c r="C888" s="283" t="s">
        <v>3281</v>
      </c>
      <c r="D888" s="284" t="s">
        <v>4457</v>
      </c>
    </row>
    <row r="889" spans="1:4" x14ac:dyDescent="0.3">
      <c r="A889" s="282" t="s">
        <v>4458</v>
      </c>
      <c r="B889" s="283" t="s">
        <v>4369</v>
      </c>
      <c r="C889" s="283" t="s">
        <v>3281</v>
      </c>
      <c r="D889" s="284" t="s">
        <v>4459</v>
      </c>
    </row>
    <row r="890" spans="1:4" x14ac:dyDescent="0.3">
      <c r="A890" s="282" t="s">
        <v>4460</v>
      </c>
      <c r="B890" s="283" t="s">
        <v>4347</v>
      </c>
      <c r="C890" s="283" t="s">
        <v>3281</v>
      </c>
      <c r="D890" s="284" t="s">
        <v>4461</v>
      </c>
    </row>
    <row r="891" spans="1:4" x14ac:dyDescent="0.3">
      <c r="A891" s="282" t="s">
        <v>4462</v>
      </c>
      <c r="B891" s="283" t="s">
        <v>4347</v>
      </c>
      <c r="C891" s="283" t="s">
        <v>3281</v>
      </c>
      <c r="D891" s="284" t="s">
        <v>4463</v>
      </c>
    </row>
    <row r="892" spans="1:4" x14ac:dyDescent="0.3">
      <c r="A892" s="282" t="s">
        <v>4464</v>
      </c>
      <c r="B892" s="283" t="s">
        <v>4347</v>
      </c>
      <c r="C892" s="283" t="s">
        <v>3281</v>
      </c>
      <c r="D892" s="284" t="s">
        <v>4465</v>
      </c>
    </row>
    <row r="893" spans="1:4" x14ac:dyDescent="0.3">
      <c r="A893" s="282" t="s">
        <v>4466</v>
      </c>
      <c r="B893" s="283" t="s">
        <v>4347</v>
      </c>
      <c r="C893" s="283" t="s">
        <v>3281</v>
      </c>
      <c r="D893" s="284" t="s">
        <v>4467</v>
      </c>
    </row>
    <row r="894" spans="1:4" x14ac:dyDescent="0.3">
      <c r="A894" s="282" t="s">
        <v>4468</v>
      </c>
      <c r="B894" s="283" t="s">
        <v>4390</v>
      </c>
      <c r="C894" s="283" t="s">
        <v>3281</v>
      </c>
      <c r="D894" s="284" t="s">
        <v>4469</v>
      </c>
    </row>
    <row r="895" spans="1:4" x14ac:dyDescent="0.3">
      <c r="A895" s="282" t="s">
        <v>4470</v>
      </c>
      <c r="B895" s="283" t="s">
        <v>4347</v>
      </c>
      <c r="C895" s="283" t="s">
        <v>3281</v>
      </c>
      <c r="D895" s="284" t="s">
        <v>4471</v>
      </c>
    </row>
    <row r="896" spans="1:4" x14ac:dyDescent="0.3">
      <c r="A896" s="282" t="s">
        <v>4472</v>
      </c>
      <c r="B896" s="283" t="s">
        <v>4162</v>
      </c>
      <c r="C896" s="283" t="s">
        <v>3281</v>
      </c>
      <c r="D896" s="284" t="s">
        <v>4473</v>
      </c>
    </row>
    <row r="897" spans="1:4" x14ac:dyDescent="0.3">
      <c r="A897" s="282" t="s">
        <v>4474</v>
      </c>
      <c r="B897" s="283" t="s">
        <v>4347</v>
      </c>
      <c r="C897" s="283" t="s">
        <v>3281</v>
      </c>
      <c r="D897" s="284" t="s">
        <v>4475</v>
      </c>
    </row>
    <row r="898" spans="1:4" x14ac:dyDescent="0.3">
      <c r="A898" s="282" t="s">
        <v>4476</v>
      </c>
      <c r="B898" s="283" t="s">
        <v>4369</v>
      </c>
      <c r="C898" s="283" t="s">
        <v>3281</v>
      </c>
      <c r="D898" s="284" t="s">
        <v>4477</v>
      </c>
    </row>
    <row r="899" spans="1:4" x14ac:dyDescent="0.3">
      <c r="A899" s="282" t="s">
        <v>4478</v>
      </c>
      <c r="B899" s="283" t="s">
        <v>4347</v>
      </c>
      <c r="C899" s="283" t="s">
        <v>3281</v>
      </c>
      <c r="D899" s="284" t="s">
        <v>4479</v>
      </c>
    </row>
    <row r="900" spans="1:4" x14ac:dyDescent="0.3">
      <c r="A900" s="282" t="s">
        <v>4480</v>
      </c>
      <c r="B900" s="283" t="s">
        <v>4347</v>
      </c>
      <c r="C900" s="283" t="s">
        <v>3281</v>
      </c>
      <c r="D900" s="284" t="s">
        <v>4481</v>
      </c>
    </row>
    <row r="901" spans="1:4" x14ac:dyDescent="0.3">
      <c r="A901" s="282" t="s">
        <v>4482</v>
      </c>
      <c r="B901" s="283" t="s">
        <v>4369</v>
      </c>
      <c r="C901" s="283" t="s">
        <v>3281</v>
      </c>
      <c r="D901" s="284" t="s">
        <v>4443</v>
      </c>
    </row>
    <row r="902" spans="1:4" x14ac:dyDescent="0.3">
      <c r="A902" s="282" t="s">
        <v>4483</v>
      </c>
      <c r="B902" s="283" t="s">
        <v>3280</v>
      </c>
      <c r="C902" s="283" t="s">
        <v>3281</v>
      </c>
      <c r="D902" s="284" t="s">
        <v>4484</v>
      </c>
    </row>
    <row r="903" spans="1:4" x14ac:dyDescent="0.3">
      <c r="A903" s="282" t="s">
        <v>4485</v>
      </c>
      <c r="B903" s="283" t="s">
        <v>4347</v>
      </c>
      <c r="C903" s="283" t="s">
        <v>3281</v>
      </c>
      <c r="D903" s="284" t="s">
        <v>4486</v>
      </c>
    </row>
    <row r="904" spans="1:4" x14ac:dyDescent="0.3">
      <c r="A904" s="282" t="s">
        <v>4487</v>
      </c>
      <c r="B904" s="283" t="s">
        <v>4347</v>
      </c>
      <c r="C904" s="283" t="s">
        <v>3281</v>
      </c>
      <c r="D904" s="284" t="s">
        <v>4488</v>
      </c>
    </row>
    <row r="905" spans="1:4" x14ac:dyDescent="0.3">
      <c r="A905" s="282" t="s">
        <v>4489</v>
      </c>
      <c r="B905" s="283" t="s">
        <v>4347</v>
      </c>
      <c r="C905" s="283" t="s">
        <v>3281</v>
      </c>
      <c r="D905" s="284" t="s">
        <v>1139</v>
      </c>
    </row>
    <row r="906" spans="1:4" x14ac:dyDescent="0.3">
      <c r="A906" s="282" t="s">
        <v>4490</v>
      </c>
      <c r="B906" s="283" t="s">
        <v>3280</v>
      </c>
      <c r="C906" s="283" t="s">
        <v>3281</v>
      </c>
      <c r="D906" s="284" t="s">
        <v>4491</v>
      </c>
    </row>
    <row r="907" spans="1:4" x14ac:dyDescent="0.3">
      <c r="A907" s="282" t="s">
        <v>4490</v>
      </c>
      <c r="B907" s="283" t="s">
        <v>3280</v>
      </c>
      <c r="C907" s="283" t="s">
        <v>3281</v>
      </c>
      <c r="D907" s="284" t="s">
        <v>4492</v>
      </c>
    </row>
    <row r="908" spans="1:4" x14ac:dyDescent="0.3">
      <c r="A908" s="282" t="s">
        <v>4490</v>
      </c>
      <c r="B908" s="283" t="s">
        <v>4378</v>
      </c>
      <c r="C908" s="283" t="s">
        <v>3281</v>
      </c>
      <c r="D908" s="284" t="s">
        <v>4493</v>
      </c>
    </row>
    <row r="909" spans="1:4" x14ac:dyDescent="0.3">
      <c r="A909" s="282" t="s">
        <v>4494</v>
      </c>
      <c r="B909" s="283" t="s">
        <v>4347</v>
      </c>
      <c r="C909" s="283" t="s">
        <v>3281</v>
      </c>
      <c r="D909" s="284" t="s">
        <v>4495</v>
      </c>
    </row>
    <row r="910" spans="1:4" x14ac:dyDescent="0.3">
      <c r="A910" s="282" t="s">
        <v>4496</v>
      </c>
      <c r="B910" s="283" t="s">
        <v>4347</v>
      </c>
      <c r="C910" s="283" t="s">
        <v>3281</v>
      </c>
      <c r="D910" s="284" t="s">
        <v>4497</v>
      </c>
    </row>
    <row r="911" spans="1:4" x14ac:dyDescent="0.3">
      <c r="A911" s="282" t="s">
        <v>4498</v>
      </c>
      <c r="B911" s="283" t="s">
        <v>4347</v>
      </c>
      <c r="C911" s="283" t="s">
        <v>3281</v>
      </c>
      <c r="D911" s="284" t="s">
        <v>4499</v>
      </c>
    </row>
    <row r="912" spans="1:4" x14ac:dyDescent="0.3">
      <c r="A912" s="282" t="s">
        <v>4500</v>
      </c>
      <c r="B912" s="283" t="s">
        <v>4347</v>
      </c>
      <c r="C912" s="283" t="s">
        <v>3281</v>
      </c>
      <c r="D912" s="284" t="s">
        <v>4501</v>
      </c>
    </row>
    <row r="913" spans="1:4" x14ac:dyDescent="0.3">
      <c r="A913" s="282" t="s">
        <v>4502</v>
      </c>
      <c r="B913" s="283" t="s">
        <v>4503</v>
      </c>
      <c r="C913" s="283" t="s">
        <v>3281</v>
      </c>
      <c r="D913" s="284" t="s">
        <v>4504</v>
      </c>
    </row>
    <row r="914" spans="1:4" x14ac:dyDescent="0.3">
      <c r="A914" s="282" t="s">
        <v>4502</v>
      </c>
      <c r="B914" s="283" t="s">
        <v>4347</v>
      </c>
      <c r="C914" s="283" t="s">
        <v>3281</v>
      </c>
      <c r="D914" s="284" t="s">
        <v>4505</v>
      </c>
    </row>
    <row r="915" spans="1:4" x14ac:dyDescent="0.3">
      <c r="A915" s="282" t="s">
        <v>4506</v>
      </c>
      <c r="B915" s="283" t="s">
        <v>2708</v>
      </c>
      <c r="C915" s="283" t="s">
        <v>3281</v>
      </c>
      <c r="D915" s="284" t="s">
        <v>4507</v>
      </c>
    </row>
    <row r="916" spans="1:4" x14ac:dyDescent="0.3">
      <c r="A916" s="282" t="s">
        <v>4508</v>
      </c>
      <c r="B916" s="283" t="s">
        <v>4369</v>
      </c>
      <c r="C916" s="283" t="s">
        <v>3281</v>
      </c>
      <c r="D916" s="284" t="s">
        <v>4509</v>
      </c>
    </row>
    <row r="917" spans="1:4" x14ac:dyDescent="0.3">
      <c r="A917" s="282" t="s">
        <v>4510</v>
      </c>
      <c r="B917" s="283" t="s">
        <v>4369</v>
      </c>
      <c r="C917" s="283" t="s">
        <v>3281</v>
      </c>
      <c r="D917" s="284" t="s">
        <v>4511</v>
      </c>
    </row>
    <row r="918" spans="1:4" x14ac:dyDescent="0.3">
      <c r="A918" s="282" t="s">
        <v>4512</v>
      </c>
      <c r="B918" s="283" t="s">
        <v>4369</v>
      </c>
      <c r="C918" s="283" t="s">
        <v>3281</v>
      </c>
      <c r="D918" s="284" t="s">
        <v>4513</v>
      </c>
    </row>
    <row r="919" spans="1:4" x14ac:dyDescent="0.3">
      <c r="A919" s="282" t="s">
        <v>4514</v>
      </c>
      <c r="B919" s="283" t="s">
        <v>4515</v>
      </c>
      <c r="C919" s="283" t="s">
        <v>3281</v>
      </c>
      <c r="D919" s="284" t="s">
        <v>4516</v>
      </c>
    </row>
    <row r="920" spans="1:4" x14ac:dyDescent="0.3">
      <c r="A920" s="282" t="s">
        <v>4517</v>
      </c>
      <c r="B920" s="283" t="s">
        <v>4347</v>
      </c>
      <c r="C920" s="283" t="s">
        <v>3281</v>
      </c>
      <c r="D920" s="284" t="s">
        <v>4518</v>
      </c>
    </row>
    <row r="921" spans="1:4" x14ac:dyDescent="0.3">
      <c r="A921" s="282" t="s">
        <v>4519</v>
      </c>
      <c r="B921" s="283" t="s">
        <v>4369</v>
      </c>
      <c r="C921" s="283" t="s">
        <v>3281</v>
      </c>
      <c r="D921" s="284" t="s">
        <v>4421</v>
      </c>
    </row>
    <row r="922" spans="1:4" x14ac:dyDescent="0.3">
      <c r="A922" s="282" t="s">
        <v>4520</v>
      </c>
      <c r="B922" s="283" t="s">
        <v>4347</v>
      </c>
      <c r="C922" s="283" t="s">
        <v>3281</v>
      </c>
      <c r="D922" s="284" t="s">
        <v>4521</v>
      </c>
    </row>
    <row r="923" spans="1:4" x14ac:dyDescent="0.3">
      <c r="A923" s="282" t="s">
        <v>4522</v>
      </c>
      <c r="B923" s="283" t="s">
        <v>4347</v>
      </c>
      <c r="C923" s="283" t="s">
        <v>3281</v>
      </c>
      <c r="D923" s="284" t="s">
        <v>4523</v>
      </c>
    </row>
    <row r="924" spans="1:4" x14ac:dyDescent="0.3">
      <c r="A924" s="282" t="s">
        <v>4524</v>
      </c>
      <c r="B924" s="283" t="s">
        <v>4347</v>
      </c>
      <c r="C924" s="283" t="s">
        <v>3281</v>
      </c>
      <c r="D924" s="284" t="s">
        <v>4525</v>
      </c>
    </row>
    <row r="925" spans="1:4" x14ac:dyDescent="0.3">
      <c r="A925" s="282" t="s">
        <v>4526</v>
      </c>
      <c r="B925" s="283" t="s">
        <v>4369</v>
      </c>
      <c r="C925" s="283" t="s">
        <v>3281</v>
      </c>
      <c r="D925" s="284" t="s">
        <v>4527</v>
      </c>
    </row>
    <row r="926" spans="1:4" x14ac:dyDescent="0.3">
      <c r="A926" s="282" t="s">
        <v>4528</v>
      </c>
      <c r="B926" s="283" t="s">
        <v>4143</v>
      </c>
      <c r="C926" s="283" t="s">
        <v>3277</v>
      </c>
      <c r="D926" s="284" t="s">
        <v>4529</v>
      </c>
    </row>
    <row r="927" spans="1:4" x14ac:dyDescent="0.3">
      <c r="A927" s="282" t="s">
        <v>4530</v>
      </c>
      <c r="B927" s="283" t="s">
        <v>4531</v>
      </c>
      <c r="C927" s="283" t="s">
        <v>3281</v>
      </c>
      <c r="D927" s="284" t="s">
        <v>4532</v>
      </c>
    </row>
    <row r="928" spans="1:4" x14ac:dyDescent="0.3">
      <c r="A928" s="282" t="s">
        <v>4533</v>
      </c>
      <c r="B928" s="283" t="s">
        <v>4378</v>
      </c>
      <c r="C928" s="283" t="s">
        <v>3281</v>
      </c>
      <c r="D928" s="284" t="s">
        <v>4534</v>
      </c>
    </row>
    <row r="929" spans="1:4" x14ac:dyDescent="0.3">
      <c r="A929" s="282" t="s">
        <v>4535</v>
      </c>
      <c r="B929" s="283" t="s">
        <v>4058</v>
      </c>
      <c r="C929" s="283" t="s">
        <v>3277</v>
      </c>
      <c r="D929" s="284" t="s">
        <v>4536</v>
      </c>
    </row>
    <row r="930" spans="1:4" x14ac:dyDescent="0.3">
      <c r="A930" s="282" t="s">
        <v>4537</v>
      </c>
      <c r="B930" s="283" t="s">
        <v>4347</v>
      </c>
      <c r="C930" s="283" t="s">
        <v>3281</v>
      </c>
      <c r="D930" s="284" t="s">
        <v>4538</v>
      </c>
    </row>
    <row r="931" spans="1:4" x14ac:dyDescent="0.3">
      <c r="A931" s="282" t="s">
        <v>4539</v>
      </c>
      <c r="B931" s="283" t="s">
        <v>4347</v>
      </c>
      <c r="C931" s="283" t="s">
        <v>3281</v>
      </c>
      <c r="D931" s="284" t="s">
        <v>4540</v>
      </c>
    </row>
    <row r="932" spans="1:4" x14ac:dyDescent="0.3">
      <c r="A932" s="282" t="s">
        <v>4541</v>
      </c>
      <c r="B932" s="283" t="s">
        <v>3395</v>
      </c>
      <c r="C932" s="283" t="s">
        <v>3346</v>
      </c>
      <c r="D932" s="284" t="s">
        <v>4542</v>
      </c>
    </row>
    <row r="933" spans="1:4" x14ac:dyDescent="0.3">
      <c r="A933" s="282" t="s">
        <v>4543</v>
      </c>
      <c r="B933" s="283" t="s">
        <v>4408</v>
      </c>
      <c r="C933" s="283" t="s">
        <v>3281</v>
      </c>
      <c r="D933" s="284" t="s">
        <v>4544</v>
      </c>
    </row>
    <row r="934" spans="1:4" x14ac:dyDescent="0.3">
      <c r="A934" s="282" t="s">
        <v>4545</v>
      </c>
      <c r="B934" s="283" t="s">
        <v>4369</v>
      </c>
      <c r="C934" s="283" t="s">
        <v>3281</v>
      </c>
      <c r="D934" s="284" t="s">
        <v>4546</v>
      </c>
    </row>
    <row r="935" spans="1:4" x14ac:dyDescent="0.3">
      <c r="A935" s="282" t="s">
        <v>4547</v>
      </c>
      <c r="B935" s="283" t="s">
        <v>4369</v>
      </c>
      <c r="C935" s="283" t="s">
        <v>3281</v>
      </c>
      <c r="D935" s="284" t="s">
        <v>4548</v>
      </c>
    </row>
    <row r="936" spans="1:4" x14ac:dyDescent="0.3">
      <c r="A936" s="282" t="s">
        <v>4549</v>
      </c>
      <c r="B936" s="283" t="s">
        <v>4347</v>
      </c>
      <c r="C936" s="283" t="s">
        <v>3281</v>
      </c>
      <c r="D936" s="284" t="s">
        <v>4550</v>
      </c>
    </row>
    <row r="937" spans="1:4" x14ac:dyDescent="0.3">
      <c r="A937" s="282" t="s">
        <v>4551</v>
      </c>
      <c r="B937" s="283" t="s">
        <v>4347</v>
      </c>
      <c r="C937" s="283" t="s">
        <v>3281</v>
      </c>
      <c r="D937" s="284" t="s">
        <v>4552</v>
      </c>
    </row>
    <row r="938" spans="1:4" x14ac:dyDescent="0.3">
      <c r="A938" s="282" t="s">
        <v>4553</v>
      </c>
      <c r="B938" s="283" t="s">
        <v>4347</v>
      </c>
      <c r="C938" s="283" t="s">
        <v>3281</v>
      </c>
      <c r="D938" s="284" t="s">
        <v>4554</v>
      </c>
    </row>
    <row r="939" spans="1:4" x14ac:dyDescent="0.3">
      <c r="A939" s="282" t="s">
        <v>4555</v>
      </c>
      <c r="B939" s="283" t="s">
        <v>4347</v>
      </c>
      <c r="C939" s="283" t="s">
        <v>3281</v>
      </c>
      <c r="D939" s="284" t="s">
        <v>4556</v>
      </c>
    </row>
    <row r="940" spans="1:4" x14ac:dyDescent="0.3">
      <c r="A940" s="282" t="s">
        <v>4557</v>
      </c>
      <c r="B940" s="283" t="s">
        <v>4503</v>
      </c>
      <c r="C940" s="283" t="s">
        <v>3281</v>
      </c>
      <c r="D940" s="284" t="s">
        <v>4558</v>
      </c>
    </row>
    <row r="941" spans="1:4" x14ac:dyDescent="0.3">
      <c r="A941" s="282" t="s">
        <v>4557</v>
      </c>
      <c r="B941" s="283" t="s">
        <v>4347</v>
      </c>
      <c r="C941" s="283" t="s">
        <v>3281</v>
      </c>
      <c r="D941" s="284" t="s">
        <v>4559</v>
      </c>
    </row>
    <row r="942" spans="1:4" x14ac:dyDescent="0.3">
      <c r="A942" s="282" t="s">
        <v>4560</v>
      </c>
      <c r="B942" s="283" t="s">
        <v>4369</v>
      </c>
      <c r="C942" s="283" t="s">
        <v>3281</v>
      </c>
      <c r="D942" s="284" t="s">
        <v>4561</v>
      </c>
    </row>
    <row r="943" spans="1:4" x14ac:dyDescent="0.3">
      <c r="A943" s="282" t="s">
        <v>4562</v>
      </c>
      <c r="B943" s="283" t="s">
        <v>4431</v>
      </c>
      <c r="C943" s="283" t="s">
        <v>3281</v>
      </c>
      <c r="D943" s="284" t="s">
        <v>4563</v>
      </c>
    </row>
    <row r="944" spans="1:4" x14ac:dyDescent="0.3">
      <c r="A944" s="282" t="s">
        <v>4564</v>
      </c>
      <c r="B944" s="283" t="s">
        <v>4431</v>
      </c>
      <c r="C944" s="283" t="s">
        <v>3281</v>
      </c>
      <c r="D944" s="284" t="s">
        <v>4565</v>
      </c>
    </row>
    <row r="945" spans="1:4" x14ac:dyDescent="0.3">
      <c r="A945" s="282" t="s">
        <v>4566</v>
      </c>
      <c r="B945" s="283" t="s">
        <v>4347</v>
      </c>
      <c r="C945" s="283" t="s">
        <v>3281</v>
      </c>
      <c r="D945" s="284" t="s">
        <v>4567</v>
      </c>
    </row>
    <row r="946" spans="1:4" x14ac:dyDescent="0.3">
      <c r="A946" s="282" t="s">
        <v>4568</v>
      </c>
      <c r="B946" s="283" t="s">
        <v>4569</v>
      </c>
      <c r="C946" s="283" t="s">
        <v>3281</v>
      </c>
      <c r="D946" s="284" t="s">
        <v>4570</v>
      </c>
    </row>
    <row r="947" spans="1:4" x14ac:dyDescent="0.3">
      <c r="A947" s="282" t="s">
        <v>4571</v>
      </c>
      <c r="B947" s="283" t="s">
        <v>4347</v>
      </c>
      <c r="C947" s="283" t="s">
        <v>3281</v>
      </c>
      <c r="D947" s="284" t="s">
        <v>4572</v>
      </c>
    </row>
    <row r="948" spans="1:4" x14ac:dyDescent="0.3">
      <c r="A948" s="282" t="s">
        <v>4573</v>
      </c>
      <c r="B948" s="283" t="s">
        <v>4347</v>
      </c>
      <c r="C948" s="283" t="s">
        <v>3281</v>
      </c>
      <c r="D948" s="284" t="s">
        <v>4574</v>
      </c>
    </row>
    <row r="949" spans="1:4" x14ac:dyDescent="0.3">
      <c r="A949" s="282" t="s">
        <v>4575</v>
      </c>
      <c r="B949" s="283" t="s">
        <v>4431</v>
      </c>
      <c r="C949" s="283" t="s">
        <v>3281</v>
      </c>
      <c r="D949" s="284" t="s">
        <v>4546</v>
      </c>
    </row>
    <row r="950" spans="1:4" x14ac:dyDescent="0.3">
      <c r="A950" s="282" t="s">
        <v>4576</v>
      </c>
      <c r="B950" s="283" t="s">
        <v>4347</v>
      </c>
      <c r="C950" s="283" t="s">
        <v>3281</v>
      </c>
      <c r="D950" s="284" t="s">
        <v>4577</v>
      </c>
    </row>
    <row r="951" spans="1:4" x14ac:dyDescent="0.3">
      <c r="A951" s="282" t="s">
        <v>4578</v>
      </c>
      <c r="B951" s="283" t="s">
        <v>4431</v>
      </c>
      <c r="C951" s="283" t="s">
        <v>3281</v>
      </c>
      <c r="D951" s="284" t="s">
        <v>4579</v>
      </c>
    </row>
    <row r="952" spans="1:4" x14ac:dyDescent="0.3">
      <c r="A952" s="282" t="s">
        <v>4580</v>
      </c>
      <c r="B952" s="283" t="s">
        <v>4369</v>
      </c>
      <c r="C952" s="283" t="s">
        <v>3281</v>
      </c>
      <c r="D952" s="284" t="s">
        <v>4581</v>
      </c>
    </row>
    <row r="953" spans="1:4" x14ac:dyDescent="0.3">
      <c r="A953" s="282" t="s">
        <v>4582</v>
      </c>
      <c r="B953" s="283" t="s">
        <v>4369</v>
      </c>
      <c r="C953" s="283" t="s">
        <v>3281</v>
      </c>
      <c r="D953" s="284" t="s">
        <v>4583</v>
      </c>
    </row>
    <row r="954" spans="1:4" x14ac:dyDescent="0.3">
      <c r="A954" s="282" t="s">
        <v>4584</v>
      </c>
      <c r="B954" s="283" t="s">
        <v>4347</v>
      </c>
      <c r="C954" s="283" t="s">
        <v>3281</v>
      </c>
      <c r="D954" s="284" t="s">
        <v>4585</v>
      </c>
    </row>
    <row r="955" spans="1:4" x14ac:dyDescent="0.3">
      <c r="A955" s="282" t="s">
        <v>4586</v>
      </c>
      <c r="B955" s="283" t="s">
        <v>4347</v>
      </c>
      <c r="C955" s="283" t="s">
        <v>3281</v>
      </c>
      <c r="D955" s="284" t="s">
        <v>4587</v>
      </c>
    </row>
    <row r="956" spans="1:4" x14ac:dyDescent="0.3">
      <c r="A956" s="282" t="s">
        <v>4588</v>
      </c>
      <c r="B956" s="283" t="s">
        <v>4589</v>
      </c>
      <c r="C956" s="283" t="s">
        <v>489</v>
      </c>
      <c r="D956" s="284" t="s">
        <v>4590</v>
      </c>
    </row>
    <row r="957" spans="1:4" x14ac:dyDescent="0.3">
      <c r="A957" s="282" t="s">
        <v>4591</v>
      </c>
      <c r="B957" s="283" t="s">
        <v>4058</v>
      </c>
      <c r="C957" s="283" t="s">
        <v>3277</v>
      </c>
      <c r="D957" s="284" t="s">
        <v>4592</v>
      </c>
    </row>
    <row r="958" spans="1:4" x14ac:dyDescent="0.3">
      <c r="A958" s="282" t="s">
        <v>4593</v>
      </c>
      <c r="B958" s="283" t="s">
        <v>2708</v>
      </c>
      <c r="C958" s="283" t="s">
        <v>489</v>
      </c>
      <c r="D958" s="284" t="s">
        <v>4594</v>
      </c>
    </row>
    <row r="959" spans="1:4" x14ac:dyDescent="0.3">
      <c r="A959" s="282" t="s">
        <v>4595</v>
      </c>
      <c r="B959" s="283" t="s">
        <v>4058</v>
      </c>
      <c r="C959" s="283" t="s">
        <v>3277</v>
      </c>
      <c r="D959" s="284" t="s">
        <v>4596</v>
      </c>
    </row>
    <row r="960" spans="1:4" x14ac:dyDescent="0.3">
      <c r="A960" s="282" t="s">
        <v>4597</v>
      </c>
      <c r="B960" s="283" t="s">
        <v>4347</v>
      </c>
      <c r="C960" s="283" t="s">
        <v>3281</v>
      </c>
      <c r="D960" s="284" t="s">
        <v>4598</v>
      </c>
    </row>
    <row r="961" spans="1:4" x14ac:dyDescent="0.3">
      <c r="A961" s="282" t="s">
        <v>4599</v>
      </c>
      <c r="B961" s="283" t="s">
        <v>4347</v>
      </c>
      <c r="C961" s="283" t="s">
        <v>3281</v>
      </c>
      <c r="D961" s="284" t="s">
        <v>4600</v>
      </c>
    </row>
    <row r="962" spans="1:4" x14ac:dyDescent="0.3">
      <c r="A962" s="282" t="s">
        <v>4601</v>
      </c>
      <c r="B962" s="283" t="s">
        <v>4347</v>
      </c>
      <c r="C962" s="283" t="s">
        <v>3281</v>
      </c>
      <c r="D962" s="284" t="s">
        <v>4602</v>
      </c>
    </row>
    <row r="963" spans="1:4" x14ac:dyDescent="0.3">
      <c r="A963" s="282" t="s">
        <v>4603</v>
      </c>
      <c r="B963" s="283" t="s">
        <v>4347</v>
      </c>
      <c r="C963" s="283" t="s">
        <v>3277</v>
      </c>
      <c r="D963" s="284" t="s">
        <v>4604</v>
      </c>
    </row>
    <row r="964" spans="1:4" x14ac:dyDescent="0.3">
      <c r="A964" s="282" t="s">
        <v>4605</v>
      </c>
      <c r="B964" s="283" t="s">
        <v>3813</v>
      </c>
      <c r="C964" s="283" t="s">
        <v>3776</v>
      </c>
      <c r="D964" s="284" t="s">
        <v>4606</v>
      </c>
    </row>
    <row r="965" spans="1:4" x14ac:dyDescent="0.3">
      <c r="A965" s="282" t="s">
        <v>4607</v>
      </c>
      <c r="B965" s="283" t="s">
        <v>3813</v>
      </c>
      <c r="C965" s="283" t="s">
        <v>3776</v>
      </c>
      <c r="D965" s="284" t="s">
        <v>4608</v>
      </c>
    </row>
    <row r="966" spans="1:4" x14ac:dyDescent="0.3">
      <c r="A966" s="282" t="s">
        <v>4609</v>
      </c>
      <c r="B966" s="283" t="s">
        <v>2708</v>
      </c>
      <c r="C966" s="283" t="s">
        <v>3776</v>
      </c>
      <c r="D966" s="284" t="s">
        <v>4610</v>
      </c>
    </row>
    <row r="967" spans="1:4" x14ac:dyDescent="0.3">
      <c r="A967" s="282" t="s">
        <v>4611</v>
      </c>
      <c r="B967" s="283" t="s">
        <v>2708</v>
      </c>
      <c r="C967" s="283" t="s">
        <v>3776</v>
      </c>
      <c r="D967" s="284" t="s">
        <v>4612</v>
      </c>
    </row>
    <row r="968" spans="1:4" x14ac:dyDescent="0.3">
      <c r="A968" s="282" t="s">
        <v>4613</v>
      </c>
      <c r="B968" s="283" t="s">
        <v>3186</v>
      </c>
      <c r="C968" s="283" t="s">
        <v>3183</v>
      </c>
      <c r="D968" s="284" t="s">
        <v>4614</v>
      </c>
    </row>
    <row r="969" spans="1:4" x14ac:dyDescent="0.3">
      <c r="A969" s="282" t="s">
        <v>4615</v>
      </c>
      <c r="B969" s="283" t="s">
        <v>3192</v>
      </c>
      <c r="C969" s="283" t="s">
        <v>3183</v>
      </c>
      <c r="D969" s="284" t="s">
        <v>4616</v>
      </c>
    </row>
    <row r="970" spans="1:4" x14ac:dyDescent="0.3">
      <c r="A970" s="282" t="s">
        <v>4617</v>
      </c>
      <c r="B970" s="283" t="s">
        <v>3182</v>
      </c>
      <c r="C970" s="283" t="s">
        <v>3183</v>
      </c>
      <c r="D970" s="284" t="s">
        <v>4618</v>
      </c>
    </row>
    <row r="971" spans="1:4" x14ac:dyDescent="0.3">
      <c r="A971" s="282" t="s">
        <v>4619</v>
      </c>
      <c r="B971" s="283" t="s">
        <v>3345</v>
      </c>
      <c r="C971" s="283" t="s">
        <v>3346</v>
      </c>
      <c r="D971" s="284" t="s">
        <v>4620</v>
      </c>
    </row>
    <row r="972" spans="1:4" x14ac:dyDescent="0.3">
      <c r="A972" s="282" t="s">
        <v>4621</v>
      </c>
      <c r="B972" s="283" t="s">
        <v>3369</v>
      </c>
      <c r="C972" s="283" t="s">
        <v>3346</v>
      </c>
      <c r="D972" s="284" t="s">
        <v>4622</v>
      </c>
    </row>
    <row r="973" spans="1:4" x14ac:dyDescent="0.3">
      <c r="A973" s="282" t="s">
        <v>4623</v>
      </c>
      <c r="B973" s="283" t="s">
        <v>3345</v>
      </c>
      <c r="C973" s="283" t="s">
        <v>3346</v>
      </c>
      <c r="D973" s="284" t="s">
        <v>4624</v>
      </c>
    </row>
    <row r="974" spans="1:4" x14ac:dyDescent="0.3">
      <c r="A974" s="282" t="s">
        <v>4625</v>
      </c>
      <c r="B974" s="283" t="s">
        <v>3369</v>
      </c>
      <c r="C974" s="283" t="s">
        <v>3346</v>
      </c>
      <c r="D974" s="284" t="s">
        <v>4626</v>
      </c>
    </row>
    <row r="975" spans="1:4" x14ac:dyDescent="0.3">
      <c r="A975" s="282" t="s">
        <v>4627</v>
      </c>
      <c r="B975" s="283" t="s">
        <v>3700</v>
      </c>
      <c r="C975" s="283" t="s">
        <v>2846</v>
      </c>
      <c r="D975" s="284" t="s">
        <v>4628</v>
      </c>
    </row>
    <row r="976" spans="1:4" x14ac:dyDescent="0.3">
      <c r="A976" s="282" t="s">
        <v>4629</v>
      </c>
      <c r="B976" s="283" t="s">
        <v>3687</v>
      </c>
      <c r="C976" s="283" t="s">
        <v>2846</v>
      </c>
      <c r="D976" s="284" t="s">
        <v>4630</v>
      </c>
    </row>
    <row r="977" spans="1:4" x14ac:dyDescent="0.3">
      <c r="A977" s="282" t="s">
        <v>4631</v>
      </c>
      <c r="B977" s="283" t="s">
        <v>3824</v>
      </c>
      <c r="C977" s="283" t="s">
        <v>3496</v>
      </c>
      <c r="D977" s="284" t="s">
        <v>4632</v>
      </c>
    </row>
    <row r="978" spans="1:4" x14ac:dyDescent="0.3">
      <c r="A978" s="282" t="s">
        <v>4633</v>
      </c>
      <c r="B978" s="283" t="s">
        <v>3687</v>
      </c>
      <c r="C978" s="283" t="s">
        <v>2846</v>
      </c>
      <c r="D978" s="284" t="s">
        <v>4634</v>
      </c>
    </row>
    <row r="979" spans="1:4" x14ac:dyDescent="0.3">
      <c r="A979" s="282" t="s">
        <v>4635</v>
      </c>
      <c r="B979" s="283" t="s">
        <v>3914</v>
      </c>
      <c r="C979" s="283" t="s">
        <v>3906</v>
      </c>
      <c r="D979" s="284" t="s">
        <v>4636</v>
      </c>
    </row>
    <row r="980" spans="1:4" x14ac:dyDescent="0.3">
      <c r="A980" s="282" t="s">
        <v>4637</v>
      </c>
      <c r="B980" s="283" t="s">
        <v>4638</v>
      </c>
      <c r="C980" s="283" t="s">
        <v>3906</v>
      </c>
      <c r="D980" s="284" t="s">
        <v>4639</v>
      </c>
    </row>
    <row r="981" spans="1:4" x14ac:dyDescent="0.3">
      <c r="A981" s="282" t="s">
        <v>4640</v>
      </c>
      <c r="B981" s="283" t="s">
        <v>4058</v>
      </c>
      <c r="C981" s="283" t="s">
        <v>3277</v>
      </c>
      <c r="D981" s="284" t="s">
        <v>4641</v>
      </c>
    </row>
    <row r="982" spans="1:4" x14ac:dyDescent="0.3">
      <c r="A982" s="282" t="s">
        <v>4642</v>
      </c>
      <c r="B982" s="283" t="s">
        <v>4058</v>
      </c>
      <c r="C982" s="283" t="s">
        <v>3277</v>
      </c>
      <c r="D982" s="284" t="s">
        <v>4643</v>
      </c>
    </row>
    <row r="983" spans="1:4" x14ac:dyDescent="0.3">
      <c r="A983" s="282" t="s">
        <v>4644</v>
      </c>
      <c r="B983" s="283" t="s">
        <v>4058</v>
      </c>
      <c r="C983" s="283" t="s">
        <v>3277</v>
      </c>
      <c r="D983" s="284" t="s">
        <v>4645</v>
      </c>
    </row>
    <row r="984" spans="1:4" x14ac:dyDescent="0.3">
      <c r="A984" s="282" t="s">
        <v>4646</v>
      </c>
      <c r="B984" s="283" t="s">
        <v>4058</v>
      </c>
      <c r="C984" s="283" t="s">
        <v>3277</v>
      </c>
      <c r="D984" s="284" t="s">
        <v>4647</v>
      </c>
    </row>
    <row r="985" spans="1:4" x14ac:dyDescent="0.3">
      <c r="A985" s="282" t="s">
        <v>4648</v>
      </c>
      <c r="B985" s="283" t="s">
        <v>4058</v>
      </c>
      <c r="C985" s="283" t="s">
        <v>3277</v>
      </c>
      <c r="D985" s="284" t="s">
        <v>4649</v>
      </c>
    </row>
    <row r="986" spans="1:4" x14ac:dyDescent="0.3">
      <c r="A986" s="282" t="s">
        <v>4650</v>
      </c>
      <c r="B986" s="283" t="s">
        <v>4143</v>
      </c>
      <c r="C986" s="283" t="s">
        <v>3277</v>
      </c>
      <c r="D986" s="284" t="s">
        <v>4651</v>
      </c>
    </row>
    <row r="987" spans="1:4" x14ac:dyDescent="0.3">
      <c r="A987" s="282" t="s">
        <v>4652</v>
      </c>
      <c r="B987" s="283" t="s">
        <v>4058</v>
      </c>
      <c r="C987" s="283" t="s">
        <v>3277</v>
      </c>
      <c r="D987" s="284" t="s">
        <v>4653</v>
      </c>
    </row>
    <row r="988" spans="1:4" x14ac:dyDescent="0.3">
      <c r="A988" s="282" t="s">
        <v>4654</v>
      </c>
      <c r="B988" s="283" t="s">
        <v>4070</v>
      </c>
      <c r="C988" s="283" t="s">
        <v>3277</v>
      </c>
      <c r="D988" s="284" t="s">
        <v>4655</v>
      </c>
    </row>
    <row r="989" spans="1:4" x14ac:dyDescent="0.3">
      <c r="A989" s="282" t="s">
        <v>4656</v>
      </c>
      <c r="B989" s="283" t="s">
        <v>4058</v>
      </c>
      <c r="C989" s="283" t="s">
        <v>3277</v>
      </c>
      <c r="D989" s="284" t="s">
        <v>4657</v>
      </c>
    </row>
    <row r="990" spans="1:4" x14ac:dyDescent="0.3">
      <c r="A990" s="282" t="s">
        <v>4658</v>
      </c>
      <c r="B990" s="283" t="s">
        <v>4058</v>
      </c>
      <c r="C990" s="283" t="s">
        <v>3277</v>
      </c>
      <c r="D990" s="284" t="s">
        <v>4659</v>
      </c>
    </row>
    <row r="991" spans="1:4" x14ac:dyDescent="0.3">
      <c r="A991" s="282" t="s">
        <v>4660</v>
      </c>
      <c r="B991" s="283" t="s">
        <v>4058</v>
      </c>
      <c r="C991" s="283" t="s">
        <v>3277</v>
      </c>
      <c r="D991" s="284" t="s">
        <v>4661</v>
      </c>
    </row>
    <row r="992" spans="1:4" x14ac:dyDescent="0.3">
      <c r="A992" s="282" t="s">
        <v>4662</v>
      </c>
      <c r="B992" s="283" t="s">
        <v>4347</v>
      </c>
      <c r="C992" s="283" t="s">
        <v>3281</v>
      </c>
      <c r="D992" s="284" t="s">
        <v>4663</v>
      </c>
    </row>
    <row r="993" spans="1:4" x14ac:dyDescent="0.3">
      <c r="A993" s="282" t="s">
        <v>4664</v>
      </c>
      <c r="B993" s="283" t="s">
        <v>4347</v>
      </c>
      <c r="C993" s="283" t="s">
        <v>3281</v>
      </c>
      <c r="D993" s="284" t="s">
        <v>4665</v>
      </c>
    </row>
    <row r="994" spans="1:4" x14ac:dyDescent="0.3">
      <c r="A994" s="282" t="s">
        <v>4666</v>
      </c>
      <c r="B994" s="283" t="s">
        <v>4434</v>
      </c>
      <c r="C994" s="283" t="s">
        <v>3281</v>
      </c>
      <c r="D994" s="284" t="s">
        <v>4667</v>
      </c>
    </row>
    <row r="995" spans="1:4" x14ac:dyDescent="0.3">
      <c r="A995" s="282" t="s">
        <v>4668</v>
      </c>
      <c r="B995" s="283" t="s">
        <v>4390</v>
      </c>
      <c r="C995" s="283" t="s">
        <v>3281</v>
      </c>
      <c r="D995" s="284" t="s">
        <v>4669</v>
      </c>
    </row>
    <row r="996" spans="1:4" x14ac:dyDescent="0.3">
      <c r="A996" s="282" t="s">
        <v>4670</v>
      </c>
      <c r="B996" s="283" t="s">
        <v>4347</v>
      </c>
      <c r="C996" s="283" t="s">
        <v>3281</v>
      </c>
      <c r="D996" s="284" t="s">
        <v>4671</v>
      </c>
    </row>
    <row r="997" spans="1:4" x14ac:dyDescent="0.3">
      <c r="A997" s="282" t="s">
        <v>4672</v>
      </c>
      <c r="B997" s="283" t="s">
        <v>4347</v>
      </c>
      <c r="C997" s="283" t="s">
        <v>3281</v>
      </c>
      <c r="D997" s="284" t="s">
        <v>4673</v>
      </c>
    </row>
    <row r="998" spans="1:4" x14ac:dyDescent="0.3">
      <c r="A998" s="282" t="s">
        <v>4674</v>
      </c>
      <c r="B998" s="283" t="s">
        <v>4347</v>
      </c>
      <c r="C998" s="283" t="s">
        <v>3281</v>
      </c>
      <c r="D998" s="284" t="s">
        <v>4675</v>
      </c>
    </row>
    <row r="999" spans="1:4" x14ac:dyDescent="0.3">
      <c r="A999" s="282" t="s">
        <v>4676</v>
      </c>
      <c r="B999" s="283" t="s">
        <v>2708</v>
      </c>
      <c r="C999" s="283" t="s">
        <v>3281</v>
      </c>
      <c r="D999" s="284" t="s">
        <v>4677</v>
      </c>
    </row>
    <row r="1000" spans="1:4" x14ac:dyDescent="0.3">
      <c r="A1000" s="282" t="s">
        <v>4678</v>
      </c>
      <c r="B1000" s="283" t="s">
        <v>3215</v>
      </c>
      <c r="C1000" s="283" t="s">
        <v>3183</v>
      </c>
      <c r="D1000" s="284" t="s">
        <v>4679</v>
      </c>
    </row>
    <row r="1001" spans="1:4" x14ac:dyDescent="0.3">
      <c r="A1001" s="282" t="s">
        <v>4680</v>
      </c>
      <c r="B1001" s="283" t="s">
        <v>3204</v>
      </c>
      <c r="C1001" s="283" t="s">
        <v>3183</v>
      </c>
      <c r="D1001" s="284" t="s">
        <v>4681</v>
      </c>
    </row>
    <row r="1002" spans="1:4" x14ac:dyDescent="0.3">
      <c r="A1002" s="282" t="s">
        <v>4682</v>
      </c>
      <c r="B1002" s="283" t="s">
        <v>4683</v>
      </c>
      <c r="C1002" s="283" t="s">
        <v>3183</v>
      </c>
      <c r="D1002" s="284" t="s">
        <v>4684</v>
      </c>
    </row>
    <row r="1003" spans="1:4" x14ac:dyDescent="0.3">
      <c r="A1003" s="282" t="s">
        <v>4685</v>
      </c>
      <c r="B1003" s="283" t="s">
        <v>3366</v>
      </c>
      <c r="C1003" s="283" t="s">
        <v>3346</v>
      </c>
      <c r="D1003" s="284" t="s">
        <v>4686</v>
      </c>
    </row>
    <row r="1004" spans="1:4" x14ac:dyDescent="0.3">
      <c r="A1004" s="282" t="s">
        <v>4687</v>
      </c>
      <c r="B1004" s="283" t="s">
        <v>3366</v>
      </c>
      <c r="C1004" s="283" t="s">
        <v>3346</v>
      </c>
      <c r="D1004" s="284" t="s">
        <v>4688</v>
      </c>
    </row>
    <row r="1005" spans="1:4" x14ac:dyDescent="0.3">
      <c r="A1005" s="282" t="s">
        <v>4689</v>
      </c>
      <c r="B1005" s="283" t="s">
        <v>2595</v>
      </c>
      <c r="C1005" s="283" t="s">
        <v>3277</v>
      </c>
      <c r="D1005" s="284" t="s">
        <v>4690</v>
      </c>
    </row>
    <row r="1006" spans="1:4" x14ac:dyDescent="0.3">
      <c r="A1006" s="282" t="s">
        <v>4691</v>
      </c>
      <c r="B1006" s="283" t="s">
        <v>3422</v>
      </c>
      <c r="C1006" s="283" t="s">
        <v>3346</v>
      </c>
      <c r="D1006" s="284" t="s">
        <v>4692</v>
      </c>
    </row>
    <row r="1007" spans="1:4" x14ac:dyDescent="0.3">
      <c r="A1007" s="282" t="s">
        <v>4693</v>
      </c>
      <c r="B1007" s="283" t="s">
        <v>3366</v>
      </c>
      <c r="C1007" s="283" t="s">
        <v>3346</v>
      </c>
      <c r="D1007" s="284" t="s">
        <v>4694</v>
      </c>
    </row>
    <row r="1008" spans="1:4" x14ac:dyDescent="0.3">
      <c r="A1008" s="282" t="s">
        <v>4695</v>
      </c>
      <c r="B1008" s="283" t="s">
        <v>3422</v>
      </c>
      <c r="C1008" s="283" t="s">
        <v>3346</v>
      </c>
      <c r="D1008" s="284" t="s">
        <v>4696</v>
      </c>
    </row>
    <row r="1009" spans="1:4" x14ac:dyDescent="0.3">
      <c r="A1009" s="282" t="s">
        <v>4697</v>
      </c>
      <c r="B1009" s="283" t="s">
        <v>3366</v>
      </c>
      <c r="C1009" s="283" t="s">
        <v>3346</v>
      </c>
      <c r="D1009" s="284" t="s">
        <v>4698</v>
      </c>
    </row>
    <row r="1010" spans="1:4" x14ac:dyDescent="0.3">
      <c r="A1010" s="282" t="s">
        <v>4699</v>
      </c>
      <c r="B1010" s="283" t="s">
        <v>3357</v>
      </c>
      <c r="C1010" s="283" t="s">
        <v>3346</v>
      </c>
      <c r="D1010" s="284" t="s">
        <v>4700</v>
      </c>
    </row>
    <row r="1011" spans="1:4" x14ac:dyDescent="0.3">
      <c r="A1011" s="282" t="s">
        <v>4701</v>
      </c>
      <c r="B1011" s="283" t="s">
        <v>3395</v>
      </c>
      <c r="C1011" s="283" t="s">
        <v>3346</v>
      </c>
      <c r="D1011" s="284" t="s">
        <v>4702</v>
      </c>
    </row>
    <row r="1012" spans="1:4" x14ac:dyDescent="0.3">
      <c r="A1012" s="282" t="s">
        <v>4703</v>
      </c>
      <c r="B1012" s="283" t="s">
        <v>3687</v>
      </c>
      <c r="C1012" s="283" t="s">
        <v>3776</v>
      </c>
      <c r="D1012" s="284" t="s">
        <v>4704</v>
      </c>
    </row>
    <row r="1013" spans="1:4" x14ac:dyDescent="0.3">
      <c r="A1013" s="282" t="s">
        <v>4705</v>
      </c>
      <c r="B1013" s="283" t="s">
        <v>4706</v>
      </c>
      <c r="C1013" s="283" t="s">
        <v>3496</v>
      </c>
      <c r="D1013" s="284" t="s">
        <v>4707</v>
      </c>
    </row>
    <row r="1014" spans="1:4" x14ac:dyDescent="0.3">
      <c r="A1014" s="282" t="s">
        <v>4708</v>
      </c>
      <c r="B1014" s="283" t="s">
        <v>3687</v>
      </c>
      <c r="C1014" s="283" t="s">
        <v>3776</v>
      </c>
      <c r="D1014" s="284" t="s">
        <v>4709</v>
      </c>
    </row>
    <row r="1015" spans="1:4" x14ac:dyDescent="0.3">
      <c r="A1015" s="282" t="s">
        <v>4710</v>
      </c>
      <c r="B1015" s="283" t="s">
        <v>4589</v>
      </c>
      <c r="C1015" s="283" t="s">
        <v>489</v>
      </c>
      <c r="D1015" s="284" t="s">
        <v>4711</v>
      </c>
    </row>
    <row r="1016" spans="1:4" x14ac:dyDescent="0.3">
      <c r="A1016" s="282" t="s">
        <v>4712</v>
      </c>
      <c r="B1016" s="283" t="s">
        <v>3687</v>
      </c>
      <c r="C1016" s="283" t="s">
        <v>3776</v>
      </c>
      <c r="D1016" s="284" t="s">
        <v>4713</v>
      </c>
    </row>
    <row r="1017" spans="1:4" x14ac:dyDescent="0.3">
      <c r="A1017" s="282" t="s">
        <v>4714</v>
      </c>
      <c r="B1017" s="283" t="s">
        <v>4053</v>
      </c>
      <c r="C1017" s="283" t="s">
        <v>3277</v>
      </c>
      <c r="D1017" s="284" t="s">
        <v>4715</v>
      </c>
    </row>
    <row r="1018" spans="1:4" x14ac:dyDescent="0.3">
      <c r="A1018" s="282" t="s">
        <v>4716</v>
      </c>
      <c r="B1018" s="283" t="s">
        <v>4347</v>
      </c>
      <c r="C1018" s="283" t="s">
        <v>3281</v>
      </c>
      <c r="D1018" s="284" t="s">
        <v>4717</v>
      </c>
    </row>
    <row r="1019" spans="1:4" x14ac:dyDescent="0.3">
      <c r="A1019" s="282" t="s">
        <v>4718</v>
      </c>
      <c r="B1019" s="283" t="s">
        <v>4347</v>
      </c>
      <c r="C1019" s="283" t="s">
        <v>3281</v>
      </c>
      <c r="D1019" s="284" t="s">
        <v>4719</v>
      </c>
    </row>
    <row r="1020" spans="1:4" x14ac:dyDescent="0.3">
      <c r="A1020" s="282" t="s">
        <v>4720</v>
      </c>
      <c r="B1020" s="283" t="s">
        <v>4347</v>
      </c>
      <c r="C1020" s="283" t="s">
        <v>3281</v>
      </c>
      <c r="D1020" s="284" t="s">
        <v>4721</v>
      </c>
    </row>
    <row r="1021" spans="1:4" x14ac:dyDescent="0.3">
      <c r="A1021" s="282" t="s">
        <v>4722</v>
      </c>
      <c r="B1021" s="283" t="s">
        <v>4589</v>
      </c>
      <c r="C1021" s="283" t="s">
        <v>489</v>
      </c>
      <c r="D1021" s="284" t="s">
        <v>4723</v>
      </c>
    </row>
    <row r="1022" spans="1:4" x14ac:dyDescent="0.3">
      <c r="A1022" s="282" t="s">
        <v>4724</v>
      </c>
      <c r="B1022" s="283" t="s">
        <v>3905</v>
      </c>
      <c r="C1022" s="283" t="s">
        <v>3906</v>
      </c>
      <c r="D1022" s="284" t="s">
        <v>4725</v>
      </c>
    </row>
    <row r="1023" spans="1:4" x14ac:dyDescent="0.3">
      <c r="A1023" s="282" t="s">
        <v>4726</v>
      </c>
      <c r="B1023" s="283" t="s">
        <v>3687</v>
      </c>
      <c r="C1023" s="283" t="s">
        <v>2846</v>
      </c>
      <c r="D1023" s="284" t="s">
        <v>4727</v>
      </c>
    </row>
    <row r="1024" spans="1:4" x14ac:dyDescent="0.3">
      <c r="A1024" s="282" t="s">
        <v>4728</v>
      </c>
      <c r="B1024" s="283" t="s">
        <v>3687</v>
      </c>
      <c r="C1024" s="283" t="s">
        <v>2846</v>
      </c>
      <c r="D1024" s="284" t="s">
        <v>4729</v>
      </c>
    </row>
    <row r="1025" spans="1:4" x14ac:dyDescent="0.3">
      <c r="A1025" s="282" t="s">
        <v>4730</v>
      </c>
      <c r="B1025" s="283" t="s">
        <v>4731</v>
      </c>
      <c r="C1025" s="283" t="s">
        <v>3183</v>
      </c>
      <c r="D1025" s="284" t="s">
        <v>4732</v>
      </c>
    </row>
    <row r="1026" spans="1:4" x14ac:dyDescent="0.3">
      <c r="A1026" s="282" t="s">
        <v>4730</v>
      </c>
      <c r="B1026" s="283" t="s">
        <v>4733</v>
      </c>
      <c r="C1026" s="283" t="s">
        <v>3183</v>
      </c>
      <c r="D1026" s="284" t="s">
        <v>4734</v>
      </c>
    </row>
    <row r="1027" spans="1:4" x14ac:dyDescent="0.3">
      <c r="A1027" s="282" t="s">
        <v>4730</v>
      </c>
      <c r="B1027" s="283" t="s">
        <v>3204</v>
      </c>
      <c r="C1027" s="283" t="s">
        <v>3183</v>
      </c>
      <c r="D1027" s="284" t="s">
        <v>4735</v>
      </c>
    </row>
    <row r="1028" spans="1:4" x14ac:dyDescent="0.3">
      <c r="A1028" s="282" t="s">
        <v>4730</v>
      </c>
      <c r="B1028" s="283" t="s">
        <v>4736</v>
      </c>
      <c r="C1028" s="283" t="s">
        <v>3183</v>
      </c>
      <c r="D1028" s="284" t="s">
        <v>4737</v>
      </c>
    </row>
    <row r="1029" spans="1:4" x14ac:dyDescent="0.3">
      <c r="A1029" s="282" t="s">
        <v>4730</v>
      </c>
      <c r="B1029" s="283" t="s">
        <v>3186</v>
      </c>
      <c r="C1029" s="283" t="s">
        <v>3183</v>
      </c>
      <c r="D1029" s="284" t="s">
        <v>4738</v>
      </c>
    </row>
    <row r="1030" spans="1:4" x14ac:dyDescent="0.3">
      <c r="A1030" s="282" t="s">
        <v>4730</v>
      </c>
      <c r="B1030" s="283" t="s">
        <v>3298</v>
      </c>
      <c r="C1030" s="283" t="s">
        <v>3183</v>
      </c>
      <c r="D1030" s="284" t="s">
        <v>4739</v>
      </c>
    </row>
    <row r="1031" spans="1:4" x14ac:dyDescent="0.3">
      <c r="A1031" s="282" t="s">
        <v>4730</v>
      </c>
      <c r="B1031" s="283" t="s">
        <v>3192</v>
      </c>
      <c r="C1031" s="283" t="s">
        <v>3183</v>
      </c>
      <c r="D1031" s="284" t="s">
        <v>4740</v>
      </c>
    </row>
    <row r="1032" spans="1:4" x14ac:dyDescent="0.3">
      <c r="A1032" s="282" t="s">
        <v>4730</v>
      </c>
      <c r="B1032" s="283" t="s">
        <v>3215</v>
      </c>
      <c r="C1032" s="283" t="s">
        <v>3183</v>
      </c>
      <c r="D1032" s="284" t="s">
        <v>4741</v>
      </c>
    </row>
    <row r="1033" spans="1:4" x14ac:dyDescent="0.3">
      <c r="A1033" s="282" t="s">
        <v>4730</v>
      </c>
      <c r="B1033" s="283" t="s">
        <v>3215</v>
      </c>
      <c r="C1033" s="283" t="s">
        <v>3183</v>
      </c>
      <c r="D1033" s="284" t="s">
        <v>4742</v>
      </c>
    </row>
    <row r="1034" spans="1:4" x14ac:dyDescent="0.3">
      <c r="A1034" s="282" t="s">
        <v>4730</v>
      </c>
      <c r="B1034" s="283" t="s">
        <v>2593</v>
      </c>
      <c r="C1034" s="283" t="s">
        <v>3183</v>
      </c>
      <c r="D1034" s="284" t="s">
        <v>4743</v>
      </c>
    </row>
    <row r="1035" spans="1:4" x14ac:dyDescent="0.3">
      <c r="A1035" s="282" t="s">
        <v>4730</v>
      </c>
      <c r="B1035" s="283" t="s">
        <v>3218</v>
      </c>
      <c r="C1035" s="283" t="s">
        <v>3183</v>
      </c>
      <c r="D1035" s="284" t="s">
        <v>4744</v>
      </c>
    </row>
    <row r="1036" spans="1:4" x14ac:dyDescent="0.3">
      <c r="A1036" s="282" t="s">
        <v>4730</v>
      </c>
      <c r="B1036" s="283" t="s">
        <v>2593</v>
      </c>
      <c r="C1036" s="283" t="s">
        <v>3183</v>
      </c>
      <c r="D1036" s="284" t="s">
        <v>4745</v>
      </c>
    </row>
    <row r="1037" spans="1:4" x14ac:dyDescent="0.3">
      <c r="A1037" s="282" t="s">
        <v>4746</v>
      </c>
      <c r="B1037" s="283" t="s">
        <v>4683</v>
      </c>
      <c r="C1037" s="283" t="s">
        <v>3183</v>
      </c>
      <c r="D1037" s="284" t="s">
        <v>4747</v>
      </c>
    </row>
    <row r="1038" spans="1:4" x14ac:dyDescent="0.3">
      <c r="A1038" s="282" t="s">
        <v>4748</v>
      </c>
      <c r="B1038" s="283" t="s">
        <v>3186</v>
      </c>
      <c r="C1038" s="283" t="s">
        <v>3183</v>
      </c>
      <c r="D1038" s="284" t="s">
        <v>4749</v>
      </c>
    </row>
    <row r="1039" spans="1:4" x14ac:dyDescent="0.3">
      <c r="A1039" s="282" t="s">
        <v>4750</v>
      </c>
      <c r="B1039" s="283" t="s">
        <v>3215</v>
      </c>
      <c r="C1039" s="283" t="s">
        <v>3183</v>
      </c>
      <c r="D1039" s="284" t="s">
        <v>4751</v>
      </c>
    </row>
    <row r="1040" spans="1:4" x14ac:dyDescent="0.3">
      <c r="A1040" s="282" t="s">
        <v>4752</v>
      </c>
      <c r="B1040" s="283" t="s">
        <v>3204</v>
      </c>
      <c r="C1040" s="283" t="s">
        <v>3183</v>
      </c>
      <c r="D1040" s="284" t="s">
        <v>4753</v>
      </c>
    </row>
    <row r="1041" spans="1:4" x14ac:dyDescent="0.3">
      <c r="A1041" s="282" t="s">
        <v>4754</v>
      </c>
      <c r="B1041" s="283" t="s">
        <v>3298</v>
      </c>
      <c r="C1041" s="283" t="s">
        <v>3183</v>
      </c>
      <c r="D1041" s="284" t="s">
        <v>4755</v>
      </c>
    </row>
    <row r="1042" spans="1:4" x14ac:dyDescent="0.3">
      <c r="A1042" s="282" t="s">
        <v>4756</v>
      </c>
      <c r="B1042" s="283" t="s">
        <v>3186</v>
      </c>
      <c r="C1042" s="283" t="s">
        <v>3183</v>
      </c>
      <c r="D1042" s="284" t="s">
        <v>4757</v>
      </c>
    </row>
    <row r="1043" spans="1:4" x14ac:dyDescent="0.3">
      <c r="A1043" s="282" t="s">
        <v>4758</v>
      </c>
      <c r="B1043" s="283" t="s">
        <v>3204</v>
      </c>
      <c r="C1043" s="283" t="s">
        <v>3183</v>
      </c>
      <c r="D1043" s="284" t="s">
        <v>4759</v>
      </c>
    </row>
    <row r="1044" spans="1:4" x14ac:dyDescent="0.3">
      <c r="A1044" s="282" t="s">
        <v>4760</v>
      </c>
      <c r="B1044" s="283" t="s">
        <v>3186</v>
      </c>
      <c r="C1044" s="283" t="s">
        <v>3183</v>
      </c>
      <c r="D1044" s="284" t="s">
        <v>4761</v>
      </c>
    </row>
    <row r="1045" spans="1:4" x14ac:dyDescent="0.3">
      <c r="A1045" s="282" t="s">
        <v>4762</v>
      </c>
      <c r="B1045" s="283" t="s">
        <v>3182</v>
      </c>
      <c r="C1045" s="283" t="s">
        <v>3183</v>
      </c>
      <c r="D1045" s="284" t="s">
        <v>4763</v>
      </c>
    </row>
    <row r="1046" spans="1:4" x14ac:dyDescent="0.3">
      <c r="A1046" s="282" t="s">
        <v>4764</v>
      </c>
      <c r="B1046" s="283" t="s">
        <v>3252</v>
      </c>
      <c r="C1046" s="283" t="s">
        <v>3183</v>
      </c>
      <c r="D1046" s="284" t="s">
        <v>4765</v>
      </c>
    </row>
    <row r="1047" spans="1:4" x14ac:dyDescent="0.3">
      <c r="A1047" s="282" t="s">
        <v>4766</v>
      </c>
      <c r="B1047" s="283" t="s">
        <v>3204</v>
      </c>
      <c r="C1047" s="283" t="s">
        <v>3183</v>
      </c>
      <c r="D1047" s="284" t="s">
        <v>4767</v>
      </c>
    </row>
    <row r="1048" spans="1:4" x14ac:dyDescent="0.3">
      <c r="A1048" s="282" t="s">
        <v>4768</v>
      </c>
      <c r="B1048" s="283" t="s">
        <v>4683</v>
      </c>
      <c r="C1048" s="283" t="s">
        <v>3183</v>
      </c>
      <c r="D1048" s="284" t="s">
        <v>4769</v>
      </c>
    </row>
    <row r="1049" spans="1:4" x14ac:dyDescent="0.3">
      <c r="A1049" s="282" t="s">
        <v>4770</v>
      </c>
      <c r="B1049" s="283" t="s">
        <v>3204</v>
      </c>
      <c r="C1049" s="283" t="s">
        <v>3183</v>
      </c>
      <c r="D1049" s="284" t="s">
        <v>4771</v>
      </c>
    </row>
    <row r="1050" spans="1:4" x14ac:dyDescent="0.3">
      <c r="A1050" s="282" t="s">
        <v>4772</v>
      </c>
      <c r="B1050" s="283" t="s">
        <v>3204</v>
      </c>
      <c r="C1050" s="283" t="s">
        <v>3183</v>
      </c>
      <c r="D1050" s="284" t="s">
        <v>4773</v>
      </c>
    </row>
    <row r="1051" spans="1:4" x14ac:dyDescent="0.3">
      <c r="A1051" s="282" t="s">
        <v>4774</v>
      </c>
      <c r="B1051" s="283" t="s">
        <v>3252</v>
      </c>
      <c r="C1051" s="283" t="s">
        <v>3183</v>
      </c>
      <c r="D1051" s="284" t="s">
        <v>4775</v>
      </c>
    </row>
    <row r="1052" spans="1:4" x14ac:dyDescent="0.3">
      <c r="A1052" s="282" t="s">
        <v>4776</v>
      </c>
      <c r="B1052" s="283" t="s">
        <v>3298</v>
      </c>
      <c r="C1052" s="283" t="s">
        <v>3183</v>
      </c>
      <c r="D1052" s="284" t="s">
        <v>4777</v>
      </c>
    </row>
    <row r="1053" spans="1:4" x14ac:dyDescent="0.3">
      <c r="A1053" s="282" t="s">
        <v>4778</v>
      </c>
      <c r="B1053" s="283" t="s">
        <v>3186</v>
      </c>
      <c r="C1053" s="283" t="s">
        <v>3183</v>
      </c>
      <c r="D1053" s="284" t="s">
        <v>4779</v>
      </c>
    </row>
    <row r="1054" spans="1:4" x14ac:dyDescent="0.3">
      <c r="A1054" s="282" t="s">
        <v>4780</v>
      </c>
      <c r="B1054" s="283" t="s">
        <v>3204</v>
      </c>
      <c r="C1054" s="283" t="s">
        <v>3183</v>
      </c>
      <c r="D1054" s="284" t="s">
        <v>4781</v>
      </c>
    </row>
    <row r="1055" spans="1:4" x14ac:dyDescent="0.3">
      <c r="A1055" s="282" t="s">
        <v>4782</v>
      </c>
      <c r="B1055" s="283" t="s">
        <v>4683</v>
      </c>
      <c r="C1055" s="283" t="s">
        <v>3183</v>
      </c>
      <c r="D1055" s="284" t="s">
        <v>4783</v>
      </c>
    </row>
    <row r="1056" spans="1:4" x14ac:dyDescent="0.3">
      <c r="A1056" s="282" t="s">
        <v>4784</v>
      </c>
      <c r="B1056" s="283" t="s">
        <v>3204</v>
      </c>
      <c r="C1056" s="283" t="s">
        <v>3183</v>
      </c>
      <c r="D1056" s="284" t="s">
        <v>4785</v>
      </c>
    </row>
    <row r="1057" spans="1:4" x14ac:dyDescent="0.3">
      <c r="A1057" s="282" t="s">
        <v>4786</v>
      </c>
      <c r="B1057" s="283" t="s">
        <v>3252</v>
      </c>
      <c r="C1057" s="283" t="s">
        <v>3183</v>
      </c>
      <c r="D1057" s="284" t="s">
        <v>4787</v>
      </c>
    </row>
    <row r="1058" spans="1:4" x14ac:dyDescent="0.3">
      <c r="A1058" s="282" t="s">
        <v>4788</v>
      </c>
      <c r="B1058" s="283" t="s">
        <v>3186</v>
      </c>
      <c r="C1058" s="283" t="s">
        <v>3183</v>
      </c>
      <c r="D1058" s="284" t="s">
        <v>4789</v>
      </c>
    </row>
    <row r="1059" spans="1:4" x14ac:dyDescent="0.3">
      <c r="A1059" s="282" t="s">
        <v>4790</v>
      </c>
      <c r="B1059" s="283" t="s">
        <v>3186</v>
      </c>
      <c r="C1059" s="283" t="s">
        <v>3183</v>
      </c>
      <c r="D1059" s="284" t="s">
        <v>4791</v>
      </c>
    </row>
    <row r="1060" spans="1:4" x14ac:dyDescent="0.3">
      <c r="A1060" s="282" t="s">
        <v>4792</v>
      </c>
      <c r="B1060" s="283" t="s">
        <v>3218</v>
      </c>
      <c r="C1060" s="283" t="s">
        <v>3183</v>
      </c>
      <c r="D1060" s="284" t="s">
        <v>4793</v>
      </c>
    </row>
    <row r="1061" spans="1:4" x14ac:dyDescent="0.3">
      <c r="A1061" s="282" t="s">
        <v>4794</v>
      </c>
      <c r="B1061" s="283" t="s">
        <v>3186</v>
      </c>
      <c r="C1061" s="283" t="s">
        <v>3183</v>
      </c>
      <c r="D1061" s="284" t="s">
        <v>4795</v>
      </c>
    </row>
    <row r="1062" spans="1:4" x14ac:dyDescent="0.3">
      <c r="A1062" s="282" t="s">
        <v>4796</v>
      </c>
      <c r="B1062" s="283" t="s">
        <v>4683</v>
      </c>
      <c r="C1062" s="283" t="s">
        <v>3183</v>
      </c>
      <c r="D1062" s="284" t="s">
        <v>4797</v>
      </c>
    </row>
    <row r="1063" spans="1:4" x14ac:dyDescent="0.3">
      <c r="A1063" s="282" t="s">
        <v>4798</v>
      </c>
      <c r="B1063" s="283" t="s">
        <v>3204</v>
      </c>
      <c r="C1063" s="283" t="s">
        <v>3183</v>
      </c>
      <c r="D1063" s="284" t="s">
        <v>3233</v>
      </c>
    </row>
    <row r="1064" spans="1:4" x14ac:dyDescent="0.3">
      <c r="A1064" s="282" t="s">
        <v>4799</v>
      </c>
      <c r="B1064" s="283" t="s">
        <v>3186</v>
      </c>
      <c r="C1064" s="283" t="s">
        <v>3183</v>
      </c>
      <c r="D1064" s="284" t="s">
        <v>4800</v>
      </c>
    </row>
    <row r="1065" spans="1:4" x14ac:dyDescent="0.3">
      <c r="A1065" s="282" t="s">
        <v>4801</v>
      </c>
      <c r="B1065" s="283" t="s">
        <v>3186</v>
      </c>
      <c r="C1065" s="283" t="s">
        <v>3183</v>
      </c>
      <c r="D1065" s="284" t="s">
        <v>4802</v>
      </c>
    </row>
    <row r="1066" spans="1:4" x14ac:dyDescent="0.3">
      <c r="A1066" s="282" t="s">
        <v>4803</v>
      </c>
      <c r="B1066" s="283" t="s">
        <v>3186</v>
      </c>
      <c r="C1066" s="283" t="s">
        <v>3183</v>
      </c>
      <c r="D1066" s="284" t="s">
        <v>4804</v>
      </c>
    </row>
    <row r="1067" spans="1:4" x14ac:dyDescent="0.3">
      <c r="A1067" s="282" t="s">
        <v>4805</v>
      </c>
      <c r="B1067" s="283" t="s">
        <v>3186</v>
      </c>
      <c r="C1067" s="283" t="s">
        <v>3183</v>
      </c>
      <c r="D1067" s="284" t="s">
        <v>4806</v>
      </c>
    </row>
    <row r="1068" spans="1:4" x14ac:dyDescent="0.3">
      <c r="A1068" s="282" t="s">
        <v>4807</v>
      </c>
      <c r="B1068" s="283" t="s">
        <v>3186</v>
      </c>
      <c r="C1068" s="283" t="s">
        <v>3183</v>
      </c>
      <c r="D1068" s="284" t="s">
        <v>4808</v>
      </c>
    </row>
    <row r="1069" spans="1:4" x14ac:dyDescent="0.3">
      <c r="A1069" s="282" t="s">
        <v>4809</v>
      </c>
      <c r="B1069" s="283" t="s">
        <v>3186</v>
      </c>
      <c r="C1069" s="283" t="s">
        <v>3183</v>
      </c>
      <c r="D1069" s="284" t="s">
        <v>4810</v>
      </c>
    </row>
    <row r="1070" spans="1:4" x14ac:dyDescent="0.3">
      <c r="A1070" s="282" t="s">
        <v>4811</v>
      </c>
      <c r="B1070" s="283" t="s">
        <v>3565</v>
      </c>
      <c r="C1070" s="283" t="s">
        <v>3346</v>
      </c>
      <c r="D1070" s="284" t="s">
        <v>4812</v>
      </c>
    </row>
    <row r="1071" spans="1:4" x14ac:dyDescent="0.3">
      <c r="A1071" s="282" t="s">
        <v>4813</v>
      </c>
      <c r="B1071" s="283" t="s">
        <v>3369</v>
      </c>
      <c r="C1071" s="283" t="s">
        <v>3346</v>
      </c>
      <c r="D1071" s="284" t="s">
        <v>4814</v>
      </c>
    </row>
    <row r="1072" spans="1:4" x14ac:dyDescent="0.3">
      <c r="A1072" s="282" t="s">
        <v>4815</v>
      </c>
      <c r="B1072" s="283" t="s">
        <v>3565</v>
      </c>
      <c r="C1072" s="283" t="s">
        <v>3346</v>
      </c>
      <c r="D1072" s="284" t="s">
        <v>4816</v>
      </c>
    </row>
    <row r="1073" spans="1:4" x14ac:dyDescent="0.3">
      <c r="A1073" s="282" t="s">
        <v>4817</v>
      </c>
      <c r="B1073" s="283" t="s">
        <v>3345</v>
      </c>
      <c r="C1073" s="283" t="s">
        <v>3346</v>
      </c>
      <c r="D1073" s="284" t="s">
        <v>4818</v>
      </c>
    </row>
    <row r="1074" spans="1:4" x14ac:dyDescent="0.3">
      <c r="A1074" s="282" t="s">
        <v>4819</v>
      </c>
      <c r="B1074" s="283" t="s">
        <v>4589</v>
      </c>
      <c r="C1074" s="283" t="s">
        <v>489</v>
      </c>
      <c r="D1074" s="284" t="s">
        <v>4820</v>
      </c>
    </row>
    <row r="1075" spans="1:4" x14ac:dyDescent="0.3">
      <c r="A1075" s="282" t="s">
        <v>4821</v>
      </c>
      <c r="B1075" s="283" t="s">
        <v>3357</v>
      </c>
      <c r="C1075" s="283" t="s">
        <v>3346</v>
      </c>
      <c r="D1075" s="284" t="s">
        <v>4822</v>
      </c>
    </row>
    <row r="1076" spans="1:4" x14ac:dyDescent="0.3">
      <c r="A1076" s="282" t="s">
        <v>4823</v>
      </c>
      <c r="B1076" s="283" t="s">
        <v>3565</v>
      </c>
      <c r="C1076" s="283" t="s">
        <v>3346</v>
      </c>
      <c r="D1076" s="284" t="s">
        <v>4824</v>
      </c>
    </row>
    <row r="1077" spans="1:4" x14ac:dyDescent="0.3">
      <c r="A1077" s="282" t="s">
        <v>4825</v>
      </c>
      <c r="B1077" s="283" t="s">
        <v>3369</v>
      </c>
      <c r="C1077" s="283" t="s">
        <v>3346</v>
      </c>
      <c r="D1077" s="284" t="s">
        <v>4826</v>
      </c>
    </row>
    <row r="1078" spans="1:4" x14ac:dyDescent="0.3">
      <c r="A1078" s="282" t="s">
        <v>4827</v>
      </c>
      <c r="B1078" s="283" t="s">
        <v>3276</v>
      </c>
      <c r="C1078" s="283" t="s">
        <v>3277</v>
      </c>
      <c r="D1078" s="284" t="s">
        <v>4828</v>
      </c>
    </row>
    <row r="1079" spans="1:4" x14ac:dyDescent="0.3">
      <c r="A1079" s="282" t="s">
        <v>4829</v>
      </c>
      <c r="B1079" s="283" t="s">
        <v>3369</v>
      </c>
      <c r="C1079" s="283" t="s">
        <v>3346</v>
      </c>
      <c r="D1079" s="284" t="s">
        <v>4830</v>
      </c>
    </row>
    <row r="1080" spans="1:4" x14ac:dyDescent="0.3">
      <c r="A1080" s="282" t="s">
        <v>4831</v>
      </c>
      <c r="B1080" s="283" t="s">
        <v>3687</v>
      </c>
      <c r="C1080" s="283" t="s">
        <v>2846</v>
      </c>
      <c r="D1080" s="284" t="s">
        <v>4832</v>
      </c>
    </row>
    <row r="1081" spans="1:4" x14ac:dyDescent="0.3">
      <c r="A1081" s="282" t="s">
        <v>4833</v>
      </c>
      <c r="B1081" s="283" t="s">
        <v>3687</v>
      </c>
      <c r="C1081" s="283" t="s">
        <v>2846</v>
      </c>
      <c r="D1081" s="284" t="s">
        <v>4834</v>
      </c>
    </row>
    <row r="1082" spans="1:4" x14ac:dyDescent="0.3">
      <c r="A1082" s="282" t="s">
        <v>4835</v>
      </c>
      <c r="B1082" s="283" t="s">
        <v>3687</v>
      </c>
      <c r="C1082" s="283" t="s">
        <v>3776</v>
      </c>
      <c r="D1082" s="284" t="s">
        <v>4836</v>
      </c>
    </row>
    <row r="1083" spans="1:4" x14ac:dyDescent="0.3">
      <c r="A1083" s="282" t="s">
        <v>4837</v>
      </c>
      <c r="B1083" s="283" t="s">
        <v>3787</v>
      </c>
      <c r="C1083" s="283" t="s">
        <v>3776</v>
      </c>
      <c r="D1083" s="284" t="s">
        <v>4838</v>
      </c>
    </row>
    <row r="1084" spans="1:4" x14ac:dyDescent="0.3">
      <c r="A1084" s="282" t="s">
        <v>4839</v>
      </c>
      <c r="B1084" s="283" t="s">
        <v>3687</v>
      </c>
      <c r="C1084" s="283" t="s">
        <v>3776</v>
      </c>
      <c r="D1084" s="284" t="s">
        <v>4840</v>
      </c>
    </row>
    <row r="1085" spans="1:4" x14ac:dyDescent="0.3">
      <c r="A1085" s="282" t="s">
        <v>4841</v>
      </c>
      <c r="B1085" s="283" t="s">
        <v>3787</v>
      </c>
      <c r="C1085" s="283" t="s">
        <v>3776</v>
      </c>
      <c r="D1085" s="284" t="s">
        <v>4842</v>
      </c>
    </row>
    <row r="1086" spans="1:4" x14ac:dyDescent="0.3">
      <c r="A1086" s="282" t="s">
        <v>4843</v>
      </c>
      <c r="B1086" s="283" t="s">
        <v>3687</v>
      </c>
      <c r="C1086" s="283" t="s">
        <v>3776</v>
      </c>
      <c r="D1086" s="284" t="s">
        <v>4844</v>
      </c>
    </row>
    <row r="1087" spans="1:4" x14ac:dyDescent="0.3">
      <c r="A1087" s="282" t="s">
        <v>4845</v>
      </c>
      <c r="B1087" s="283" t="s">
        <v>3687</v>
      </c>
      <c r="C1087" s="283" t="s">
        <v>3776</v>
      </c>
      <c r="D1087" s="284" t="s">
        <v>4846</v>
      </c>
    </row>
    <row r="1088" spans="1:4" x14ac:dyDescent="0.3">
      <c r="A1088" s="282" t="s">
        <v>4847</v>
      </c>
      <c r="B1088" s="283" t="s">
        <v>3687</v>
      </c>
      <c r="C1088" s="283" t="s">
        <v>3776</v>
      </c>
      <c r="D1088" s="284" t="s">
        <v>4848</v>
      </c>
    </row>
    <row r="1089" spans="1:4" x14ac:dyDescent="0.3">
      <c r="A1089" s="282" t="s">
        <v>4849</v>
      </c>
      <c r="B1089" s="283" t="s">
        <v>3824</v>
      </c>
      <c r="C1089" s="283" t="s">
        <v>3496</v>
      </c>
      <c r="D1089" s="284" t="s">
        <v>4850</v>
      </c>
    </row>
    <row r="1090" spans="1:4" x14ac:dyDescent="0.3">
      <c r="A1090" s="282" t="s">
        <v>4851</v>
      </c>
      <c r="B1090" s="283" t="s">
        <v>3773</v>
      </c>
      <c r="C1090" s="283" t="s">
        <v>3496</v>
      </c>
      <c r="D1090" s="284" t="s">
        <v>4852</v>
      </c>
    </row>
    <row r="1091" spans="1:4" x14ac:dyDescent="0.3">
      <c r="A1091" s="282" t="s">
        <v>4853</v>
      </c>
      <c r="B1091" s="283" t="s">
        <v>3773</v>
      </c>
      <c r="C1091" s="283" t="s">
        <v>3496</v>
      </c>
      <c r="D1091" s="284" t="s">
        <v>4854</v>
      </c>
    </row>
    <row r="1092" spans="1:4" x14ac:dyDescent="0.3">
      <c r="A1092" s="282" t="s">
        <v>4855</v>
      </c>
      <c r="B1092" s="283" t="s">
        <v>3773</v>
      </c>
      <c r="C1092" s="283" t="s">
        <v>3496</v>
      </c>
      <c r="D1092" s="284" t="s">
        <v>4856</v>
      </c>
    </row>
    <row r="1093" spans="1:4" x14ac:dyDescent="0.3">
      <c r="A1093" s="282" t="s">
        <v>4857</v>
      </c>
      <c r="B1093" s="283" t="s">
        <v>3949</v>
      </c>
      <c r="C1093" s="283" t="s">
        <v>3906</v>
      </c>
      <c r="D1093" s="284" t="s">
        <v>4858</v>
      </c>
    </row>
    <row r="1094" spans="1:4" x14ac:dyDescent="0.3">
      <c r="A1094" s="282" t="s">
        <v>4859</v>
      </c>
      <c r="B1094" s="283" t="s">
        <v>4033</v>
      </c>
      <c r="C1094" s="283" t="s">
        <v>3906</v>
      </c>
      <c r="D1094" s="284" t="s">
        <v>4860</v>
      </c>
    </row>
    <row r="1095" spans="1:4" x14ac:dyDescent="0.3">
      <c r="A1095" s="282" t="s">
        <v>4861</v>
      </c>
      <c r="B1095" s="283" t="s">
        <v>4058</v>
      </c>
      <c r="C1095" s="283" t="s">
        <v>3277</v>
      </c>
      <c r="D1095" s="284" t="s">
        <v>4862</v>
      </c>
    </row>
    <row r="1096" spans="1:4" x14ac:dyDescent="0.3">
      <c r="A1096" s="282" t="s">
        <v>4863</v>
      </c>
      <c r="B1096" s="283" t="s">
        <v>4385</v>
      </c>
      <c r="C1096" s="283" t="s">
        <v>3277</v>
      </c>
      <c r="D1096" s="284" t="s">
        <v>4864</v>
      </c>
    </row>
    <row r="1097" spans="1:4" x14ac:dyDescent="0.3">
      <c r="A1097" s="282" t="s">
        <v>4865</v>
      </c>
      <c r="B1097" s="283" t="s">
        <v>4058</v>
      </c>
      <c r="C1097" s="283" t="s">
        <v>3277</v>
      </c>
      <c r="D1097" s="284" t="s">
        <v>4866</v>
      </c>
    </row>
    <row r="1098" spans="1:4" x14ac:dyDescent="0.3">
      <c r="A1098" s="282" t="s">
        <v>4867</v>
      </c>
      <c r="B1098" s="283" t="s">
        <v>4058</v>
      </c>
      <c r="C1098" s="283" t="s">
        <v>3277</v>
      </c>
      <c r="D1098" s="284" t="s">
        <v>4868</v>
      </c>
    </row>
    <row r="1099" spans="1:4" x14ac:dyDescent="0.3">
      <c r="A1099" s="282" t="s">
        <v>4869</v>
      </c>
      <c r="B1099" s="283" t="s">
        <v>4058</v>
      </c>
      <c r="C1099" s="283" t="s">
        <v>3277</v>
      </c>
      <c r="D1099" s="284" t="s">
        <v>4870</v>
      </c>
    </row>
    <row r="1100" spans="1:4" x14ac:dyDescent="0.3">
      <c r="A1100" s="282" t="s">
        <v>4871</v>
      </c>
      <c r="B1100" s="283" t="s">
        <v>4058</v>
      </c>
      <c r="C1100" s="283" t="s">
        <v>3277</v>
      </c>
      <c r="D1100" s="284" t="s">
        <v>4872</v>
      </c>
    </row>
    <row r="1101" spans="1:4" x14ac:dyDescent="0.3">
      <c r="A1101" s="282" t="s">
        <v>4873</v>
      </c>
      <c r="B1101" s="283" t="s">
        <v>4385</v>
      </c>
      <c r="C1101" s="283" t="s">
        <v>3277</v>
      </c>
      <c r="D1101" s="284" t="s">
        <v>4874</v>
      </c>
    </row>
    <row r="1102" spans="1:4" x14ac:dyDescent="0.3">
      <c r="A1102" s="282" t="s">
        <v>4875</v>
      </c>
      <c r="B1102" s="283" t="s">
        <v>2595</v>
      </c>
      <c r="C1102" s="283" t="s">
        <v>3277</v>
      </c>
      <c r="D1102" s="284" t="s">
        <v>4876</v>
      </c>
    </row>
    <row r="1103" spans="1:4" x14ac:dyDescent="0.3">
      <c r="A1103" s="282" t="s">
        <v>4877</v>
      </c>
      <c r="B1103" s="283" t="s">
        <v>4053</v>
      </c>
      <c r="C1103" s="283" t="s">
        <v>3277</v>
      </c>
      <c r="D1103" s="284" t="s">
        <v>4878</v>
      </c>
    </row>
    <row r="1104" spans="1:4" x14ac:dyDescent="0.3">
      <c r="A1104" s="282" t="s">
        <v>4879</v>
      </c>
      <c r="B1104" s="283" t="s">
        <v>4053</v>
      </c>
      <c r="C1104" s="283" t="s">
        <v>3277</v>
      </c>
      <c r="D1104" s="284" t="s">
        <v>4880</v>
      </c>
    </row>
    <row r="1105" spans="1:4" x14ac:dyDescent="0.3">
      <c r="A1105" s="282" t="s">
        <v>4881</v>
      </c>
      <c r="B1105" s="283" t="s">
        <v>4053</v>
      </c>
      <c r="C1105" s="283" t="s">
        <v>3277</v>
      </c>
      <c r="D1105" s="284" t="s">
        <v>4882</v>
      </c>
    </row>
    <row r="1106" spans="1:4" x14ac:dyDescent="0.3">
      <c r="A1106" s="282" t="s">
        <v>4883</v>
      </c>
      <c r="B1106" s="283" t="s">
        <v>4058</v>
      </c>
      <c r="C1106" s="283" t="s">
        <v>3277</v>
      </c>
      <c r="D1106" s="284" t="s">
        <v>4884</v>
      </c>
    </row>
    <row r="1107" spans="1:4" x14ac:dyDescent="0.3">
      <c r="A1107" s="282" t="s">
        <v>4885</v>
      </c>
      <c r="B1107" s="283" t="s">
        <v>4347</v>
      </c>
      <c r="C1107" s="283" t="s">
        <v>3281</v>
      </c>
      <c r="D1107" s="284" t="s">
        <v>4886</v>
      </c>
    </row>
    <row r="1108" spans="1:4" x14ac:dyDescent="0.3">
      <c r="A1108" s="282" t="s">
        <v>4887</v>
      </c>
      <c r="B1108" s="283" t="s">
        <v>3280</v>
      </c>
      <c r="C1108" s="283" t="s">
        <v>3281</v>
      </c>
      <c r="D1108" s="284" t="s">
        <v>4888</v>
      </c>
    </row>
    <row r="1109" spans="1:4" x14ac:dyDescent="0.3">
      <c r="A1109" s="282" t="s">
        <v>4889</v>
      </c>
      <c r="B1109" s="283" t="s">
        <v>4378</v>
      </c>
      <c r="C1109" s="283" t="s">
        <v>3281</v>
      </c>
      <c r="D1109" s="284" t="s">
        <v>4890</v>
      </c>
    </row>
    <row r="1110" spans="1:4" x14ac:dyDescent="0.3">
      <c r="A1110" s="282" t="s">
        <v>4891</v>
      </c>
      <c r="B1110" s="283" t="s">
        <v>4503</v>
      </c>
      <c r="C1110" s="283" t="s">
        <v>3281</v>
      </c>
      <c r="D1110" s="284" t="s">
        <v>4892</v>
      </c>
    </row>
    <row r="1111" spans="1:4" x14ac:dyDescent="0.3">
      <c r="A1111" s="282" t="s">
        <v>4891</v>
      </c>
      <c r="B1111" s="283" t="s">
        <v>4347</v>
      </c>
      <c r="C1111" s="283" t="s">
        <v>3281</v>
      </c>
      <c r="D1111" s="284" t="s">
        <v>4893</v>
      </c>
    </row>
    <row r="1112" spans="1:4" x14ac:dyDescent="0.3">
      <c r="A1112" s="282" t="s">
        <v>4894</v>
      </c>
      <c r="B1112" s="283" t="s">
        <v>4895</v>
      </c>
      <c r="C1112" s="283" t="s">
        <v>3281</v>
      </c>
      <c r="D1112" s="284" t="s">
        <v>4896</v>
      </c>
    </row>
    <row r="1113" spans="1:4" x14ac:dyDescent="0.3">
      <c r="A1113" s="282" t="s">
        <v>4897</v>
      </c>
      <c r="B1113" s="283" t="s">
        <v>4347</v>
      </c>
      <c r="C1113" s="283" t="s">
        <v>3281</v>
      </c>
      <c r="D1113" s="284" t="s">
        <v>4898</v>
      </c>
    </row>
    <row r="1114" spans="1:4" x14ac:dyDescent="0.3">
      <c r="A1114" s="282" t="s">
        <v>4899</v>
      </c>
      <c r="B1114" s="283" t="s">
        <v>3204</v>
      </c>
      <c r="C1114" s="283" t="s">
        <v>3183</v>
      </c>
      <c r="D1114" s="284" t="s">
        <v>4900</v>
      </c>
    </row>
    <row r="1115" spans="1:4" x14ac:dyDescent="0.3">
      <c r="A1115" s="282" t="s">
        <v>4901</v>
      </c>
      <c r="B1115" s="283" t="s">
        <v>3204</v>
      </c>
      <c r="C1115" s="283" t="s">
        <v>3183</v>
      </c>
      <c r="D1115" s="284" t="s">
        <v>4902</v>
      </c>
    </row>
    <row r="1116" spans="1:4" x14ac:dyDescent="0.3">
      <c r="A1116" s="282" t="s">
        <v>4903</v>
      </c>
      <c r="B1116" s="283" t="s">
        <v>3186</v>
      </c>
      <c r="C1116" s="283" t="s">
        <v>3183</v>
      </c>
      <c r="D1116" s="284" t="s">
        <v>4904</v>
      </c>
    </row>
    <row r="1117" spans="1:4" x14ac:dyDescent="0.3">
      <c r="A1117" s="282" t="s">
        <v>4905</v>
      </c>
      <c r="B1117" s="283" t="s">
        <v>2708</v>
      </c>
      <c r="C1117" s="283" t="s">
        <v>3183</v>
      </c>
      <c r="D1117" s="284" t="s">
        <v>4906</v>
      </c>
    </row>
    <row r="1118" spans="1:4" x14ac:dyDescent="0.3">
      <c r="A1118" s="282" t="s">
        <v>4907</v>
      </c>
      <c r="B1118" s="283" t="s">
        <v>4058</v>
      </c>
      <c r="C1118" s="283" t="s">
        <v>3277</v>
      </c>
      <c r="D1118" s="284" t="s">
        <v>4908</v>
      </c>
    </row>
    <row r="1119" spans="1:4" x14ac:dyDescent="0.3">
      <c r="A1119" s="282" t="s">
        <v>4909</v>
      </c>
      <c r="B1119" s="283" t="s">
        <v>3204</v>
      </c>
      <c r="C1119" s="283" t="s">
        <v>3183</v>
      </c>
      <c r="D1119" s="284" t="s">
        <v>4910</v>
      </c>
    </row>
    <row r="1120" spans="1:4" x14ac:dyDescent="0.3">
      <c r="A1120" s="282" t="s">
        <v>4911</v>
      </c>
      <c r="B1120" s="283" t="s">
        <v>3345</v>
      </c>
      <c r="C1120" s="283" t="s">
        <v>3346</v>
      </c>
      <c r="D1120" s="284" t="s">
        <v>4912</v>
      </c>
    </row>
    <row r="1121" spans="1:4" x14ac:dyDescent="0.3">
      <c r="A1121" s="282" t="s">
        <v>4913</v>
      </c>
      <c r="B1121" s="283" t="s">
        <v>3366</v>
      </c>
      <c r="C1121" s="283" t="s">
        <v>3346</v>
      </c>
      <c r="D1121" s="284" t="s">
        <v>4914</v>
      </c>
    </row>
    <row r="1122" spans="1:4" x14ac:dyDescent="0.3">
      <c r="A1122" s="282" t="s">
        <v>4915</v>
      </c>
      <c r="B1122" s="283" t="s">
        <v>3369</v>
      </c>
      <c r="C1122" s="283" t="s">
        <v>3346</v>
      </c>
      <c r="D1122" s="284" t="s">
        <v>4916</v>
      </c>
    </row>
    <row r="1123" spans="1:4" x14ac:dyDescent="0.3">
      <c r="A1123" s="282" t="s">
        <v>4917</v>
      </c>
      <c r="B1123" s="283" t="s">
        <v>3366</v>
      </c>
      <c r="C1123" s="283" t="s">
        <v>3346</v>
      </c>
      <c r="D1123" s="284" t="s">
        <v>4918</v>
      </c>
    </row>
    <row r="1124" spans="1:4" x14ac:dyDescent="0.3">
      <c r="A1124" s="282" t="s">
        <v>4919</v>
      </c>
      <c r="B1124" s="283" t="s">
        <v>3366</v>
      </c>
      <c r="C1124" s="283" t="s">
        <v>3346</v>
      </c>
      <c r="D1124" s="284" t="s">
        <v>4920</v>
      </c>
    </row>
    <row r="1125" spans="1:4" x14ac:dyDescent="0.3">
      <c r="A1125" s="282" t="s">
        <v>4921</v>
      </c>
      <c r="B1125" s="283" t="s">
        <v>3345</v>
      </c>
      <c r="C1125" s="283" t="s">
        <v>3346</v>
      </c>
      <c r="D1125" s="284" t="s">
        <v>4922</v>
      </c>
    </row>
    <row r="1126" spans="1:4" x14ac:dyDescent="0.3">
      <c r="A1126" s="282" t="s">
        <v>4923</v>
      </c>
      <c r="B1126" s="283" t="s">
        <v>4162</v>
      </c>
      <c r="C1126" s="283" t="s">
        <v>3281</v>
      </c>
      <c r="D1126" s="284" t="s">
        <v>4924</v>
      </c>
    </row>
    <row r="1127" spans="1:4" x14ac:dyDescent="0.3">
      <c r="A1127" s="282" t="s">
        <v>4925</v>
      </c>
      <c r="B1127" s="283" t="s">
        <v>3366</v>
      </c>
      <c r="C1127" s="283" t="s">
        <v>3346</v>
      </c>
      <c r="D1127" s="284" t="s">
        <v>4926</v>
      </c>
    </row>
    <row r="1128" spans="1:4" x14ac:dyDescent="0.3">
      <c r="A1128" s="282" t="s">
        <v>4927</v>
      </c>
      <c r="B1128" s="283" t="s">
        <v>3366</v>
      </c>
      <c r="C1128" s="283" t="s">
        <v>3346</v>
      </c>
      <c r="D1128" s="284" t="s">
        <v>4928</v>
      </c>
    </row>
    <row r="1129" spans="1:4" x14ac:dyDescent="0.3">
      <c r="A1129" s="282" t="s">
        <v>4929</v>
      </c>
      <c r="B1129" s="283" t="s">
        <v>4930</v>
      </c>
      <c r="C1129" s="283" t="s">
        <v>3281</v>
      </c>
      <c r="D1129" s="284" t="s">
        <v>4931</v>
      </c>
    </row>
    <row r="1130" spans="1:4" x14ac:dyDescent="0.3">
      <c r="A1130" s="282" t="s">
        <v>4932</v>
      </c>
      <c r="B1130" s="283" t="s">
        <v>2597</v>
      </c>
      <c r="C1130" s="283" t="s">
        <v>3346</v>
      </c>
      <c r="D1130" s="284" t="s">
        <v>4933</v>
      </c>
    </row>
    <row r="1131" spans="1:4" x14ac:dyDescent="0.3">
      <c r="A1131" s="282" t="s">
        <v>4934</v>
      </c>
      <c r="B1131" s="283" t="s">
        <v>3345</v>
      </c>
      <c r="C1131" s="283" t="s">
        <v>3346</v>
      </c>
      <c r="D1131" s="284" t="s">
        <v>4935</v>
      </c>
    </row>
    <row r="1132" spans="1:4" x14ac:dyDescent="0.3">
      <c r="A1132" s="282" t="s">
        <v>4936</v>
      </c>
      <c r="B1132" s="283" t="s">
        <v>3369</v>
      </c>
      <c r="C1132" s="283" t="s">
        <v>3346</v>
      </c>
      <c r="D1132" s="284" t="s">
        <v>4937</v>
      </c>
    </row>
    <row r="1133" spans="1:4" x14ac:dyDescent="0.3">
      <c r="A1133" s="282" t="s">
        <v>4938</v>
      </c>
      <c r="B1133" s="283" t="s">
        <v>3345</v>
      </c>
      <c r="C1133" s="283" t="s">
        <v>3346</v>
      </c>
      <c r="D1133" s="284" t="s">
        <v>4939</v>
      </c>
    </row>
    <row r="1134" spans="1:4" x14ac:dyDescent="0.3">
      <c r="A1134" s="282" t="s">
        <v>4940</v>
      </c>
      <c r="B1134" s="283" t="s">
        <v>3369</v>
      </c>
      <c r="C1134" s="283" t="s">
        <v>3346</v>
      </c>
      <c r="D1134" s="284" t="s">
        <v>4941</v>
      </c>
    </row>
    <row r="1135" spans="1:4" x14ac:dyDescent="0.3">
      <c r="A1135" s="282" t="s">
        <v>4942</v>
      </c>
      <c r="B1135" s="283" t="s">
        <v>3905</v>
      </c>
      <c r="C1135" s="283" t="s">
        <v>3906</v>
      </c>
      <c r="D1135" s="284" t="s">
        <v>4943</v>
      </c>
    </row>
    <row r="1136" spans="1:4" x14ac:dyDescent="0.3">
      <c r="A1136" s="282" t="s">
        <v>4944</v>
      </c>
      <c r="B1136" s="283" t="s">
        <v>3905</v>
      </c>
      <c r="C1136" s="283" t="s">
        <v>3906</v>
      </c>
      <c r="D1136" s="284" t="s">
        <v>4945</v>
      </c>
    </row>
    <row r="1137" spans="1:4" x14ac:dyDescent="0.3">
      <c r="A1137" s="282" t="s">
        <v>4946</v>
      </c>
      <c r="B1137" s="283" t="s">
        <v>3905</v>
      </c>
      <c r="C1137" s="283" t="s">
        <v>3906</v>
      </c>
      <c r="D1137" s="284" t="s">
        <v>4947</v>
      </c>
    </row>
    <row r="1138" spans="1:4" x14ac:dyDescent="0.3">
      <c r="A1138" s="282" t="s">
        <v>4948</v>
      </c>
      <c r="B1138" s="283" t="s">
        <v>3905</v>
      </c>
      <c r="C1138" s="283" t="s">
        <v>3906</v>
      </c>
      <c r="D1138" s="284" t="s">
        <v>4949</v>
      </c>
    </row>
    <row r="1139" spans="1:4" x14ac:dyDescent="0.3">
      <c r="A1139" s="282" t="s">
        <v>4950</v>
      </c>
      <c r="B1139" s="283" t="s">
        <v>2708</v>
      </c>
      <c r="C1139" s="283" t="s">
        <v>489</v>
      </c>
      <c r="D1139" s="284" t="s">
        <v>4951</v>
      </c>
    </row>
    <row r="1140" spans="1:4" x14ac:dyDescent="0.3">
      <c r="A1140" s="282" t="s">
        <v>4952</v>
      </c>
      <c r="B1140" s="283" t="s">
        <v>2708</v>
      </c>
      <c r="C1140" s="283" t="s">
        <v>3906</v>
      </c>
      <c r="D1140" s="284" t="s">
        <v>4953</v>
      </c>
    </row>
    <row r="1141" spans="1:4" x14ac:dyDescent="0.3">
      <c r="A1141" s="282" t="s">
        <v>4954</v>
      </c>
      <c r="B1141" s="283" t="s">
        <v>3186</v>
      </c>
      <c r="C1141" s="283" t="s">
        <v>3183</v>
      </c>
      <c r="D1141" s="284" t="s">
        <v>4955</v>
      </c>
    </row>
    <row r="1142" spans="1:4" x14ac:dyDescent="0.3">
      <c r="A1142" s="282" t="s">
        <v>4956</v>
      </c>
      <c r="B1142" s="283" t="s">
        <v>4058</v>
      </c>
      <c r="C1142" s="283" t="s">
        <v>3277</v>
      </c>
      <c r="D1142" s="284" t="s">
        <v>4957</v>
      </c>
    </row>
    <row r="1143" spans="1:4" x14ac:dyDescent="0.3">
      <c r="A1143" s="282" t="s">
        <v>4958</v>
      </c>
      <c r="B1143" s="283" t="s">
        <v>4959</v>
      </c>
      <c r="C1143" s="283" t="s">
        <v>3277</v>
      </c>
      <c r="D1143" s="284" t="s">
        <v>4960</v>
      </c>
    </row>
    <row r="1144" spans="1:4" x14ac:dyDescent="0.3">
      <c r="A1144" s="282" t="s">
        <v>4961</v>
      </c>
      <c r="B1144" s="283" t="s">
        <v>4385</v>
      </c>
      <c r="C1144" s="283" t="s">
        <v>3277</v>
      </c>
      <c r="D1144" s="284" t="s">
        <v>4962</v>
      </c>
    </row>
    <row r="1145" spans="1:4" x14ac:dyDescent="0.3">
      <c r="A1145" s="282" t="s">
        <v>4963</v>
      </c>
      <c r="B1145" s="283" t="s">
        <v>4058</v>
      </c>
      <c r="C1145" s="283" t="s">
        <v>3277</v>
      </c>
      <c r="D1145" s="284" t="s">
        <v>4964</v>
      </c>
    </row>
    <row r="1146" spans="1:4" x14ac:dyDescent="0.3">
      <c r="A1146" s="282" t="s">
        <v>4965</v>
      </c>
      <c r="B1146" s="283" t="s">
        <v>4058</v>
      </c>
      <c r="C1146" s="283" t="s">
        <v>3277</v>
      </c>
      <c r="D1146" s="284" t="s">
        <v>4966</v>
      </c>
    </row>
    <row r="1147" spans="1:4" x14ac:dyDescent="0.3">
      <c r="A1147" s="282" t="s">
        <v>4967</v>
      </c>
      <c r="B1147" s="283" t="s">
        <v>4347</v>
      </c>
      <c r="C1147" s="283" t="s">
        <v>3281</v>
      </c>
      <c r="D1147" s="284" t="s">
        <v>4968</v>
      </c>
    </row>
    <row r="1148" spans="1:4" x14ac:dyDescent="0.3">
      <c r="A1148" s="282" t="s">
        <v>4969</v>
      </c>
      <c r="B1148" s="283" t="s">
        <v>2708</v>
      </c>
      <c r="C1148" s="283" t="s">
        <v>3183</v>
      </c>
      <c r="D1148" s="284" t="s">
        <v>4970</v>
      </c>
    </row>
    <row r="1149" spans="1:4" x14ac:dyDescent="0.3">
      <c r="A1149" s="282" t="s">
        <v>4971</v>
      </c>
      <c r="B1149" s="283" t="s">
        <v>4683</v>
      </c>
      <c r="C1149" s="283" t="s">
        <v>3183</v>
      </c>
      <c r="D1149" s="284" t="s">
        <v>4972</v>
      </c>
    </row>
    <row r="1150" spans="1:4" x14ac:dyDescent="0.3">
      <c r="A1150" s="282" t="s">
        <v>4973</v>
      </c>
      <c r="B1150" s="283" t="s">
        <v>2708</v>
      </c>
      <c r="C1150" s="283" t="s">
        <v>3183</v>
      </c>
      <c r="D1150" s="284" t="s">
        <v>4317</v>
      </c>
    </row>
    <row r="1151" spans="1:4" x14ac:dyDescent="0.3">
      <c r="A1151" s="282" t="s">
        <v>4974</v>
      </c>
      <c r="B1151" s="283" t="s">
        <v>3215</v>
      </c>
      <c r="C1151" s="283" t="s">
        <v>3183</v>
      </c>
      <c r="D1151" s="284" t="s">
        <v>3458</v>
      </c>
    </row>
    <row r="1152" spans="1:4" x14ac:dyDescent="0.3">
      <c r="A1152" s="282" t="s">
        <v>4975</v>
      </c>
      <c r="B1152" s="283" t="s">
        <v>2708</v>
      </c>
      <c r="C1152" s="283" t="s">
        <v>3183</v>
      </c>
      <c r="D1152" s="284" t="s">
        <v>4976</v>
      </c>
    </row>
    <row r="1153" spans="1:4" x14ac:dyDescent="0.3">
      <c r="A1153" s="282" t="s">
        <v>4977</v>
      </c>
      <c r="B1153" s="283" t="s">
        <v>3298</v>
      </c>
      <c r="C1153" s="283" t="s">
        <v>3183</v>
      </c>
      <c r="D1153" s="284" t="s">
        <v>4978</v>
      </c>
    </row>
    <row r="1154" spans="1:4" x14ac:dyDescent="0.3">
      <c r="A1154" s="282" t="s">
        <v>4979</v>
      </c>
      <c r="B1154" s="283" t="s">
        <v>2708</v>
      </c>
      <c r="C1154" s="283" t="s">
        <v>3183</v>
      </c>
      <c r="D1154" s="284" t="s">
        <v>4980</v>
      </c>
    </row>
    <row r="1155" spans="1:4" x14ac:dyDescent="0.3">
      <c r="A1155" s="282" t="s">
        <v>4981</v>
      </c>
      <c r="B1155" s="283" t="s">
        <v>3186</v>
      </c>
      <c r="C1155" s="283" t="s">
        <v>3183</v>
      </c>
      <c r="D1155" s="284" t="s">
        <v>4982</v>
      </c>
    </row>
    <row r="1156" spans="1:4" x14ac:dyDescent="0.3">
      <c r="A1156" s="282" t="s">
        <v>4983</v>
      </c>
      <c r="B1156" s="283" t="s">
        <v>2708</v>
      </c>
      <c r="C1156" s="283" t="s">
        <v>3183</v>
      </c>
      <c r="D1156" s="284" t="s">
        <v>4984</v>
      </c>
    </row>
    <row r="1157" spans="1:4" x14ac:dyDescent="0.3">
      <c r="A1157" s="282" t="s">
        <v>4985</v>
      </c>
      <c r="B1157" s="283" t="s">
        <v>2708</v>
      </c>
      <c r="C1157" s="283" t="s">
        <v>3183</v>
      </c>
      <c r="D1157" s="284" t="s">
        <v>4986</v>
      </c>
    </row>
    <row r="1158" spans="1:4" x14ac:dyDescent="0.3">
      <c r="A1158" s="282" t="s">
        <v>4987</v>
      </c>
      <c r="B1158" s="283" t="s">
        <v>2708</v>
      </c>
      <c r="C1158" s="283" t="s">
        <v>3183</v>
      </c>
      <c r="D1158" s="284" t="s">
        <v>4988</v>
      </c>
    </row>
    <row r="1159" spans="1:4" x14ac:dyDescent="0.3">
      <c r="A1159" s="282" t="s">
        <v>4989</v>
      </c>
      <c r="B1159" s="283" t="s">
        <v>3192</v>
      </c>
      <c r="C1159" s="283" t="s">
        <v>3183</v>
      </c>
      <c r="D1159" s="284" t="s">
        <v>4990</v>
      </c>
    </row>
    <row r="1160" spans="1:4" x14ac:dyDescent="0.3">
      <c r="A1160" s="282" t="s">
        <v>4991</v>
      </c>
      <c r="B1160" s="283" t="s">
        <v>2708</v>
      </c>
      <c r="C1160" s="283" t="s">
        <v>3183</v>
      </c>
      <c r="D1160" s="284" t="s">
        <v>4992</v>
      </c>
    </row>
    <row r="1161" spans="1:4" x14ac:dyDescent="0.3">
      <c r="A1161" s="282" t="s">
        <v>4993</v>
      </c>
      <c r="B1161" s="283" t="s">
        <v>2708</v>
      </c>
      <c r="C1161" s="283" t="s">
        <v>3183</v>
      </c>
      <c r="D1161" s="284" t="s">
        <v>4994</v>
      </c>
    </row>
    <row r="1162" spans="1:4" x14ac:dyDescent="0.3">
      <c r="A1162" s="282" t="s">
        <v>4995</v>
      </c>
      <c r="B1162" s="283" t="s">
        <v>3182</v>
      </c>
      <c r="C1162" s="283" t="s">
        <v>3183</v>
      </c>
      <c r="D1162" s="284" t="s">
        <v>4996</v>
      </c>
    </row>
    <row r="1163" spans="1:4" x14ac:dyDescent="0.3">
      <c r="A1163" s="282" t="s">
        <v>4997</v>
      </c>
      <c r="B1163" s="283" t="s">
        <v>3189</v>
      </c>
      <c r="C1163" s="283" t="s">
        <v>3183</v>
      </c>
      <c r="D1163" s="284" t="s">
        <v>4998</v>
      </c>
    </row>
    <row r="1164" spans="1:4" x14ac:dyDescent="0.3">
      <c r="A1164" s="282" t="s">
        <v>4999</v>
      </c>
      <c r="B1164" s="283" t="s">
        <v>2708</v>
      </c>
      <c r="C1164" s="283" t="s">
        <v>3183</v>
      </c>
      <c r="D1164" s="284" t="s">
        <v>5000</v>
      </c>
    </row>
    <row r="1165" spans="1:4" x14ac:dyDescent="0.3">
      <c r="A1165" s="282" t="s">
        <v>5001</v>
      </c>
      <c r="B1165" s="283" t="s">
        <v>3204</v>
      </c>
      <c r="C1165" s="283" t="s">
        <v>3183</v>
      </c>
      <c r="D1165" s="284" t="s">
        <v>5002</v>
      </c>
    </row>
    <row r="1166" spans="1:4" x14ac:dyDescent="0.3">
      <c r="A1166" s="282" t="s">
        <v>5003</v>
      </c>
      <c r="B1166" s="283" t="s">
        <v>3215</v>
      </c>
      <c r="C1166" s="283" t="s">
        <v>3183</v>
      </c>
      <c r="D1166" s="284" t="s">
        <v>5004</v>
      </c>
    </row>
    <row r="1167" spans="1:4" x14ac:dyDescent="0.3">
      <c r="A1167" s="282" t="s">
        <v>5005</v>
      </c>
      <c r="B1167" s="283" t="s">
        <v>4058</v>
      </c>
      <c r="C1167" s="283" t="s">
        <v>3277</v>
      </c>
      <c r="D1167" s="284" t="s">
        <v>5006</v>
      </c>
    </row>
    <row r="1168" spans="1:4" x14ac:dyDescent="0.3">
      <c r="A1168" s="282" t="s">
        <v>5007</v>
      </c>
      <c r="B1168" s="283" t="s">
        <v>4058</v>
      </c>
      <c r="C1168" s="283" t="s">
        <v>3277</v>
      </c>
      <c r="D1168" s="284" t="s">
        <v>5008</v>
      </c>
    </row>
    <row r="1169" spans="1:4" x14ac:dyDescent="0.3">
      <c r="A1169" s="282" t="s">
        <v>5009</v>
      </c>
      <c r="B1169" s="283" t="s">
        <v>3905</v>
      </c>
      <c r="C1169" s="283" t="s">
        <v>3906</v>
      </c>
      <c r="D1169" s="284" t="s">
        <v>5010</v>
      </c>
    </row>
    <row r="1170" spans="1:4" x14ac:dyDescent="0.3">
      <c r="A1170" s="282" t="s">
        <v>5011</v>
      </c>
      <c r="B1170" s="283" t="s">
        <v>4347</v>
      </c>
      <c r="C1170" s="283" t="s">
        <v>3281</v>
      </c>
      <c r="D1170" s="284" t="s">
        <v>5012</v>
      </c>
    </row>
    <row r="1171" spans="1:4" x14ac:dyDescent="0.3">
      <c r="A1171" s="282" t="s">
        <v>5013</v>
      </c>
      <c r="B1171" s="283" t="s">
        <v>3687</v>
      </c>
      <c r="C1171" s="283" t="s">
        <v>3776</v>
      </c>
      <c r="D1171" s="284" t="s">
        <v>5014</v>
      </c>
    </row>
    <row r="1172" spans="1:4" x14ac:dyDescent="0.3">
      <c r="A1172" s="282" t="s">
        <v>5015</v>
      </c>
      <c r="B1172" s="283" t="s">
        <v>4589</v>
      </c>
      <c r="C1172" s="283" t="s">
        <v>489</v>
      </c>
      <c r="D1172" s="284" t="s">
        <v>5016</v>
      </c>
    </row>
    <row r="1173" spans="1:4" x14ac:dyDescent="0.3">
      <c r="A1173" s="282" t="s">
        <v>5017</v>
      </c>
      <c r="B1173" s="283" t="s">
        <v>4589</v>
      </c>
      <c r="C1173" s="283" t="s">
        <v>489</v>
      </c>
      <c r="D1173" s="284" t="s">
        <v>5018</v>
      </c>
    </row>
    <row r="1174" spans="1:4" x14ac:dyDescent="0.3">
      <c r="A1174" s="282" t="s">
        <v>5019</v>
      </c>
      <c r="B1174" s="283" t="s">
        <v>3687</v>
      </c>
      <c r="C1174" s="283" t="s">
        <v>2846</v>
      </c>
      <c r="D1174" s="284" t="s">
        <v>5020</v>
      </c>
    </row>
    <row r="1175" spans="1:4" x14ac:dyDescent="0.3">
      <c r="A1175" s="282" t="s">
        <v>5021</v>
      </c>
      <c r="B1175" s="283" t="s">
        <v>4347</v>
      </c>
      <c r="C1175" s="283" t="s">
        <v>3281</v>
      </c>
      <c r="D1175" s="284" t="s">
        <v>5022</v>
      </c>
    </row>
    <row r="1176" spans="1:4" x14ac:dyDescent="0.3">
      <c r="A1176" s="282" t="s">
        <v>5023</v>
      </c>
      <c r="B1176" s="283" t="s">
        <v>4347</v>
      </c>
      <c r="C1176" s="283" t="s">
        <v>3281</v>
      </c>
      <c r="D1176" s="284" t="s">
        <v>5024</v>
      </c>
    </row>
    <row r="1177" spans="1:4" x14ac:dyDescent="0.3">
      <c r="A1177" s="282" t="s">
        <v>5025</v>
      </c>
      <c r="B1177" s="283" t="s">
        <v>2708</v>
      </c>
      <c r="C1177" s="283" t="s">
        <v>489</v>
      </c>
      <c r="D1177" s="284" t="s">
        <v>5026</v>
      </c>
    </row>
    <row r="1178" spans="1:4" x14ac:dyDescent="0.3">
      <c r="A1178" s="282" t="s">
        <v>5027</v>
      </c>
      <c r="B1178" s="283" t="s">
        <v>3687</v>
      </c>
      <c r="C1178" s="283" t="s">
        <v>3776</v>
      </c>
      <c r="D1178" s="284" t="s">
        <v>5028</v>
      </c>
    </row>
    <row r="1179" spans="1:4" x14ac:dyDescent="0.3">
      <c r="A1179" s="282" t="s">
        <v>5029</v>
      </c>
      <c r="B1179" s="283" t="s">
        <v>5030</v>
      </c>
      <c r="C1179" s="283" t="s">
        <v>3281</v>
      </c>
      <c r="D1179" s="284" t="s">
        <v>5031</v>
      </c>
    </row>
    <row r="1180" spans="1:4" x14ac:dyDescent="0.3">
      <c r="A1180" s="282" t="s">
        <v>5032</v>
      </c>
      <c r="B1180" s="283" t="s">
        <v>3366</v>
      </c>
      <c r="C1180" s="283" t="s">
        <v>3346</v>
      </c>
      <c r="D1180" s="284" t="s">
        <v>5033</v>
      </c>
    </row>
    <row r="1181" spans="1:4" x14ac:dyDescent="0.3">
      <c r="A1181" s="282" t="s">
        <v>5034</v>
      </c>
      <c r="B1181" s="283" t="s">
        <v>3366</v>
      </c>
      <c r="C1181" s="283" t="s">
        <v>3346</v>
      </c>
      <c r="D1181" s="284" t="s">
        <v>2891</v>
      </c>
    </row>
    <row r="1182" spans="1:4" x14ac:dyDescent="0.3">
      <c r="A1182" s="282" t="s">
        <v>5035</v>
      </c>
      <c r="B1182" s="283" t="s">
        <v>4058</v>
      </c>
      <c r="C1182" s="283" t="s">
        <v>3277</v>
      </c>
      <c r="D1182" s="284" t="s">
        <v>5036</v>
      </c>
    </row>
    <row r="1183" spans="1:4" x14ac:dyDescent="0.3">
      <c r="A1183" s="282" t="s">
        <v>5037</v>
      </c>
      <c r="B1183" s="283" t="s">
        <v>4347</v>
      </c>
      <c r="C1183" s="283" t="s">
        <v>3281</v>
      </c>
      <c r="D1183" s="284" t="s">
        <v>5038</v>
      </c>
    </row>
    <row r="1184" spans="1:4" x14ac:dyDescent="0.3">
      <c r="A1184" s="282" t="s">
        <v>5039</v>
      </c>
      <c r="B1184" s="283" t="s">
        <v>4347</v>
      </c>
      <c r="C1184" s="283" t="s">
        <v>3281</v>
      </c>
      <c r="D1184" s="284" t="s">
        <v>5040</v>
      </c>
    </row>
    <row r="1185" spans="1:4" x14ac:dyDescent="0.3">
      <c r="A1185" s="282" t="s">
        <v>5041</v>
      </c>
      <c r="B1185" s="283" t="s">
        <v>2597</v>
      </c>
      <c r="C1185" s="283" t="s">
        <v>3346</v>
      </c>
      <c r="D1185" s="284" t="s">
        <v>5042</v>
      </c>
    </row>
    <row r="1186" spans="1:4" x14ac:dyDescent="0.3">
      <c r="A1186" s="282" t="s">
        <v>5043</v>
      </c>
      <c r="B1186" s="283" t="s">
        <v>4070</v>
      </c>
      <c r="C1186" s="283" t="s">
        <v>3277</v>
      </c>
      <c r="D1186" s="284" t="s">
        <v>5044</v>
      </c>
    </row>
    <row r="1187" spans="1:4" x14ac:dyDescent="0.3">
      <c r="A1187" s="282" t="s">
        <v>5045</v>
      </c>
      <c r="B1187" s="283" t="s">
        <v>4058</v>
      </c>
      <c r="C1187" s="283" t="s">
        <v>3277</v>
      </c>
      <c r="D1187" s="284" t="s">
        <v>5046</v>
      </c>
    </row>
    <row r="1188" spans="1:4" x14ac:dyDescent="0.3">
      <c r="A1188" s="282" t="s">
        <v>5047</v>
      </c>
      <c r="B1188" s="283" t="s">
        <v>3366</v>
      </c>
      <c r="C1188" s="283" t="s">
        <v>3346</v>
      </c>
      <c r="D1188" s="284" t="s">
        <v>5048</v>
      </c>
    </row>
    <row r="1189" spans="1:4" x14ac:dyDescent="0.3">
      <c r="A1189" s="282" t="s">
        <v>5049</v>
      </c>
      <c r="B1189" s="283" t="s">
        <v>4058</v>
      </c>
      <c r="C1189" s="283" t="s">
        <v>3277</v>
      </c>
      <c r="D1189" s="284" t="s">
        <v>5050</v>
      </c>
    </row>
    <row r="1190" spans="1:4" x14ac:dyDescent="0.3">
      <c r="A1190" s="282" t="s">
        <v>5051</v>
      </c>
      <c r="B1190" s="283" t="s">
        <v>4058</v>
      </c>
      <c r="C1190" s="283" t="s">
        <v>3277</v>
      </c>
      <c r="D1190" s="284" t="s">
        <v>5052</v>
      </c>
    </row>
    <row r="1191" spans="1:4" x14ac:dyDescent="0.3">
      <c r="A1191" s="282" t="s">
        <v>5053</v>
      </c>
      <c r="B1191" s="283" t="s">
        <v>4058</v>
      </c>
      <c r="C1191" s="283" t="s">
        <v>3277</v>
      </c>
      <c r="D1191" s="284" t="s">
        <v>5054</v>
      </c>
    </row>
    <row r="1192" spans="1:4" x14ac:dyDescent="0.3">
      <c r="A1192" s="282" t="s">
        <v>5055</v>
      </c>
      <c r="B1192" s="283" t="s">
        <v>3366</v>
      </c>
      <c r="C1192" s="283" t="s">
        <v>3346</v>
      </c>
      <c r="D1192" s="284" t="s">
        <v>5056</v>
      </c>
    </row>
    <row r="1193" spans="1:4" x14ac:dyDescent="0.3">
      <c r="A1193" s="282" t="s">
        <v>5057</v>
      </c>
      <c r="B1193" s="283" t="s">
        <v>4058</v>
      </c>
      <c r="C1193" s="283" t="s">
        <v>3277</v>
      </c>
      <c r="D1193" s="284" t="s">
        <v>5058</v>
      </c>
    </row>
    <row r="1194" spans="1:4" x14ac:dyDescent="0.3">
      <c r="A1194" s="282" t="s">
        <v>5059</v>
      </c>
      <c r="B1194" s="283" t="s">
        <v>4390</v>
      </c>
      <c r="C1194" s="283" t="s">
        <v>3281</v>
      </c>
      <c r="D1194" s="284" t="s">
        <v>5060</v>
      </c>
    </row>
    <row r="1195" spans="1:4" x14ac:dyDescent="0.3">
      <c r="A1195" s="282" t="s">
        <v>5061</v>
      </c>
      <c r="B1195" s="283" t="s">
        <v>3345</v>
      </c>
      <c r="C1195" s="283" t="s">
        <v>3346</v>
      </c>
      <c r="D1195" s="284" t="s">
        <v>5062</v>
      </c>
    </row>
    <row r="1196" spans="1:4" x14ac:dyDescent="0.3">
      <c r="A1196" s="282" t="s">
        <v>5063</v>
      </c>
      <c r="B1196" s="283" t="s">
        <v>3345</v>
      </c>
      <c r="C1196" s="283" t="s">
        <v>3346</v>
      </c>
      <c r="D1196" s="284" t="s">
        <v>5064</v>
      </c>
    </row>
    <row r="1197" spans="1:4" x14ac:dyDescent="0.3">
      <c r="A1197" s="282" t="s">
        <v>5065</v>
      </c>
      <c r="B1197" s="283" t="s">
        <v>3366</v>
      </c>
      <c r="C1197" s="283" t="s">
        <v>3346</v>
      </c>
      <c r="D1197" s="284" t="s">
        <v>5066</v>
      </c>
    </row>
    <row r="1198" spans="1:4" x14ac:dyDescent="0.3">
      <c r="A1198" s="282" t="s">
        <v>5067</v>
      </c>
      <c r="B1198" s="283" t="s">
        <v>3366</v>
      </c>
      <c r="C1198" s="283" t="s">
        <v>3346</v>
      </c>
      <c r="D1198" s="284" t="s">
        <v>5068</v>
      </c>
    </row>
    <row r="1199" spans="1:4" x14ac:dyDescent="0.3">
      <c r="A1199" s="282" t="s">
        <v>5069</v>
      </c>
      <c r="B1199" s="283" t="s">
        <v>3366</v>
      </c>
      <c r="C1199" s="283" t="s">
        <v>3346</v>
      </c>
      <c r="D1199" s="284" t="s">
        <v>5070</v>
      </c>
    </row>
    <row r="1200" spans="1:4" x14ac:dyDescent="0.3">
      <c r="A1200" s="282" t="s">
        <v>5071</v>
      </c>
      <c r="B1200" s="283" t="s">
        <v>3345</v>
      </c>
      <c r="C1200" s="283" t="s">
        <v>3346</v>
      </c>
      <c r="D1200" s="284" t="s">
        <v>5072</v>
      </c>
    </row>
    <row r="1201" spans="1:4" x14ac:dyDescent="0.3">
      <c r="A1201" s="282" t="s">
        <v>5073</v>
      </c>
      <c r="B1201" s="283" t="s">
        <v>3366</v>
      </c>
      <c r="C1201" s="283" t="s">
        <v>3346</v>
      </c>
      <c r="D1201" s="284" t="s">
        <v>5074</v>
      </c>
    </row>
    <row r="1202" spans="1:4" x14ac:dyDescent="0.3">
      <c r="A1202" s="282" t="s">
        <v>5075</v>
      </c>
      <c r="B1202" s="283" t="s">
        <v>4162</v>
      </c>
      <c r="C1202" s="283" t="s">
        <v>3281</v>
      </c>
      <c r="D1202" s="284" t="s">
        <v>5076</v>
      </c>
    </row>
    <row r="1203" spans="1:4" x14ac:dyDescent="0.3">
      <c r="A1203" s="282" t="s">
        <v>5077</v>
      </c>
      <c r="B1203" s="283" t="s">
        <v>2708</v>
      </c>
      <c r="C1203" s="283" t="s">
        <v>3277</v>
      </c>
      <c r="D1203" s="284" t="s">
        <v>5078</v>
      </c>
    </row>
    <row r="1204" spans="1:4" x14ac:dyDescent="0.3">
      <c r="A1204" s="282" t="s">
        <v>5079</v>
      </c>
      <c r="B1204" s="283" t="s">
        <v>4058</v>
      </c>
      <c r="C1204" s="283" t="s">
        <v>3277</v>
      </c>
      <c r="D1204" s="284" t="s">
        <v>5080</v>
      </c>
    </row>
    <row r="1205" spans="1:4" x14ac:dyDescent="0.3">
      <c r="A1205" s="282" t="s">
        <v>5081</v>
      </c>
      <c r="B1205" s="283" t="s">
        <v>3422</v>
      </c>
      <c r="C1205" s="283" t="s">
        <v>3346</v>
      </c>
      <c r="D1205" s="284" t="s">
        <v>5082</v>
      </c>
    </row>
    <row r="1206" spans="1:4" x14ac:dyDescent="0.3">
      <c r="A1206" s="282" t="s">
        <v>5083</v>
      </c>
      <c r="B1206" s="283" t="s">
        <v>3345</v>
      </c>
      <c r="C1206" s="283" t="s">
        <v>3346</v>
      </c>
      <c r="D1206" s="284" t="s">
        <v>5084</v>
      </c>
    </row>
    <row r="1207" spans="1:4" x14ac:dyDescent="0.3">
      <c r="A1207" s="282" t="s">
        <v>5085</v>
      </c>
      <c r="B1207" s="283" t="s">
        <v>4058</v>
      </c>
      <c r="C1207" s="283" t="s">
        <v>3277</v>
      </c>
      <c r="D1207" s="284" t="s">
        <v>5086</v>
      </c>
    </row>
    <row r="1208" spans="1:4" x14ac:dyDescent="0.3">
      <c r="A1208" s="282" t="s">
        <v>5087</v>
      </c>
      <c r="B1208" s="283" t="s">
        <v>2708</v>
      </c>
      <c r="C1208" s="283" t="s">
        <v>2846</v>
      </c>
      <c r="D1208" s="284" t="s">
        <v>5088</v>
      </c>
    </row>
    <row r="1209" spans="1:4" x14ac:dyDescent="0.3">
      <c r="A1209" s="282" t="s">
        <v>5089</v>
      </c>
      <c r="B1209" s="283" t="s">
        <v>3345</v>
      </c>
      <c r="C1209" s="283" t="s">
        <v>3346</v>
      </c>
      <c r="D1209" s="284" t="s">
        <v>4441</v>
      </c>
    </row>
    <row r="1210" spans="1:4" x14ac:dyDescent="0.3">
      <c r="A1210" s="282" t="s">
        <v>5090</v>
      </c>
      <c r="B1210" s="283" t="s">
        <v>3824</v>
      </c>
      <c r="C1210" s="283" t="s">
        <v>3496</v>
      </c>
      <c r="D1210" s="284" t="s">
        <v>5091</v>
      </c>
    </row>
    <row r="1211" spans="1:4" x14ac:dyDescent="0.3">
      <c r="A1211" s="282" t="s">
        <v>5092</v>
      </c>
      <c r="B1211" s="283" t="s">
        <v>4162</v>
      </c>
      <c r="C1211" s="283" t="s">
        <v>3281</v>
      </c>
      <c r="D1211" s="284" t="s">
        <v>5093</v>
      </c>
    </row>
    <row r="1212" spans="1:4" x14ac:dyDescent="0.3">
      <c r="A1212" s="282" t="s">
        <v>5094</v>
      </c>
      <c r="B1212" s="283" t="s">
        <v>4347</v>
      </c>
      <c r="C1212" s="283" t="s">
        <v>3281</v>
      </c>
      <c r="D1212" s="284" t="s">
        <v>5095</v>
      </c>
    </row>
    <row r="1213" spans="1:4" x14ac:dyDescent="0.3">
      <c r="A1213" s="282" t="s">
        <v>5096</v>
      </c>
      <c r="B1213" s="283" t="s">
        <v>3522</v>
      </c>
      <c r="C1213" s="283" t="s">
        <v>3346</v>
      </c>
      <c r="D1213" s="284" t="s">
        <v>5097</v>
      </c>
    </row>
    <row r="1214" spans="1:4" x14ac:dyDescent="0.3">
      <c r="A1214" s="282" t="s">
        <v>5098</v>
      </c>
      <c r="B1214" s="283" t="s">
        <v>4058</v>
      </c>
      <c r="C1214" s="283" t="s">
        <v>3277</v>
      </c>
      <c r="D1214" s="284" t="s">
        <v>5099</v>
      </c>
    </row>
    <row r="1215" spans="1:4" x14ac:dyDescent="0.3">
      <c r="A1215" s="282" t="s">
        <v>5100</v>
      </c>
      <c r="B1215" s="283" t="s">
        <v>4347</v>
      </c>
      <c r="C1215" s="283" t="s">
        <v>3281</v>
      </c>
      <c r="D1215" s="284" t="s">
        <v>5101</v>
      </c>
    </row>
    <row r="1216" spans="1:4" x14ac:dyDescent="0.3">
      <c r="A1216" s="282" t="s">
        <v>5102</v>
      </c>
      <c r="B1216" s="283" t="s">
        <v>3345</v>
      </c>
      <c r="C1216" s="283" t="s">
        <v>3346</v>
      </c>
      <c r="D1216" s="284" t="s">
        <v>5103</v>
      </c>
    </row>
    <row r="1217" spans="1:4" x14ac:dyDescent="0.3">
      <c r="A1217" s="282" t="s">
        <v>5104</v>
      </c>
      <c r="B1217" s="283" t="s">
        <v>4162</v>
      </c>
      <c r="C1217" s="283" t="s">
        <v>3281</v>
      </c>
      <c r="D1217" s="284" t="s">
        <v>5105</v>
      </c>
    </row>
    <row r="1218" spans="1:4" x14ac:dyDescent="0.3">
      <c r="A1218" s="282" t="s">
        <v>5106</v>
      </c>
      <c r="B1218" s="283" t="s">
        <v>3366</v>
      </c>
      <c r="C1218" s="283" t="s">
        <v>3346</v>
      </c>
      <c r="D1218" s="284" t="s">
        <v>5107</v>
      </c>
    </row>
    <row r="1219" spans="1:4" x14ac:dyDescent="0.3">
      <c r="A1219" s="282" t="s">
        <v>5108</v>
      </c>
      <c r="B1219" s="283" t="s">
        <v>3395</v>
      </c>
      <c r="C1219" s="283" t="s">
        <v>3346</v>
      </c>
      <c r="D1219" s="284" t="s">
        <v>5109</v>
      </c>
    </row>
    <row r="1220" spans="1:4" x14ac:dyDescent="0.3">
      <c r="A1220" s="282" t="s">
        <v>5110</v>
      </c>
      <c r="B1220" s="283" t="s">
        <v>4385</v>
      </c>
      <c r="C1220" s="283" t="s">
        <v>3277</v>
      </c>
      <c r="D1220" s="284" t="s">
        <v>5111</v>
      </c>
    </row>
    <row r="1221" spans="1:4" x14ac:dyDescent="0.3">
      <c r="A1221" s="282" t="s">
        <v>5112</v>
      </c>
      <c r="B1221" s="283" t="s">
        <v>4347</v>
      </c>
      <c r="C1221" s="283" t="s">
        <v>3281</v>
      </c>
      <c r="D1221" s="284" t="s">
        <v>5113</v>
      </c>
    </row>
    <row r="1222" spans="1:4" x14ac:dyDescent="0.3">
      <c r="A1222" s="282" t="s">
        <v>5114</v>
      </c>
      <c r="B1222" s="283" t="s">
        <v>3395</v>
      </c>
      <c r="C1222" s="283" t="s">
        <v>3346</v>
      </c>
      <c r="D1222" s="284" t="s">
        <v>5115</v>
      </c>
    </row>
    <row r="1223" spans="1:4" x14ac:dyDescent="0.3">
      <c r="A1223" s="282" t="s">
        <v>5116</v>
      </c>
      <c r="B1223" s="283" t="s">
        <v>3366</v>
      </c>
      <c r="C1223" s="283" t="s">
        <v>3346</v>
      </c>
      <c r="D1223" s="284" t="s">
        <v>5117</v>
      </c>
    </row>
    <row r="1224" spans="1:4" x14ac:dyDescent="0.3">
      <c r="A1224" s="282" t="s">
        <v>5118</v>
      </c>
      <c r="B1224" s="283" t="s">
        <v>4058</v>
      </c>
      <c r="C1224" s="283" t="s">
        <v>3277</v>
      </c>
      <c r="D1224" s="284" t="s">
        <v>5119</v>
      </c>
    </row>
    <row r="1225" spans="1:4" x14ac:dyDescent="0.3">
      <c r="A1225" s="282" t="s">
        <v>5120</v>
      </c>
      <c r="B1225" s="283" t="s">
        <v>4058</v>
      </c>
      <c r="C1225" s="283" t="s">
        <v>5121</v>
      </c>
      <c r="D1225" s="284" t="s">
        <v>5122</v>
      </c>
    </row>
    <row r="1226" spans="1:4" x14ac:dyDescent="0.3">
      <c r="A1226" s="282" t="s">
        <v>5123</v>
      </c>
      <c r="B1226" s="283" t="s">
        <v>4058</v>
      </c>
      <c r="C1226" s="283" t="s">
        <v>3277</v>
      </c>
      <c r="D1226" s="284" t="s">
        <v>5124</v>
      </c>
    </row>
    <row r="1227" spans="1:4" x14ac:dyDescent="0.3">
      <c r="A1227" s="282" t="s">
        <v>5125</v>
      </c>
      <c r="B1227" s="283" t="s">
        <v>3366</v>
      </c>
      <c r="C1227" s="283" t="s">
        <v>3346</v>
      </c>
      <c r="D1227" s="284" t="s">
        <v>5126</v>
      </c>
    </row>
    <row r="1228" spans="1:4" x14ac:dyDescent="0.3">
      <c r="A1228" s="282" t="s">
        <v>5127</v>
      </c>
      <c r="B1228" s="283" t="s">
        <v>3522</v>
      </c>
      <c r="C1228" s="283" t="s">
        <v>3346</v>
      </c>
      <c r="D1228" s="284" t="s">
        <v>5128</v>
      </c>
    </row>
    <row r="1229" spans="1:4" x14ac:dyDescent="0.3">
      <c r="A1229" s="282" t="s">
        <v>5129</v>
      </c>
      <c r="B1229" s="283" t="s">
        <v>3422</v>
      </c>
      <c r="C1229" s="283" t="s">
        <v>3346</v>
      </c>
      <c r="D1229" s="284" t="s">
        <v>5130</v>
      </c>
    </row>
    <row r="1230" spans="1:4" x14ac:dyDescent="0.3">
      <c r="A1230" s="282" t="s">
        <v>5131</v>
      </c>
      <c r="B1230" s="283" t="s">
        <v>3345</v>
      </c>
      <c r="C1230" s="283" t="s">
        <v>3346</v>
      </c>
      <c r="D1230" s="284" t="s">
        <v>5132</v>
      </c>
    </row>
    <row r="1231" spans="1:4" x14ac:dyDescent="0.3">
      <c r="A1231" s="282" t="s">
        <v>5133</v>
      </c>
      <c r="B1231" s="283" t="s">
        <v>4058</v>
      </c>
      <c r="C1231" s="283" t="s">
        <v>3277</v>
      </c>
      <c r="D1231" s="284" t="s">
        <v>5134</v>
      </c>
    </row>
    <row r="1232" spans="1:4" x14ac:dyDescent="0.3">
      <c r="A1232" s="282" t="s">
        <v>5135</v>
      </c>
      <c r="B1232" s="283" t="s">
        <v>4347</v>
      </c>
      <c r="C1232" s="283" t="s">
        <v>3281</v>
      </c>
      <c r="D1232" s="284" t="s">
        <v>5136</v>
      </c>
    </row>
    <row r="1233" spans="1:4" x14ac:dyDescent="0.3">
      <c r="A1233" s="282" t="s">
        <v>5137</v>
      </c>
      <c r="B1233" s="283" t="s">
        <v>4058</v>
      </c>
      <c r="C1233" s="283" t="s">
        <v>3277</v>
      </c>
      <c r="D1233" s="284" t="s">
        <v>5138</v>
      </c>
    </row>
    <row r="1234" spans="1:4" x14ac:dyDescent="0.3">
      <c r="A1234" s="282" t="s">
        <v>5139</v>
      </c>
      <c r="B1234" s="283" t="s">
        <v>3366</v>
      </c>
      <c r="C1234" s="283" t="s">
        <v>5140</v>
      </c>
      <c r="D1234" s="284" t="s">
        <v>5141</v>
      </c>
    </row>
    <row r="1235" spans="1:4" x14ac:dyDescent="0.3">
      <c r="A1235" s="282" t="s">
        <v>5142</v>
      </c>
      <c r="B1235" s="283" t="s">
        <v>2597</v>
      </c>
      <c r="C1235" s="283" t="s">
        <v>3346</v>
      </c>
      <c r="D1235" s="284" t="s">
        <v>5143</v>
      </c>
    </row>
    <row r="1236" spans="1:4" x14ac:dyDescent="0.3">
      <c r="A1236" s="282" t="s">
        <v>5144</v>
      </c>
      <c r="B1236" s="283" t="s">
        <v>3357</v>
      </c>
      <c r="C1236" s="283" t="s">
        <v>3346</v>
      </c>
      <c r="D1236" s="284" t="s">
        <v>5145</v>
      </c>
    </row>
    <row r="1237" spans="1:4" x14ac:dyDescent="0.3">
      <c r="A1237" s="282" t="s">
        <v>5146</v>
      </c>
      <c r="B1237" s="283" t="s">
        <v>2595</v>
      </c>
      <c r="C1237" s="283" t="s">
        <v>3277</v>
      </c>
      <c r="D1237" s="284" t="s">
        <v>5147</v>
      </c>
    </row>
    <row r="1238" spans="1:4" x14ac:dyDescent="0.3">
      <c r="A1238" s="282" t="s">
        <v>5148</v>
      </c>
      <c r="B1238" s="283" t="s">
        <v>3366</v>
      </c>
      <c r="C1238" s="283" t="s">
        <v>3346</v>
      </c>
      <c r="D1238" s="284" t="s">
        <v>5149</v>
      </c>
    </row>
    <row r="1239" spans="1:4" x14ac:dyDescent="0.3">
      <c r="A1239" s="282" t="s">
        <v>5150</v>
      </c>
      <c r="B1239" s="283" t="s">
        <v>3345</v>
      </c>
      <c r="C1239" s="283" t="s">
        <v>3346</v>
      </c>
      <c r="D1239" s="284" t="s">
        <v>5151</v>
      </c>
    </row>
    <row r="1240" spans="1:4" x14ac:dyDescent="0.3">
      <c r="A1240" s="282" t="s">
        <v>5152</v>
      </c>
      <c r="B1240" s="283" t="s">
        <v>3345</v>
      </c>
      <c r="C1240" s="283" t="s">
        <v>3346</v>
      </c>
      <c r="D1240" s="284" t="s">
        <v>5153</v>
      </c>
    </row>
    <row r="1241" spans="1:4" x14ac:dyDescent="0.3">
      <c r="A1241" s="282" t="s">
        <v>5154</v>
      </c>
      <c r="B1241" s="283" t="s">
        <v>4347</v>
      </c>
      <c r="C1241" s="283" t="s">
        <v>3281</v>
      </c>
      <c r="D1241" s="284" t="s">
        <v>5155</v>
      </c>
    </row>
    <row r="1242" spans="1:4" x14ac:dyDescent="0.3">
      <c r="A1242" s="282" t="s">
        <v>5156</v>
      </c>
      <c r="B1242" s="283" t="s">
        <v>4058</v>
      </c>
      <c r="C1242" s="283" t="s">
        <v>3277</v>
      </c>
      <c r="D1242" s="284" t="s">
        <v>5157</v>
      </c>
    </row>
    <row r="1243" spans="1:4" x14ac:dyDescent="0.3">
      <c r="A1243" s="282" t="s">
        <v>5158</v>
      </c>
      <c r="B1243" s="283" t="s">
        <v>4058</v>
      </c>
      <c r="C1243" s="283" t="s">
        <v>3277</v>
      </c>
      <c r="D1243" s="284" t="s">
        <v>5159</v>
      </c>
    </row>
    <row r="1244" spans="1:4" x14ac:dyDescent="0.3">
      <c r="A1244" s="282" t="s">
        <v>5160</v>
      </c>
      <c r="B1244" s="283" t="s">
        <v>3366</v>
      </c>
      <c r="C1244" s="283" t="s">
        <v>3346</v>
      </c>
      <c r="D1244" s="284" t="s">
        <v>5161</v>
      </c>
    </row>
    <row r="1245" spans="1:4" x14ac:dyDescent="0.3">
      <c r="A1245" s="282" t="s">
        <v>5162</v>
      </c>
      <c r="B1245" s="283" t="s">
        <v>4058</v>
      </c>
      <c r="C1245" s="283" t="s">
        <v>3277</v>
      </c>
      <c r="D1245" s="284" t="s">
        <v>5163</v>
      </c>
    </row>
    <row r="1246" spans="1:4" x14ac:dyDescent="0.3">
      <c r="A1246" s="282" t="s">
        <v>5164</v>
      </c>
      <c r="B1246" s="283" t="s">
        <v>3276</v>
      </c>
      <c r="C1246" s="283" t="s">
        <v>3277</v>
      </c>
      <c r="D1246" s="284" t="s">
        <v>5165</v>
      </c>
    </row>
    <row r="1247" spans="1:4" x14ac:dyDescent="0.3">
      <c r="A1247" s="282" t="s">
        <v>5166</v>
      </c>
      <c r="B1247" s="283" t="s">
        <v>3345</v>
      </c>
      <c r="C1247" s="283" t="s">
        <v>3346</v>
      </c>
      <c r="D1247" s="284" t="s">
        <v>5103</v>
      </c>
    </row>
    <row r="1248" spans="1:4" x14ac:dyDescent="0.3">
      <c r="A1248" s="282" t="s">
        <v>5167</v>
      </c>
      <c r="B1248" s="283" t="s">
        <v>3366</v>
      </c>
      <c r="C1248" s="283" t="s">
        <v>3346</v>
      </c>
      <c r="D1248" s="284" t="s">
        <v>5168</v>
      </c>
    </row>
    <row r="1249" spans="1:4" x14ac:dyDescent="0.3">
      <c r="A1249" s="282" t="s">
        <v>5169</v>
      </c>
      <c r="B1249" s="283" t="s">
        <v>3345</v>
      </c>
      <c r="C1249" s="283" t="s">
        <v>3346</v>
      </c>
      <c r="D1249" s="284" t="s">
        <v>5170</v>
      </c>
    </row>
    <row r="1250" spans="1:4" x14ac:dyDescent="0.3">
      <c r="A1250" s="282" t="s">
        <v>5171</v>
      </c>
      <c r="B1250" s="283" t="s">
        <v>4058</v>
      </c>
      <c r="C1250" s="283" t="s">
        <v>3277</v>
      </c>
      <c r="D1250" s="284" t="s">
        <v>5172</v>
      </c>
    </row>
    <row r="1251" spans="1:4" x14ac:dyDescent="0.3">
      <c r="A1251" s="282" t="s">
        <v>5173</v>
      </c>
      <c r="B1251" s="283" t="s">
        <v>4058</v>
      </c>
      <c r="C1251" s="283" t="s">
        <v>3277</v>
      </c>
      <c r="D1251" s="284" t="s">
        <v>5174</v>
      </c>
    </row>
    <row r="1252" spans="1:4" x14ac:dyDescent="0.3">
      <c r="A1252" s="282" t="s">
        <v>5175</v>
      </c>
      <c r="B1252" s="283" t="s">
        <v>3345</v>
      </c>
      <c r="C1252" s="283" t="s">
        <v>3346</v>
      </c>
      <c r="D1252" s="284" t="s">
        <v>5176</v>
      </c>
    </row>
    <row r="1253" spans="1:4" x14ac:dyDescent="0.3">
      <c r="A1253" s="282" t="s">
        <v>5177</v>
      </c>
      <c r="B1253" s="283" t="s">
        <v>3366</v>
      </c>
      <c r="C1253" s="283" t="s">
        <v>3346</v>
      </c>
      <c r="D1253" s="284" t="s">
        <v>5178</v>
      </c>
    </row>
    <row r="1254" spans="1:4" x14ac:dyDescent="0.3">
      <c r="A1254" s="282" t="s">
        <v>5179</v>
      </c>
      <c r="B1254" s="283" t="s">
        <v>3366</v>
      </c>
      <c r="C1254" s="283" t="s">
        <v>3346</v>
      </c>
      <c r="D1254" s="284" t="s">
        <v>5180</v>
      </c>
    </row>
    <row r="1255" spans="1:4" x14ac:dyDescent="0.3">
      <c r="A1255" s="282" t="s">
        <v>5181</v>
      </c>
      <c r="B1255" s="283" t="s">
        <v>5182</v>
      </c>
      <c r="C1255" s="283" t="s">
        <v>2846</v>
      </c>
      <c r="D1255" s="284" t="s">
        <v>5183</v>
      </c>
    </row>
    <row r="1256" spans="1:4" x14ac:dyDescent="0.3">
      <c r="A1256" s="282" t="s">
        <v>5184</v>
      </c>
      <c r="B1256" s="283" t="s">
        <v>4347</v>
      </c>
      <c r="C1256" s="283" t="s">
        <v>3281</v>
      </c>
      <c r="D1256" s="284" t="s">
        <v>3067</v>
      </c>
    </row>
    <row r="1257" spans="1:4" x14ac:dyDescent="0.3">
      <c r="A1257" s="282" t="s">
        <v>5185</v>
      </c>
      <c r="B1257" s="283" t="s">
        <v>4058</v>
      </c>
      <c r="C1257" s="283" t="s">
        <v>3277</v>
      </c>
      <c r="D1257" s="284" t="s">
        <v>5186</v>
      </c>
    </row>
    <row r="1258" spans="1:4" x14ac:dyDescent="0.3">
      <c r="A1258" s="282" t="s">
        <v>5187</v>
      </c>
      <c r="B1258" s="283" t="s">
        <v>4058</v>
      </c>
      <c r="C1258" s="283" t="s">
        <v>3277</v>
      </c>
      <c r="D1258" s="284" t="s">
        <v>5188</v>
      </c>
    </row>
    <row r="1259" spans="1:4" x14ac:dyDescent="0.3">
      <c r="A1259" s="282" t="s">
        <v>5189</v>
      </c>
      <c r="B1259" s="283" t="s">
        <v>4369</v>
      </c>
      <c r="C1259" s="283" t="s">
        <v>3281</v>
      </c>
      <c r="D1259" s="284" t="s">
        <v>5190</v>
      </c>
    </row>
    <row r="1260" spans="1:4" x14ac:dyDescent="0.3">
      <c r="A1260" s="282" t="s">
        <v>5191</v>
      </c>
      <c r="B1260" s="283" t="s">
        <v>3345</v>
      </c>
      <c r="C1260" s="283" t="s">
        <v>3346</v>
      </c>
      <c r="D1260" s="284" t="s">
        <v>5192</v>
      </c>
    </row>
    <row r="1261" spans="1:4" x14ac:dyDescent="0.3">
      <c r="A1261" s="282" t="s">
        <v>5193</v>
      </c>
      <c r="B1261" s="283" t="s">
        <v>5194</v>
      </c>
      <c r="C1261" s="283" t="s">
        <v>3346</v>
      </c>
      <c r="D1261" s="284" t="s">
        <v>5195</v>
      </c>
    </row>
    <row r="1262" spans="1:4" x14ac:dyDescent="0.3">
      <c r="A1262" s="282" t="s">
        <v>5196</v>
      </c>
      <c r="B1262" s="283" t="s">
        <v>4058</v>
      </c>
      <c r="C1262" s="283" t="s">
        <v>3277</v>
      </c>
      <c r="D1262" s="284" t="s">
        <v>5197</v>
      </c>
    </row>
    <row r="1263" spans="1:4" x14ac:dyDescent="0.3">
      <c r="A1263" s="282" t="s">
        <v>5198</v>
      </c>
      <c r="B1263" s="283" t="s">
        <v>4058</v>
      </c>
      <c r="C1263" s="283" t="s">
        <v>3277</v>
      </c>
      <c r="D1263" s="284" t="s">
        <v>5199</v>
      </c>
    </row>
    <row r="1264" spans="1:4" x14ac:dyDescent="0.3">
      <c r="A1264" s="282" t="s">
        <v>5200</v>
      </c>
      <c r="B1264" s="283" t="s">
        <v>3366</v>
      </c>
      <c r="C1264" s="283" t="s">
        <v>3346</v>
      </c>
      <c r="D1264" s="284" t="s">
        <v>5201</v>
      </c>
    </row>
    <row r="1265" spans="1:4" x14ac:dyDescent="0.3">
      <c r="A1265" s="282" t="s">
        <v>5202</v>
      </c>
      <c r="B1265" s="283" t="s">
        <v>4589</v>
      </c>
      <c r="C1265" s="283" t="s">
        <v>489</v>
      </c>
      <c r="D1265" s="284" t="s">
        <v>5203</v>
      </c>
    </row>
    <row r="1266" spans="1:4" x14ac:dyDescent="0.3">
      <c r="A1266" s="282" t="s">
        <v>5204</v>
      </c>
      <c r="B1266" s="283" t="s">
        <v>4070</v>
      </c>
      <c r="C1266" s="283" t="s">
        <v>3277</v>
      </c>
      <c r="D1266" s="284" t="s">
        <v>5205</v>
      </c>
    </row>
    <row r="1267" spans="1:4" x14ac:dyDescent="0.3">
      <c r="A1267" s="282" t="s">
        <v>5206</v>
      </c>
      <c r="B1267" s="283" t="s">
        <v>4070</v>
      </c>
      <c r="C1267" s="283" t="s">
        <v>3277</v>
      </c>
      <c r="D1267" s="284" t="s">
        <v>5207</v>
      </c>
    </row>
    <row r="1268" spans="1:4" x14ac:dyDescent="0.3">
      <c r="A1268" s="282" t="s">
        <v>5208</v>
      </c>
      <c r="B1268" s="283" t="s">
        <v>3687</v>
      </c>
      <c r="C1268" s="283" t="s">
        <v>3776</v>
      </c>
      <c r="D1268" s="284" t="s">
        <v>5209</v>
      </c>
    </row>
    <row r="1269" spans="1:4" x14ac:dyDescent="0.3">
      <c r="A1269" s="282" t="s">
        <v>5210</v>
      </c>
      <c r="B1269" s="283" t="s">
        <v>3366</v>
      </c>
      <c r="C1269" s="283" t="s">
        <v>3346</v>
      </c>
      <c r="D1269" s="284" t="s">
        <v>5211</v>
      </c>
    </row>
    <row r="1270" spans="1:4" x14ac:dyDescent="0.3">
      <c r="A1270" s="282" t="s">
        <v>5212</v>
      </c>
      <c r="B1270" s="283" t="s">
        <v>4347</v>
      </c>
      <c r="C1270" s="283" t="s">
        <v>3281</v>
      </c>
      <c r="D1270" s="284" t="s">
        <v>5213</v>
      </c>
    </row>
    <row r="1271" spans="1:4" x14ac:dyDescent="0.3">
      <c r="A1271" s="282" t="s">
        <v>5214</v>
      </c>
      <c r="B1271" s="283" t="s">
        <v>4058</v>
      </c>
      <c r="C1271" s="283" t="s">
        <v>3277</v>
      </c>
      <c r="D1271" s="284" t="s">
        <v>5215</v>
      </c>
    </row>
    <row r="1272" spans="1:4" x14ac:dyDescent="0.3">
      <c r="A1272" s="282" t="s">
        <v>5216</v>
      </c>
      <c r="B1272" s="283" t="s">
        <v>4058</v>
      </c>
      <c r="C1272" s="283" t="s">
        <v>3277</v>
      </c>
      <c r="D1272" s="284" t="s">
        <v>5217</v>
      </c>
    </row>
    <row r="1273" spans="1:4" x14ac:dyDescent="0.3">
      <c r="A1273" s="282" t="s">
        <v>5218</v>
      </c>
      <c r="B1273" s="283" t="s">
        <v>3366</v>
      </c>
      <c r="C1273" s="283" t="s">
        <v>3346</v>
      </c>
      <c r="D1273" s="284" t="s">
        <v>5219</v>
      </c>
    </row>
    <row r="1274" spans="1:4" x14ac:dyDescent="0.3">
      <c r="A1274" s="282" t="s">
        <v>5220</v>
      </c>
      <c r="B1274" s="283" t="s">
        <v>3366</v>
      </c>
      <c r="C1274" s="283" t="s">
        <v>3346</v>
      </c>
      <c r="D1274" s="284" t="s">
        <v>5221</v>
      </c>
    </row>
    <row r="1275" spans="1:4" x14ac:dyDescent="0.3">
      <c r="A1275" s="282" t="s">
        <v>5222</v>
      </c>
      <c r="B1275" s="283" t="s">
        <v>3366</v>
      </c>
      <c r="C1275" s="283" t="s">
        <v>3346</v>
      </c>
      <c r="D1275" s="284" t="s">
        <v>5223</v>
      </c>
    </row>
    <row r="1276" spans="1:4" x14ac:dyDescent="0.3">
      <c r="A1276" s="282" t="s">
        <v>5224</v>
      </c>
      <c r="B1276" s="283" t="s">
        <v>4347</v>
      </c>
      <c r="C1276" s="283" t="s">
        <v>3281</v>
      </c>
      <c r="D1276" s="284" t="s">
        <v>5225</v>
      </c>
    </row>
    <row r="1277" spans="1:4" x14ac:dyDescent="0.3">
      <c r="A1277" s="282" t="s">
        <v>5226</v>
      </c>
      <c r="B1277" s="283" t="s">
        <v>4347</v>
      </c>
      <c r="C1277" s="283" t="s">
        <v>3281</v>
      </c>
      <c r="D1277" s="284" t="s">
        <v>5227</v>
      </c>
    </row>
    <row r="1278" spans="1:4" x14ac:dyDescent="0.3">
      <c r="A1278" s="282" t="s">
        <v>5228</v>
      </c>
      <c r="B1278" s="283" t="s">
        <v>4058</v>
      </c>
      <c r="C1278" s="283" t="s">
        <v>3277</v>
      </c>
      <c r="D1278" s="284" t="s">
        <v>5229</v>
      </c>
    </row>
    <row r="1279" spans="1:4" x14ac:dyDescent="0.3">
      <c r="A1279" s="282" t="s">
        <v>5230</v>
      </c>
      <c r="B1279" s="283" t="s">
        <v>3366</v>
      </c>
      <c r="C1279" s="283" t="s">
        <v>3346</v>
      </c>
      <c r="D1279" s="284" t="s">
        <v>5231</v>
      </c>
    </row>
    <row r="1280" spans="1:4" x14ac:dyDescent="0.3">
      <c r="A1280" s="282" t="s">
        <v>5232</v>
      </c>
      <c r="B1280" s="283" t="s">
        <v>3366</v>
      </c>
      <c r="C1280" s="283" t="s">
        <v>3346</v>
      </c>
      <c r="D1280" s="284" t="s">
        <v>5233</v>
      </c>
    </row>
    <row r="1281" spans="1:4" x14ac:dyDescent="0.3">
      <c r="A1281" s="282" t="s">
        <v>5234</v>
      </c>
      <c r="B1281" s="283" t="s">
        <v>4347</v>
      </c>
      <c r="C1281" s="283" t="s">
        <v>3281</v>
      </c>
      <c r="D1281" s="284" t="s">
        <v>5235</v>
      </c>
    </row>
    <row r="1282" spans="1:4" x14ac:dyDescent="0.3">
      <c r="A1282" s="282" t="s">
        <v>5236</v>
      </c>
      <c r="B1282" s="283" t="s">
        <v>3366</v>
      </c>
      <c r="C1282" s="283" t="s">
        <v>3346</v>
      </c>
      <c r="D1282" s="284" t="s">
        <v>5237</v>
      </c>
    </row>
    <row r="1283" spans="1:4" x14ac:dyDescent="0.3">
      <c r="A1283" s="282" t="s">
        <v>5238</v>
      </c>
      <c r="B1283" s="283" t="s">
        <v>3357</v>
      </c>
      <c r="C1283" s="283" t="s">
        <v>3346</v>
      </c>
      <c r="D1283" s="284" t="s">
        <v>5239</v>
      </c>
    </row>
    <row r="1284" spans="1:4" x14ac:dyDescent="0.3">
      <c r="A1284" s="282" t="s">
        <v>5240</v>
      </c>
      <c r="B1284" s="283" t="s">
        <v>3276</v>
      </c>
      <c r="C1284" s="283" t="s">
        <v>3277</v>
      </c>
      <c r="D1284" s="284" t="s">
        <v>5241</v>
      </c>
    </row>
    <row r="1285" spans="1:4" x14ac:dyDescent="0.3">
      <c r="A1285" s="282" t="s">
        <v>5242</v>
      </c>
      <c r="B1285" s="283" t="s">
        <v>3357</v>
      </c>
      <c r="C1285" s="283" t="s">
        <v>3346</v>
      </c>
      <c r="D1285" s="284" t="s">
        <v>5243</v>
      </c>
    </row>
    <row r="1286" spans="1:4" x14ac:dyDescent="0.3">
      <c r="A1286" s="282" t="s">
        <v>5244</v>
      </c>
      <c r="B1286" s="283" t="s">
        <v>3357</v>
      </c>
      <c r="C1286" s="283" t="s">
        <v>3346</v>
      </c>
      <c r="D1286" s="284" t="s">
        <v>5245</v>
      </c>
    </row>
    <row r="1287" spans="1:4" x14ac:dyDescent="0.3">
      <c r="A1287" s="282" t="s">
        <v>5246</v>
      </c>
      <c r="B1287" s="283" t="s">
        <v>3276</v>
      </c>
      <c r="C1287" s="283" t="s">
        <v>3277</v>
      </c>
      <c r="D1287" s="284" t="s">
        <v>5247</v>
      </c>
    </row>
    <row r="1288" spans="1:4" x14ac:dyDescent="0.3">
      <c r="A1288" s="282" t="s">
        <v>5248</v>
      </c>
      <c r="B1288" s="283" t="s">
        <v>3345</v>
      </c>
      <c r="C1288" s="283" t="s">
        <v>3346</v>
      </c>
      <c r="D1288" s="284" t="s">
        <v>5048</v>
      </c>
    </row>
    <row r="1289" spans="1:4" x14ac:dyDescent="0.3">
      <c r="A1289" s="282" t="s">
        <v>5249</v>
      </c>
      <c r="B1289" s="283" t="s">
        <v>3345</v>
      </c>
      <c r="C1289" s="283" t="s">
        <v>3346</v>
      </c>
      <c r="D1289" s="284" t="s">
        <v>5250</v>
      </c>
    </row>
    <row r="1290" spans="1:4" x14ac:dyDescent="0.3">
      <c r="A1290" s="282" t="s">
        <v>5251</v>
      </c>
      <c r="B1290" s="283" t="s">
        <v>3345</v>
      </c>
      <c r="C1290" s="283" t="s">
        <v>3346</v>
      </c>
      <c r="D1290" s="284" t="s">
        <v>5252</v>
      </c>
    </row>
    <row r="1291" spans="1:4" x14ac:dyDescent="0.3">
      <c r="A1291" s="282" t="s">
        <v>5253</v>
      </c>
      <c r="B1291" s="283" t="s">
        <v>3366</v>
      </c>
      <c r="C1291" s="283" t="s">
        <v>3346</v>
      </c>
      <c r="D1291" s="284" t="s">
        <v>5254</v>
      </c>
    </row>
    <row r="1292" spans="1:4" x14ac:dyDescent="0.3">
      <c r="A1292" s="282" t="s">
        <v>5255</v>
      </c>
      <c r="B1292" s="283" t="s">
        <v>3345</v>
      </c>
      <c r="C1292" s="283" t="s">
        <v>3346</v>
      </c>
      <c r="D1292" s="284" t="s">
        <v>5256</v>
      </c>
    </row>
    <row r="1293" spans="1:4" x14ac:dyDescent="0.3">
      <c r="A1293" s="282" t="s">
        <v>5257</v>
      </c>
      <c r="B1293" s="283" t="s">
        <v>3345</v>
      </c>
      <c r="C1293" s="283" t="s">
        <v>3346</v>
      </c>
      <c r="D1293" s="284" t="s">
        <v>5258</v>
      </c>
    </row>
    <row r="1294" spans="1:4" x14ac:dyDescent="0.3">
      <c r="A1294" s="282" t="s">
        <v>5259</v>
      </c>
      <c r="B1294" s="283" t="s">
        <v>3345</v>
      </c>
      <c r="C1294" s="283" t="s">
        <v>3346</v>
      </c>
      <c r="D1294" s="284" t="s">
        <v>5260</v>
      </c>
    </row>
    <row r="1295" spans="1:4" x14ac:dyDescent="0.3">
      <c r="A1295" s="282" t="s">
        <v>5261</v>
      </c>
      <c r="B1295" s="283" t="s">
        <v>3366</v>
      </c>
      <c r="C1295" s="283" t="s">
        <v>3346</v>
      </c>
      <c r="D1295" s="284" t="s">
        <v>5262</v>
      </c>
    </row>
    <row r="1296" spans="1:4" x14ac:dyDescent="0.3">
      <c r="A1296" s="282" t="s">
        <v>5263</v>
      </c>
      <c r="B1296" s="283" t="s">
        <v>3345</v>
      </c>
      <c r="C1296" s="283" t="s">
        <v>3346</v>
      </c>
      <c r="D1296" s="284" t="s">
        <v>5264</v>
      </c>
    </row>
    <row r="1297" spans="1:4" x14ac:dyDescent="0.3">
      <c r="A1297" s="282" t="s">
        <v>5265</v>
      </c>
      <c r="B1297" s="283" t="s">
        <v>3345</v>
      </c>
      <c r="C1297" s="283" t="s">
        <v>3346</v>
      </c>
      <c r="D1297" s="284" t="s">
        <v>5266</v>
      </c>
    </row>
    <row r="1298" spans="1:4" x14ac:dyDescent="0.3">
      <c r="A1298" s="282" t="s">
        <v>5267</v>
      </c>
      <c r="B1298" s="283" t="s">
        <v>2597</v>
      </c>
      <c r="C1298" s="283" t="s">
        <v>3346</v>
      </c>
      <c r="D1298" s="284" t="s">
        <v>5268</v>
      </c>
    </row>
    <row r="1299" spans="1:4" x14ac:dyDescent="0.3">
      <c r="A1299" s="282" t="s">
        <v>5269</v>
      </c>
      <c r="B1299" s="283" t="s">
        <v>3345</v>
      </c>
      <c r="C1299" s="283" t="s">
        <v>3346</v>
      </c>
      <c r="D1299" s="284" t="s">
        <v>5270</v>
      </c>
    </row>
    <row r="1300" spans="1:4" x14ac:dyDescent="0.3">
      <c r="A1300" s="282" t="s">
        <v>5271</v>
      </c>
      <c r="B1300" s="283" t="s">
        <v>3369</v>
      </c>
      <c r="C1300" s="283" t="s">
        <v>3346</v>
      </c>
      <c r="D1300" s="284" t="s">
        <v>5272</v>
      </c>
    </row>
    <row r="1301" spans="1:4" x14ac:dyDescent="0.3">
      <c r="A1301" s="282" t="s">
        <v>5273</v>
      </c>
      <c r="B1301" s="283" t="s">
        <v>3422</v>
      </c>
      <c r="C1301" s="283" t="s">
        <v>3346</v>
      </c>
      <c r="D1301" s="284" t="s">
        <v>5274</v>
      </c>
    </row>
    <row r="1302" spans="1:4" x14ac:dyDescent="0.3">
      <c r="A1302" s="282" t="s">
        <v>5275</v>
      </c>
      <c r="B1302" s="283" t="s">
        <v>3395</v>
      </c>
      <c r="C1302" s="283" t="s">
        <v>3346</v>
      </c>
      <c r="D1302" s="284" t="s">
        <v>5276</v>
      </c>
    </row>
    <row r="1303" spans="1:4" x14ac:dyDescent="0.3">
      <c r="A1303" s="282" t="s">
        <v>5277</v>
      </c>
      <c r="B1303" s="283" t="s">
        <v>3357</v>
      </c>
      <c r="C1303" s="283" t="s">
        <v>3346</v>
      </c>
      <c r="D1303" s="284" t="s">
        <v>5278</v>
      </c>
    </row>
    <row r="1304" spans="1:4" x14ac:dyDescent="0.3">
      <c r="A1304" s="282" t="s">
        <v>5279</v>
      </c>
      <c r="B1304" s="283" t="s">
        <v>3345</v>
      </c>
      <c r="C1304" s="283" t="s">
        <v>3346</v>
      </c>
      <c r="D1304" s="284" t="s">
        <v>5280</v>
      </c>
    </row>
    <row r="1305" spans="1:4" x14ac:dyDescent="0.3">
      <c r="A1305" s="282" t="s">
        <v>5281</v>
      </c>
      <c r="B1305" s="283" t="s">
        <v>4162</v>
      </c>
      <c r="C1305" s="283" t="s">
        <v>3281</v>
      </c>
      <c r="D1305" s="284" t="s">
        <v>5282</v>
      </c>
    </row>
    <row r="1306" spans="1:4" x14ac:dyDescent="0.3">
      <c r="A1306" s="282" t="s">
        <v>5283</v>
      </c>
      <c r="B1306" s="283" t="s">
        <v>3345</v>
      </c>
      <c r="C1306" s="283" t="s">
        <v>3346</v>
      </c>
      <c r="D1306" s="284" t="s">
        <v>5284</v>
      </c>
    </row>
    <row r="1307" spans="1:4" x14ac:dyDescent="0.3">
      <c r="A1307" s="282" t="s">
        <v>5285</v>
      </c>
      <c r="B1307" s="283" t="s">
        <v>3395</v>
      </c>
      <c r="C1307" s="283" t="s">
        <v>3346</v>
      </c>
      <c r="D1307" s="284" t="s">
        <v>5286</v>
      </c>
    </row>
    <row r="1308" spans="1:4" x14ac:dyDescent="0.3">
      <c r="A1308" s="282" t="s">
        <v>5287</v>
      </c>
      <c r="B1308" s="283" t="s">
        <v>3357</v>
      </c>
      <c r="C1308" s="283" t="s">
        <v>3346</v>
      </c>
      <c r="D1308" s="284" t="s">
        <v>5288</v>
      </c>
    </row>
    <row r="1309" spans="1:4" x14ac:dyDescent="0.3">
      <c r="A1309" s="282" t="s">
        <v>5289</v>
      </c>
      <c r="B1309" s="283" t="s">
        <v>3522</v>
      </c>
      <c r="C1309" s="283" t="s">
        <v>3346</v>
      </c>
      <c r="D1309" s="284" t="s">
        <v>5290</v>
      </c>
    </row>
    <row r="1310" spans="1:4" x14ac:dyDescent="0.3">
      <c r="A1310" s="282" t="s">
        <v>5291</v>
      </c>
      <c r="B1310" s="283" t="s">
        <v>3345</v>
      </c>
      <c r="C1310" s="283" t="s">
        <v>3346</v>
      </c>
      <c r="D1310" s="284" t="s">
        <v>5292</v>
      </c>
    </row>
    <row r="1311" spans="1:4" x14ac:dyDescent="0.3">
      <c r="A1311" s="282" t="s">
        <v>5293</v>
      </c>
      <c r="B1311" s="283" t="s">
        <v>3345</v>
      </c>
      <c r="C1311" s="283" t="s">
        <v>3346</v>
      </c>
      <c r="D1311" s="284" t="s">
        <v>5294</v>
      </c>
    </row>
    <row r="1312" spans="1:4" x14ac:dyDescent="0.3">
      <c r="A1312" s="282" t="s">
        <v>5295</v>
      </c>
      <c r="B1312" s="283" t="s">
        <v>3366</v>
      </c>
      <c r="C1312" s="283" t="s">
        <v>3346</v>
      </c>
      <c r="D1312" s="284" t="s">
        <v>5296</v>
      </c>
    </row>
    <row r="1313" spans="1:4" x14ac:dyDescent="0.3">
      <c r="A1313" s="282" t="s">
        <v>5297</v>
      </c>
      <c r="B1313" s="283" t="s">
        <v>3366</v>
      </c>
      <c r="C1313" s="283" t="s">
        <v>3346</v>
      </c>
      <c r="D1313" s="284" t="s">
        <v>5298</v>
      </c>
    </row>
    <row r="1314" spans="1:4" x14ac:dyDescent="0.3">
      <c r="A1314" s="282" t="s">
        <v>5299</v>
      </c>
      <c r="B1314" s="283" t="s">
        <v>3345</v>
      </c>
      <c r="C1314" s="283" t="s">
        <v>3346</v>
      </c>
      <c r="D1314" s="284" t="s">
        <v>5300</v>
      </c>
    </row>
    <row r="1315" spans="1:4" x14ac:dyDescent="0.3">
      <c r="A1315" s="282" t="s">
        <v>5301</v>
      </c>
      <c r="B1315" s="283" t="s">
        <v>3366</v>
      </c>
      <c r="C1315" s="283" t="s">
        <v>3346</v>
      </c>
      <c r="D1315" s="284" t="s">
        <v>5302</v>
      </c>
    </row>
    <row r="1316" spans="1:4" x14ac:dyDescent="0.3">
      <c r="A1316" s="282" t="s">
        <v>5303</v>
      </c>
      <c r="B1316" s="283" t="s">
        <v>3345</v>
      </c>
      <c r="C1316" s="283" t="s">
        <v>3346</v>
      </c>
      <c r="D1316" s="284" t="s">
        <v>5304</v>
      </c>
    </row>
    <row r="1317" spans="1:4" x14ac:dyDescent="0.3">
      <c r="A1317" s="282" t="s">
        <v>5305</v>
      </c>
      <c r="B1317" s="283" t="s">
        <v>3345</v>
      </c>
      <c r="C1317" s="283" t="s">
        <v>3346</v>
      </c>
      <c r="D1317" s="284" t="s">
        <v>5306</v>
      </c>
    </row>
    <row r="1318" spans="1:4" x14ac:dyDescent="0.3">
      <c r="A1318" s="282" t="s">
        <v>5307</v>
      </c>
      <c r="B1318" s="283" t="s">
        <v>3345</v>
      </c>
      <c r="C1318" s="283" t="s">
        <v>3346</v>
      </c>
      <c r="D1318" s="284" t="s">
        <v>5308</v>
      </c>
    </row>
    <row r="1319" spans="1:4" x14ac:dyDescent="0.3">
      <c r="A1319" s="282" t="s">
        <v>5309</v>
      </c>
      <c r="B1319" s="283" t="s">
        <v>3345</v>
      </c>
      <c r="C1319" s="283" t="s">
        <v>3346</v>
      </c>
      <c r="D1319" s="284" t="s">
        <v>5310</v>
      </c>
    </row>
    <row r="1320" spans="1:4" x14ac:dyDescent="0.3">
      <c r="A1320" s="282" t="s">
        <v>5311</v>
      </c>
      <c r="B1320" s="283" t="s">
        <v>3345</v>
      </c>
      <c r="C1320" s="283" t="s">
        <v>3346</v>
      </c>
      <c r="D1320" s="284" t="s">
        <v>5312</v>
      </c>
    </row>
    <row r="1321" spans="1:4" x14ac:dyDescent="0.3">
      <c r="A1321" s="282" t="s">
        <v>5313</v>
      </c>
      <c r="B1321" s="283" t="s">
        <v>3345</v>
      </c>
      <c r="C1321" s="283" t="s">
        <v>3346</v>
      </c>
      <c r="D1321" s="284" t="s">
        <v>5314</v>
      </c>
    </row>
    <row r="1322" spans="1:4" x14ac:dyDescent="0.3">
      <c r="A1322" s="282" t="s">
        <v>5315</v>
      </c>
      <c r="B1322" s="283" t="s">
        <v>3345</v>
      </c>
      <c r="C1322" s="283" t="s">
        <v>3346</v>
      </c>
      <c r="D1322" s="284" t="s">
        <v>5316</v>
      </c>
    </row>
    <row r="1323" spans="1:4" x14ac:dyDescent="0.3">
      <c r="A1323" s="282" t="s">
        <v>5317</v>
      </c>
      <c r="B1323" s="283" t="s">
        <v>3345</v>
      </c>
      <c r="C1323" s="283" t="s">
        <v>3346</v>
      </c>
      <c r="D1323" s="284" t="s">
        <v>5318</v>
      </c>
    </row>
    <row r="1324" spans="1:4" x14ac:dyDescent="0.3">
      <c r="A1324" s="282" t="s">
        <v>5319</v>
      </c>
      <c r="B1324" s="283" t="s">
        <v>3357</v>
      </c>
      <c r="C1324" s="283" t="s">
        <v>3346</v>
      </c>
      <c r="D1324" s="284" t="s">
        <v>5320</v>
      </c>
    </row>
    <row r="1325" spans="1:4" x14ac:dyDescent="0.3">
      <c r="A1325" s="282" t="s">
        <v>5321</v>
      </c>
      <c r="B1325" s="283" t="s">
        <v>3395</v>
      </c>
      <c r="C1325" s="283" t="s">
        <v>3346</v>
      </c>
      <c r="D1325" s="284" t="s">
        <v>5322</v>
      </c>
    </row>
    <row r="1326" spans="1:4" x14ac:dyDescent="0.3">
      <c r="A1326" s="282" t="s">
        <v>5323</v>
      </c>
      <c r="B1326" s="283" t="s">
        <v>3345</v>
      </c>
      <c r="C1326" s="283" t="s">
        <v>3346</v>
      </c>
      <c r="D1326" s="284" t="s">
        <v>5324</v>
      </c>
    </row>
    <row r="1327" spans="1:4" x14ac:dyDescent="0.3">
      <c r="A1327" s="282" t="s">
        <v>5325</v>
      </c>
      <c r="B1327" s="283" t="s">
        <v>3345</v>
      </c>
      <c r="C1327" s="283" t="s">
        <v>3346</v>
      </c>
      <c r="D1327" s="284" t="s">
        <v>5326</v>
      </c>
    </row>
    <row r="1328" spans="1:4" x14ac:dyDescent="0.3">
      <c r="A1328" s="282" t="s">
        <v>5327</v>
      </c>
      <c r="B1328" s="283" t="s">
        <v>3276</v>
      </c>
      <c r="C1328" s="283" t="s">
        <v>3277</v>
      </c>
      <c r="D1328" s="284" t="s">
        <v>5328</v>
      </c>
    </row>
    <row r="1329" spans="1:4" x14ac:dyDescent="0.3">
      <c r="A1329" s="282" t="s">
        <v>5329</v>
      </c>
      <c r="B1329" s="283" t="s">
        <v>3395</v>
      </c>
      <c r="C1329" s="283" t="s">
        <v>3346</v>
      </c>
      <c r="D1329" s="284" t="s">
        <v>5330</v>
      </c>
    </row>
    <row r="1330" spans="1:4" x14ac:dyDescent="0.3">
      <c r="A1330" s="282" t="s">
        <v>5331</v>
      </c>
      <c r="B1330" s="283" t="s">
        <v>3345</v>
      </c>
      <c r="C1330" s="283" t="s">
        <v>3346</v>
      </c>
      <c r="D1330" s="284" t="s">
        <v>5332</v>
      </c>
    </row>
    <row r="1331" spans="1:4" x14ac:dyDescent="0.3">
      <c r="A1331" s="282" t="s">
        <v>5333</v>
      </c>
      <c r="B1331" s="283" t="s">
        <v>3345</v>
      </c>
      <c r="C1331" s="283" t="s">
        <v>3346</v>
      </c>
      <c r="D1331" s="284" t="s">
        <v>5334</v>
      </c>
    </row>
    <row r="1332" spans="1:4" x14ac:dyDescent="0.3">
      <c r="A1332" s="282" t="s">
        <v>5335</v>
      </c>
      <c r="B1332" s="283" t="s">
        <v>3395</v>
      </c>
      <c r="C1332" s="283" t="s">
        <v>3346</v>
      </c>
      <c r="D1332" s="284" t="s">
        <v>5336</v>
      </c>
    </row>
    <row r="1333" spans="1:4" x14ac:dyDescent="0.3">
      <c r="A1333" s="282" t="s">
        <v>5337</v>
      </c>
      <c r="B1333" s="283" t="s">
        <v>3345</v>
      </c>
      <c r="C1333" s="283" t="s">
        <v>3346</v>
      </c>
      <c r="D1333" s="284" t="s">
        <v>5338</v>
      </c>
    </row>
    <row r="1334" spans="1:4" x14ac:dyDescent="0.3">
      <c r="A1334" s="282" t="s">
        <v>5339</v>
      </c>
      <c r="B1334" s="283" t="s">
        <v>3345</v>
      </c>
      <c r="C1334" s="283" t="s">
        <v>3346</v>
      </c>
      <c r="D1334" s="284" t="s">
        <v>5340</v>
      </c>
    </row>
    <row r="1335" spans="1:4" x14ac:dyDescent="0.3">
      <c r="A1335" s="282" t="s">
        <v>5341</v>
      </c>
      <c r="B1335" s="283" t="s">
        <v>3345</v>
      </c>
      <c r="C1335" s="283" t="s">
        <v>3346</v>
      </c>
      <c r="D1335" s="284" t="s">
        <v>4935</v>
      </c>
    </row>
    <row r="1336" spans="1:4" x14ac:dyDescent="0.3">
      <c r="A1336" s="282" t="s">
        <v>5342</v>
      </c>
      <c r="B1336" s="283" t="s">
        <v>3345</v>
      </c>
      <c r="C1336" s="283" t="s">
        <v>3346</v>
      </c>
      <c r="D1336" s="284" t="s">
        <v>5343</v>
      </c>
    </row>
    <row r="1337" spans="1:4" x14ac:dyDescent="0.3">
      <c r="A1337" s="282" t="s">
        <v>5344</v>
      </c>
      <c r="B1337" s="283" t="s">
        <v>3345</v>
      </c>
      <c r="C1337" s="283" t="s">
        <v>3346</v>
      </c>
      <c r="D1337" s="284" t="s">
        <v>5345</v>
      </c>
    </row>
    <row r="1338" spans="1:4" x14ac:dyDescent="0.3">
      <c r="A1338" s="282" t="s">
        <v>5346</v>
      </c>
      <c r="B1338" s="283" t="s">
        <v>3366</v>
      </c>
      <c r="C1338" s="283" t="s">
        <v>3346</v>
      </c>
      <c r="D1338" s="284" t="s">
        <v>5347</v>
      </c>
    </row>
    <row r="1339" spans="1:4" x14ac:dyDescent="0.3">
      <c r="A1339" s="282" t="s">
        <v>5348</v>
      </c>
      <c r="B1339" s="283" t="s">
        <v>3345</v>
      </c>
      <c r="C1339" s="283" t="s">
        <v>3346</v>
      </c>
      <c r="D1339" s="284" t="s">
        <v>5349</v>
      </c>
    </row>
    <row r="1340" spans="1:4" x14ac:dyDescent="0.3">
      <c r="A1340" s="282" t="s">
        <v>5350</v>
      </c>
      <c r="B1340" s="283" t="s">
        <v>3366</v>
      </c>
      <c r="C1340" s="283" t="s">
        <v>3346</v>
      </c>
      <c r="D1340" s="284" t="s">
        <v>5351</v>
      </c>
    </row>
    <row r="1341" spans="1:4" x14ac:dyDescent="0.3">
      <c r="A1341" s="282" t="s">
        <v>5352</v>
      </c>
      <c r="B1341" s="283" t="s">
        <v>3395</v>
      </c>
      <c r="C1341" s="283" t="s">
        <v>3346</v>
      </c>
      <c r="D1341" s="284" t="s">
        <v>5353</v>
      </c>
    </row>
    <row r="1342" spans="1:4" x14ac:dyDescent="0.3">
      <c r="A1342" s="282" t="s">
        <v>5354</v>
      </c>
      <c r="B1342" s="283" t="s">
        <v>3357</v>
      </c>
      <c r="C1342" s="283" t="s">
        <v>3346</v>
      </c>
      <c r="D1342" s="284" t="s">
        <v>5355</v>
      </c>
    </row>
    <row r="1343" spans="1:4" x14ac:dyDescent="0.3">
      <c r="A1343" s="282" t="s">
        <v>5356</v>
      </c>
      <c r="B1343" s="283" t="s">
        <v>3345</v>
      </c>
      <c r="C1343" s="283" t="s">
        <v>3346</v>
      </c>
      <c r="D1343" s="284" t="s">
        <v>5357</v>
      </c>
    </row>
    <row r="1344" spans="1:4" x14ac:dyDescent="0.3">
      <c r="A1344" s="282" t="s">
        <v>5358</v>
      </c>
      <c r="B1344" s="283" t="s">
        <v>3345</v>
      </c>
      <c r="C1344" s="283" t="s">
        <v>3346</v>
      </c>
      <c r="D1344" s="284" t="s">
        <v>5359</v>
      </c>
    </row>
    <row r="1345" spans="1:4" x14ac:dyDescent="0.3">
      <c r="A1345" s="282" t="s">
        <v>5360</v>
      </c>
      <c r="B1345" s="283" t="s">
        <v>3395</v>
      </c>
      <c r="C1345" s="283" t="s">
        <v>3346</v>
      </c>
      <c r="D1345" s="284" t="s">
        <v>5361</v>
      </c>
    </row>
    <row r="1346" spans="1:4" x14ac:dyDescent="0.3">
      <c r="A1346" s="282" t="s">
        <v>5362</v>
      </c>
      <c r="B1346" s="283" t="s">
        <v>3345</v>
      </c>
      <c r="C1346" s="283" t="s">
        <v>3346</v>
      </c>
      <c r="D1346" s="284" t="s">
        <v>5363</v>
      </c>
    </row>
    <row r="1347" spans="1:4" x14ac:dyDescent="0.3">
      <c r="A1347" s="282" t="s">
        <v>5364</v>
      </c>
      <c r="B1347" s="283" t="s">
        <v>4930</v>
      </c>
      <c r="C1347" s="283" t="s">
        <v>3281</v>
      </c>
      <c r="D1347" s="284" t="s">
        <v>5336</v>
      </c>
    </row>
    <row r="1348" spans="1:4" x14ac:dyDescent="0.3">
      <c r="A1348" s="282" t="s">
        <v>5365</v>
      </c>
      <c r="B1348" s="283" t="s">
        <v>3345</v>
      </c>
      <c r="C1348" s="283" t="s">
        <v>3346</v>
      </c>
      <c r="D1348" s="284" t="s">
        <v>5366</v>
      </c>
    </row>
    <row r="1349" spans="1:4" x14ac:dyDescent="0.3">
      <c r="A1349" s="282" t="s">
        <v>5367</v>
      </c>
      <c r="B1349" s="283" t="s">
        <v>3345</v>
      </c>
      <c r="C1349" s="283" t="s">
        <v>3346</v>
      </c>
      <c r="D1349" s="284" t="s">
        <v>5368</v>
      </c>
    </row>
    <row r="1350" spans="1:4" x14ac:dyDescent="0.3">
      <c r="A1350" s="282" t="s">
        <v>5369</v>
      </c>
      <c r="B1350" s="283" t="s">
        <v>3357</v>
      </c>
      <c r="C1350" s="283" t="s">
        <v>3346</v>
      </c>
      <c r="D1350" s="284" t="s">
        <v>5370</v>
      </c>
    </row>
    <row r="1351" spans="1:4" x14ac:dyDescent="0.3">
      <c r="A1351" s="282" t="s">
        <v>5371</v>
      </c>
      <c r="B1351" s="283" t="s">
        <v>3366</v>
      </c>
      <c r="C1351" s="283" t="s">
        <v>3346</v>
      </c>
      <c r="D1351" s="284" t="s">
        <v>5372</v>
      </c>
    </row>
    <row r="1352" spans="1:4" x14ac:dyDescent="0.3">
      <c r="A1352" s="282" t="s">
        <v>5373</v>
      </c>
      <c r="B1352" s="283" t="s">
        <v>3345</v>
      </c>
      <c r="C1352" s="283" t="s">
        <v>3346</v>
      </c>
      <c r="D1352" s="284" t="s">
        <v>5374</v>
      </c>
    </row>
    <row r="1353" spans="1:4" x14ac:dyDescent="0.3">
      <c r="A1353" s="282" t="s">
        <v>5375</v>
      </c>
      <c r="B1353" s="283" t="s">
        <v>2708</v>
      </c>
      <c r="C1353" s="283" t="s">
        <v>3277</v>
      </c>
      <c r="D1353" s="284" t="s">
        <v>5376</v>
      </c>
    </row>
    <row r="1354" spans="1:4" x14ac:dyDescent="0.3">
      <c r="A1354" s="282" t="s">
        <v>5377</v>
      </c>
      <c r="B1354" s="283" t="s">
        <v>3345</v>
      </c>
      <c r="C1354" s="283" t="s">
        <v>3346</v>
      </c>
      <c r="D1354" s="284" t="s">
        <v>5378</v>
      </c>
    </row>
    <row r="1355" spans="1:4" x14ac:dyDescent="0.3">
      <c r="A1355" s="282" t="s">
        <v>5379</v>
      </c>
      <c r="B1355" s="283" t="s">
        <v>3345</v>
      </c>
      <c r="C1355" s="283" t="s">
        <v>3346</v>
      </c>
      <c r="D1355" s="284" t="s">
        <v>5380</v>
      </c>
    </row>
    <row r="1356" spans="1:4" x14ac:dyDescent="0.3">
      <c r="A1356" s="282" t="s">
        <v>5381</v>
      </c>
      <c r="B1356" s="283" t="s">
        <v>3357</v>
      </c>
      <c r="C1356" s="283" t="s">
        <v>3346</v>
      </c>
      <c r="D1356" s="284" t="s">
        <v>5382</v>
      </c>
    </row>
    <row r="1357" spans="1:4" x14ac:dyDescent="0.3">
      <c r="A1357" s="282" t="s">
        <v>5383</v>
      </c>
      <c r="B1357" s="283" t="s">
        <v>3345</v>
      </c>
      <c r="C1357" s="283" t="s">
        <v>3346</v>
      </c>
      <c r="D1357" s="284" t="s">
        <v>5384</v>
      </c>
    </row>
    <row r="1358" spans="1:4" x14ac:dyDescent="0.3">
      <c r="A1358" s="282" t="s">
        <v>5385</v>
      </c>
      <c r="B1358" s="283" t="s">
        <v>3366</v>
      </c>
      <c r="C1358" s="283" t="s">
        <v>3346</v>
      </c>
      <c r="D1358" s="284" t="s">
        <v>5386</v>
      </c>
    </row>
    <row r="1359" spans="1:4" x14ac:dyDescent="0.3">
      <c r="A1359" s="282" t="s">
        <v>5387</v>
      </c>
      <c r="B1359" s="283" t="s">
        <v>3345</v>
      </c>
      <c r="C1359" s="283" t="s">
        <v>3346</v>
      </c>
      <c r="D1359" s="284" t="s">
        <v>5384</v>
      </c>
    </row>
    <row r="1360" spans="1:4" x14ac:dyDescent="0.3">
      <c r="A1360" s="282" t="s">
        <v>5388</v>
      </c>
      <c r="B1360" s="283" t="s">
        <v>3345</v>
      </c>
      <c r="C1360" s="283" t="s">
        <v>3346</v>
      </c>
      <c r="D1360" s="284" t="s">
        <v>5389</v>
      </c>
    </row>
    <row r="1361" spans="1:4" x14ac:dyDescent="0.3">
      <c r="A1361" s="282" t="s">
        <v>5390</v>
      </c>
      <c r="B1361" s="283" t="s">
        <v>3192</v>
      </c>
      <c r="C1361" s="283" t="s">
        <v>3183</v>
      </c>
      <c r="D1361" s="284" t="s">
        <v>5391</v>
      </c>
    </row>
    <row r="1362" spans="1:4" x14ac:dyDescent="0.3">
      <c r="A1362" s="282" t="s">
        <v>5392</v>
      </c>
      <c r="B1362" s="283" t="s">
        <v>2708</v>
      </c>
      <c r="C1362" s="283" t="s">
        <v>3183</v>
      </c>
      <c r="D1362" s="284" t="s">
        <v>5393</v>
      </c>
    </row>
    <row r="1363" spans="1:4" x14ac:dyDescent="0.3">
      <c r="A1363" s="282" t="s">
        <v>5394</v>
      </c>
      <c r="B1363" s="283" t="s">
        <v>3204</v>
      </c>
      <c r="C1363" s="283" t="s">
        <v>3183</v>
      </c>
      <c r="D1363" s="284" t="s">
        <v>5395</v>
      </c>
    </row>
    <row r="1364" spans="1:4" x14ac:dyDescent="0.3">
      <c r="A1364" s="282" t="s">
        <v>5396</v>
      </c>
      <c r="B1364" s="283" t="s">
        <v>3192</v>
      </c>
      <c r="C1364" s="283" t="s">
        <v>3183</v>
      </c>
      <c r="D1364" s="284" t="s">
        <v>5397</v>
      </c>
    </row>
    <row r="1365" spans="1:4" x14ac:dyDescent="0.3">
      <c r="A1365" s="282" t="s">
        <v>5398</v>
      </c>
      <c r="B1365" s="283" t="s">
        <v>2708</v>
      </c>
      <c r="C1365" s="283" t="s">
        <v>3183</v>
      </c>
      <c r="D1365" s="284" t="s">
        <v>5399</v>
      </c>
    </row>
    <row r="1366" spans="1:4" x14ac:dyDescent="0.3">
      <c r="A1366" s="282" t="s">
        <v>5400</v>
      </c>
      <c r="B1366" s="283" t="s">
        <v>3186</v>
      </c>
      <c r="C1366" s="283" t="s">
        <v>3183</v>
      </c>
      <c r="D1366" s="284" t="s">
        <v>5401</v>
      </c>
    </row>
    <row r="1367" spans="1:4" x14ac:dyDescent="0.3">
      <c r="A1367" s="282" t="s">
        <v>5402</v>
      </c>
      <c r="B1367" s="283" t="s">
        <v>3186</v>
      </c>
      <c r="C1367" s="283" t="s">
        <v>3183</v>
      </c>
      <c r="D1367" s="284" t="s">
        <v>5403</v>
      </c>
    </row>
    <row r="1368" spans="1:4" x14ac:dyDescent="0.3">
      <c r="A1368" s="282" t="s">
        <v>5404</v>
      </c>
      <c r="B1368" s="283" t="s">
        <v>5405</v>
      </c>
      <c r="C1368" s="283" t="s">
        <v>3906</v>
      </c>
      <c r="D1368" s="284" t="s">
        <v>5406</v>
      </c>
    </row>
    <row r="1369" spans="1:4" x14ac:dyDescent="0.3">
      <c r="A1369" s="282" t="s">
        <v>5407</v>
      </c>
      <c r="B1369" s="283" t="s">
        <v>3905</v>
      </c>
      <c r="C1369" s="283" t="s">
        <v>3906</v>
      </c>
      <c r="D1369" s="284" t="s">
        <v>5408</v>
      </c>
    </row>
    <row r="1370" spans="1:4" x14ac:dyDescent="0.3">
      <c r="A1370" s="282" t="s">
        <v>5409</v>
      </c>
      <c r="B1370" s="283" t="s">
        <v>3905</v>
      </c>
      <c r="C1370" s="283" t="s">
        <v>3906</v>
      </c>
      <c r="D1370" s="284" t="s">
        <v>5410</v>
      </c>
    </row>
    <row r="1371" spans="1:4" x14ac:dyDescent="0.3">
      <c r="A1371" s="282" t="s">
        <v>5411</v>
      </c>
      <c r="B1371" s="283" t="s">
        <v>3905</v>
      </c>
      <c r="C1371" s="283" t="s">
        <v>3906</v>
      </c>
      <c r="D1371" s="284" t="s">
        <v>5412</v>
      </c>
    </row>
    <row r="1372" spans="1:4" x14ac:dyDescent="0.3">
      <c r="A1372" s="282" t="s">
        <v>5413</v>
      </c>
      <c r="B1372" s="283" t="s">
        <v>5414</v>
      </c>
      <c r="C1372" s="283" t="s">
        <v>3281</v>
      </c>
      <c r="D1372" s="284" t="s">
        <v>5415</v>
      </c>
    </row>
    <row r="1373" spans="1:4" x14ac:dyDescent="0.3">
      <c r="A1373" s="282" t="s">
        <v>5416</v>
      </c>
      <c r="B1373" s="283" t="s">
        <v>4058</v>
      </c>
      <c r="C1373" s="283" t="s">
        <v>3277</v>
      </c>
      <c r="D1373" s="284" t="s">
        <v>5046</v>
      </c>
    </row>
    <row r="1374" spans="1:4" x14ac:dyDescent="0.3">
      <c r="A1374" s="282" t="s">
        <v>5417</v>
      </c>
      <c r="B1374" s="283" t="s">
        <v>4058</v>
      </c>
      <c r="C1374" s="283" t="s">
        <v>3277</v>
      </c>
      <c r="D1374" s="284" t="s">
        <v>5418</v>
      </c>
    </row>
    <row r="1375" spans="1:4" x14ac:dyDescent="0.3">
      <c r="A1375" s="282" t="s">
        <v>5419</v>
      </c>
      <c r="B1375" s="283" t="s">
        <v>4058</v>
      </c>
      <c r="C1375" s="283" t="s">
        <v>3277</v>
      </c>
      <c r="D1375" s="284" t="s">
        <v>5420</v>
      </c>
    </row>
    <row r="1376" spans="1:4" x14ac:dyDescent="0.3">
      <c r="A1376" s="282" t="s">
        <v>5421</v>
      </c>
      <c r="B1376" s="283" t="s">
        <v>4369</v>
      </c>
      <c r="C1376" s="283" t="s">
        <v>3281</v>
      </c>
      <c r="D1376" s="284" t="s">
        <v>5422</v>
      </c>
    </row>
    <row r="1377" spans="1:4" x14ac:dyDescent="0.3">
      <c r="A1377" s="282" t="s">
        <v>5423</v>
      </c>
      <c r="B1377" s="283" t="s">
        <v>4369</v>
      </c>
      <c r="C1377" s="283" t="s">
        <v>3281</v>
      </c>
      <c r="D1377" s="284" t="s">
        <v>5424</v>
      </c>
    </row>
    <row r="1378" spans="1:4" x14ac:dyDescent="0.3">
      <c r="A1378" s="282" t="s">
        <v>5425</v>
      </c>
      <c r="B1378" s="283" t="s">
        <v>3345</v>
      </c>
      <c r="C1378" s="283" t="s">
        <v>3346</v>
      </c>
      <c r="D1378" s="284" t="s">
        <v>5426</v>
      </c>
    </row>
    <row r="1379" spans="1:4" x14ac:dyDescent="0.3">
      <c r="A1379" s="282" t="s">
        <v>5427</v>
      </c>
      <c r="B1379" s="283" t="s">
        <v>4369</v>
      </c>
      <c r="C1379" s="283" t="s">
        <v>3281</v>
      </c>
      <c r="D1379" s="284" t="s">
        <v>5428</v>
      </c>
    </row>
    <row r="1380" spans="1:4" x14ac:dyDescent="0.3">
      <c r="A1380" s="282" t="s">
        <v>5429</v>
      </c>
      <c r="B1380" s="283" t="s">
        <v>3276</v>
      </c>
      <c r="C1380" s="283" t="s">
        <v>3277</v>
      </c>
      <c r="D1380" s="284" t="s">
        <v>5430</v>
      </c>
    </row>
    <row r="1381" spans="1:4" x14ac:dyDescent="0.3">
      <c r="A1381" s="282" t="s">
        <v>5431</v>
      </c>
      <c r="B1381" s="283" t="s">
        <v>4347</v>
      </c>
      <c r="C1381" s="283" t="s">
        <v>3281</v>
      </c>
      <c r="D1381" s="284" t="s">
        <v>5432</v>
      </c>
    </row>
    <row r="1382" spans="1:4" x14ac:dyDescent="0.3">
      <c r="A1382" s="282" t="s">
        <v>5433</v>
      </c>
      <c r="B1382" s="283" t="s">
        <v>4347</v>
      </c>
      <c r="C1382" s="283" t="s">
        <v>3281</v>
      </c>
      <c r="D1382" s="284" t="s">
        <v>5434</v>
      </c>
    </row>
    <row r="1383" spans="1:4" x14ac:dyDescent="0.3">
      <c r="A1383" s="282" t="s">
        <v>5435</v>
      </c>
      <c r="B1383" s="283" t="s">
        <v>2708</v>
      </c>
      <c r="C1383" s="283" t="s">
        <v>3776</v>
      </c>
      <c r="D1383" s="284" t="s">
        <v>5436</v>
      </c>
    </row>
    <row r="1384" spans="1:4" x14ac:dyDescent="0.3">
      <c r="A1384" s="282" t="s">
        <v>5437</v>
      </c>
      <c r="B1384" s="283" t="s">
        <v>4369</v>
      </c>
      <c r="C1384" s="283" t="s">
        <v>3281</v>
      </c>
      <c r="D1384" s="284" t="s">
        <v>5438</v>
      </c>
    </row>
    <row r="1385" spans="1:4" x14ac:dyDescent="0.3">
      <c r="A1385" s="282" t="s">
        <v>5439</v>
      </c>
      <c r="B1385" s="283" t="s">
        <v>4347</v>
      </c>
      <c r="C1385" s="283" t="s">
        <v>3281</v>
      </c>
      <c r="D1385" s="284" t="s">
        <v>5440</v>
      </c>
    </row>
    <row r="1386" spans="1:4" x14ac:dyDescent="0.3">
      <c r="A1386" s="282" t="s">
        <v>5441</v>
      </c>
      <c r="B1386" s="283" t="s">
        <v>4431</v>
      </c>
      <c r="C1386" s="283" t="s">
        <v>3281</v>
      </c>
      <c r="D1386" s="284" t="s">
        <v>5442</v>
      </c>
    </row>
    <row r="1387" spans="1:4" x14ac:dyDescent="0.3">
      <c r="A1387" s="282" t="s">
        <v>5443</v>
      </c>
      <c r="B1387" s="283" t="s">
        <v>3787</v>
      </c>
      <c r="C1387" s="283" t="s">
        <v>3776</v>
      </c>
      <c r="D1387" s="284" t="s">
        <v>5444</v>
      </c>
    </row>
    <row r="1388" spans="1:4" x14ac:dyDescent="0.3">
      <c r="A1388" s="282" t="s">
        <v>5445</v>
      </c>
      <c r="B1388" s="283" t="s">
        <v>4058</v>
      </c>
      <c r="C1388" s="283" t="s">
        <v>3277</v>
      </c>
      <c r="D1388" s="284" t="s">
        <v>5446</v>
      </c>
    </row>
    <row r="1389" spans="1:4" x14ac:dyDescent="0.3">
      <c r="A1389" s="282" t="s">
        <v>5447</v>
      </c>
      <c r="B1389" s="283" t="s">
        <v>5448</v>
      </c>
      <c r="C1389" s="283" t="s">
        <v>3776</v>
      </c>
      <c r="D1389" s="284" t="s">
        <v>5449</v>
      </c>
    </row>
    <row r="1390" spans="1:4" x14ac:dyDescent="0.3">
      <c r="A1390" s="282" t="s">
        <v>5450</v>
      </c>
      <c r="B1390" s="283" t="s">
        <v>5182</v>
      </c>
      <c r="C1390" s="283" t="s">
        <v>2846</v>
      </c>
      <c r="D1390" s="284" t="s">
        <v>5451</v>
      </c>
    </row>
    <row r="1391" spans="1:4" x14ac:dyDescent="0.3">
      <c r="A1391" s="282" t="s">
        <v>5452</v>
      </c>
      <c r="B1391" s="283" t="s">
        <v>2593</v>
      </c>
      <c r="C1391" s="283" t="s">
        <v>3183</v>
      </c>
      <c r="D1391" s="284" t="s">
        <v>5453</v>
      </c>
    </row>
    <row r="1392" spans="1:4" x14ac:dyDescent="0.3">
      <c r="A1392" s="282" t="s">
        <v>5454</v>
      </c>
      <c r="B1392" s="283" t="s">
        <v>3182</v>
      </c>
      <c r="C1392" s="283" t="s">
        <v>3183</v>
      </c>
      <c r="D1392" s="284" t="s">
        <v>5455</v>
      </c>
    </row>
    <row r="1393" spans="1:4" x14ac:dyDescent="0.3">
      <c r="A1393" s="282" t="s">
        <v>5456</v>
      </c>
      <c r="B1393" s="283" t="s">
        <v>3204</v>
      </c>
      <c r="C1393" s="283" t="s">
        <v>3183</v>
      </c>
      <c r="D1393" s="284" t="s">
        <v>5457</v>
      </c>
    </row>
    <row r="1394" spans="1:4" x14ac:dyDescent="0.3">
      <c r="A1394" s="282" t="s">
        <v>5458</v>
      </c>
      <c r="B1394" s="283" t="s">
        <v>3204</v>
      </c>
      <c r="C1394" s="283" t="s">
        <v>3183</v>
      </c>
      <c r="D1394" s="284" t="s">
        <v>5459</v>
      </c>
    </row>
    <row r="1395" spans="1:4" x14ac:dyDescent="0.3">
      <c r="A1395" s="282" t="s">
        <v>5460</v>
      </c>
      <c r="B1395" s="283" t="s">
        <v>2708</v>
      </c>
      <c r="C1395" s="283" t="s">
        <v>3183</v>
      </c>
      <c r="D1395" s="284" t="s">
        <v>5461</v>
      </c>
    </row>
    <row r="1396" spans="1:4" x14ac:dyDescent="0.3">
      <c r="A1396" s="282" t="s">
        <v>5462</v>
      </c>
      <c r="B1396" s="283" t="s">
        <v>3345</v>
      </c>
      <c r="C1396" s="283" t="s">
        <v>3346</v>
      </c>
      <c r="D1396" s="284" t="s">
        <v>5463</v>
      </c>
    </row>
    <row r="1397" spans="1:4" x14ac:dyDescent="0.3">
      <c r="A1397" s="282" t="s">
        <v>5464</v>
      </c>
      <c r="B1397" s="283" t="s">
        <v>3345</v>
      </c>
      <c r="C1397" s="283" t="s">
        <v>3346</v>
      </c>
      <c r="D1397" s="284" t="s">
        <v>5465</v>
      </c>
    </row>
    <row r="1398" spans="1:4" x14ac:dyDescent="0.3">
      <c r="A1398" s="282" t="s">
        <v>5466</v>
      </c>
      <c r="B1398" s="283" t="s">
        <v>3345</v>
      </c>
      <c r="C1398" s="283" t="s">
        <v>3346</v>
      </c>
      <c r="D1398" s="284" t="s">
        <v>5467</v>
      </c>
    </row>
    <row r="1399" spans="1:4" x14ac:dyDescent="0.3">
      <c r="A1399" s="282" t="s">
        <v>5468</v>
      </c>
      <c r="B1399" s="283" t="s">
        <v>3345</v>
      </c>
      <c r="C1399" s="283" t="s">
        <v>3346</v>
      </c>
      <c r="D1399" s="284" t="s">
        <v>5469</v>
      </c>
    </row>
    <row r="1400" spans="1:4" x14ac:dyDescent="0.3">
      <c r="A1400" s="282" t="s">
        <v>5470</v>
      </c>
      <c r="B1400" s="283" t="s">
        <v>3345</v>
      </c>
      <c r="C1400" s="283" t="s">
        <v>3346</v>
      </c>
      <c r="D1400" s="284" t="s">
        <v>5471</v>
      </c>
    </row>
    <row r="1401" spans="1:4" x14ac:dyDescent="0.3">
      <c r="A1401" s="282" t="s">
        <v>5472</v>
      </c>
      <c r="B1401" s="283" t="s">
        <v>3345</v>
      </c>
      <c r="C1401" s="283" t="s">
        <v>3346</v>
      </c>
      <c r="D1401" s="284" t="s">
        <v>5473</v>
      </c>
    </row>
    <row r="1402" spans="1:4" x14ac:dyDescent="0.3">
      <c r="A1402" s="282" t="s">
        <v>5474</v>
      </c>
      <c r="B1402" s="283" t="s">
        <v>2708</v>
      </c>
      <c r="C1402" s="283" t="s">
        <v>3496</v>
      </c>
      <c r="D1402" s="284" t="s">
        <v>3863</v>
      </c>
    </row>
    <row r="1403" spans="1:4" x14ac:dyDescent="0.3">
      <c r="A1403" s="282" t="s">
        <v>5475</v>
      </c>
      <c r="B1403" s="283" t="s">
        <v>3914</v>
      </c>
      <c r="C1403" s="283" t="s">
        <v>3906</v>
      </c>
      <c r="D1403" s="284" t="s">
        <v>5476</v>
      </c>
    </row>
    <row r="1404" spans="1:4" x14ac:dyDescent="0.3">
      <c r="A1404" s="282" t="s">
        <v>5477</v>
      </c>
      <c r="B1404" s="283" t="s">
        <v>3905</v>
      </c>
      <c r="C1404" s="283" t="s">
        <v>3906</v>
      </c>
      <c r="D1404" s="284" t="s">
        <v>5478</v>
      </c>
    </row>
    <row r="1405" spans="1:4" x14ac:dyDescent="0.3">
      <c r="A1405" s="282" t="s">
        <v>5479</v>
      </c>
      <c r="B1405" s="283" t="s">
        <v>2708</v>
      </c>
      <c r="C1405" s="283" t="s">
        <v>3906</v>
      </c>
      <c r="D1405" s="284" t="s">
        <v>5480</v>
      </c>
    </row>
    <row r="1406" spans="1:4" x14ac:dyDescent="0.3">
      <c r="A1406" s="282" t="s">
        <v>5481</v>
      </c>
      <c r="B1406" s="283" t="s">
        <v>3905</v>
      </c>
      <c r="C1406" s="283" t="s">
        <v>3906</v>
      </c>
      <c r="D1406" s="284" t="s">
        <v>5482</v>
      </c>
    </row>
    <row r="1407" spans="1:4" x14ac:dyDescent="0.3">
      <c r="A1407" s="282" t="s">
        <v>5483</v>
      </c>
      <c r="B1407" s="283" t="s">
        <v>3905</v>
      </c>
      <c r="C1407" s="283" t="s">
        <v>3906</v>
      </c>
      <c r="D1407" s="284" t="s">
        <v>5484</v>
      </c>
    </row>
    <row r="1408" spans="1:4" x14ac:dyDescent="0.3">
      <c r="A1408" s="282" t="s">
        <v>5485</v>
      </c>
      <c r="B1408" s="283" t="s">
        <v>4058</v>
      </c>
      <c r="C1408" s="283" t="s">
        <v>3277</v>
      </c>
      <c r="D1408" s="284" t="s">
        <v>5486</v>
      </c>
    </row>
    <row r="1409" spans="1:4" x14ac:dyDescent="0.3">
      <c r="A1409" s="282" t="s">
        <v>5487</v>
      </c>
      <c r="B1409" s="283" t="s">
        <v>4070</v>
      </c>
      <c r="C1409" s="283" t="s">
        <v>3277</v>
      </c>
      <c r="D1409" s="284" t="s">
        <v>5488</v>
      </c>
    </row>
    <row r="1410" spans="1:4" x14ac:dyDescent="0.3">
      <c r="A1410" s="282" t="s">
        <v>5489</v>
      </c>
      <c r="B1410" s="283" t="s">
        <v>4058</v>
      </c>
      <c r="C1410" s="283" t="s">
        <v>3277</v>
      </c>
      <c r="D1410" s="284" t="s">
        <v>5490</v>
      </c>
    </row>
    <row r="1411" spans="1:4" x14ac:dyDescent="0.3">
      <c r="A1411" s="282" t="s">
        <v>5491</v>
      </c>
      <c r="B1411" s="283" t="s">
        <v>4058</v>
      </c>
      <c r="C1411" s="283" t="s">
        <v>3277</v>
      </c>
      <c r="D1411" s="284" t="s">
        <v>5492</v>
      </c>
    </row>
    <row r="1412" spans="1:4" x14ac:dyDescent="0.3">
      <c r="A1412" s="282" t="s">
        <v>5493</v>
      </c>
      <c r="B1412" s="283" t="s">
        <v>4347</v>
      </c>
      <c r="C1412" s="283" t="s">
        <v>3281</v>
      </c>
      <c r="D1412" s="284" t="s">
        <v>5494</v>
      </c>
    </row>
    <row r="1413" spans="1:4" x14ac:dyDescent="0.3">
      <c r="A1413" s="282" t="s">
        <v>5495</v>
      </c>
      <c r="B1413" s="283" t="s">
        <v>3276</v>
      </c>
      <c r="C1413" s="283" t="s">
        <v>3277</v>
      </c>
      <c r="D1413" s="284" t="s">
        <v>5496</v>
      </c>
    </row>
    <row r="1414" spans="1:4" x14ac:dyDescent="0.3">
      <c r="A1414" s="282" t="s">
        <v>5497</v>
      </c>
      <c r="B1414" s="283" t="s">
        <v>3565</v>
      </c>
      <c r="C1414" s="283" t="s">
        <v>3346</v>
      </c>
      <c r="D1414" s="284" t="s">
        <v>5498</v>
      </c>
    </row>
    <row r="1415" spans="1:4" x14ac:dyDescent="0.3">
      <c r="A1415" s="282" t="s">
        <v>5499</v>
      </c>
      <c r="B1415" s="283" t="s">
        <v>3276</v>
      </c>
      <c r="C1415" s="283" t="s">
        <v>3277</v>
      </c>
      <c r="D1415" s="284" t="s">
        <v>5500</v>
      </c>
    </row>
    <row r="1416" spans="1:4" x14ac:dyDescent="0.3">
      <c r="A1416" s="282" t="s">
        <v>5501</v>
      </c>
      <c r="B1416" s="283" t="s">
        <v>3276</v>
      </c>
      <c r="C1416" s="283" t="s">
        <v>3346</v>
      </c>
      <c r="D1416" s="284" t="s">
        <v>5502</v>
      </c>
    </row>
    <row r="1417" spans="1:4" x14ac:dyDescent="0.3">
      <c r="A1417" s="282" t="s">
        <v>5503</v>
      </c>
      <c r="B1417" s="283" t="s">
        <v>3276</v>
      </c>
      <c r="C1417" s="283" t="s">
        <v>3277</v>
      </c>
      <c r="D1417" s="284" t="s">
        <v>5504</v>
      </c>
    </row>
    <row r="1418" spans="1:4" x14ac:dyDescent="0.3">
      <c r="A1418" s="282" t="s">
        <v>5505</v>
      </c>
      <c r="B1418" s="283" t="s">
        <v>3357</v>
      </c>
      <c r="C1418" s="283" t="s">
        <v>3346</v>
      </c>
      <c r="D1418" s="284" t="s">
        <v>5506</v>
      </c>
    </row>
    <row r="1419" spans="1:4" x14ac:dyDescent="0.3">
      <c r="A1419" s="282" t="s">
        <v>5507</v>
      </c>
      <c r="B1419" s="283" t="s">
        <v>3276</v>
      </c>
      <c r="C1419" s="283" t="s">
        <v>3277</v>
      </c>
      <c r="D1419" s="284" t="s">
        <v>5508</v>
      </c>
    </row>
    <row r="1420" spans="1:4" x14ac:dyDescent="0.3">
      <c r="A1420" s="282" t="s">
        <v>5509</v>
      </c>
      <c r="B1420" s="283" t="s">
        <v>3276</v>
      </c>
      <c r="C1420" s="283" t="s">
        <v>3277</v>
      </c>
      <c r="D1420" s="284" t="s">
        <v>5510</v>
      </c>
    </row>
    <row r="1421" spans="1:4" x14ac:dyDescent="0.3">
      <c r="A1421" s="282" t="s">
        <v>5511</v>
      </c>
      <c r="B1421" s="283" t="s">
        <v>3357</v>
      </c>
      <c r="C1421" s="283" t="s">
        <v>3346</v>
      </c>
      <c r="D1421" s="284" t="s">
        <v>5512</v>
      </c>
    </row>
    <row r="1422" spans="1:4" x14ac:dyDescent="0.3">
      <c r="A1422" s="282" t="s">
        <v>5513</v>
      </c>
      <c r="B1422" s="283" t="s">
        <v>3276</v>
      </c>
      <c r="C1422" s="283" t="s">
        <v>3277</v>
      </c>
      <c r="D1422" s="284" t="s">
        <v>5052</v>
      </c>
    </row>
    <row r="1423" spans="1:4" x14ac:dyDescent="0.3">
      <c r="A1423" s="282" t="s">
        <v>5514</v>
      </c>
      <c r="B1423" s="283" t="s">
        <v>3276</v>
      </c>
      <c r="C1423" s="283" t="s">
        <v>3277</v>
      </c>
      <c r="D1423" s="284" t="s">
        <v>5515</v>
      </c>
    </row>
    <row r="1424" spans="1:4" x14ac:dyDescent="0.3">
      <c r="A1424" s="282" t="s">
        <v>5516</v>
      </c>
      <c r="B1424" s="283" t="s">
        <v>4058</v>
      </c>
      <c r="C1424" s="283" t="s">
        <v>3277</v>
      </c>
      <c r="D1424" s="284" t="s">
        <v>5517</v>
      </c>
    </row>
    <row r="1425" spans="1:4" x14ac:dyDescent="0.3">
      <c r="A1425" s="282" t="s">
        <v>5518</v>
      </c>
      <c r="B1425" s="283" t="s">
        <v>4347</v>
      </c>
      <c r="C1425" s="283" t="s">
        <v>3281</v>
      </c>
      <c r="D1425" s="284" t="s">
        <v>5519</v>
      </c>
    </row>
    <row r="1426" spans="1:4" x14ac:dyDescent="0.3">
      <c r="A1426" s="282" t="s">
        <v>5520</v>
      </c>
      <c r="B1426" s="283" t="s">
        <v>3395</v>
      </c>
      <c r="C1426" s="283" t="s">
        <v>3346</v>
      </c>
      <c r="D1426" s="284" t="s">
        <v>5521</v>
      </c>
    </row>
    <row r="1427" spans="1:4" x14ac:dyDescent="0.3">
      <c r="A1427" s="282" t="s">
        <v>5522</v>
      </c>
      <c r="B1427" s="283" t="s">
        <v>4403</v>
      </c>
      <c r="C1427" s="283" t="s">
        <v>3906</v>
      </c>
      <c r="D1427" s="284" t="s">
        <v>5523</v>
      </c>
    </row>
    <row r="1428" spans="1:4" x14ac:dyDescent="0.3">
      <c r="A1428" s="282" t="s">
        <v>5524</v>
      </c>
      <c r="B1428" s="283" t="s">
        <v>4347</v>
      </c>
      <c r="C1428" s="283" t="s">
        <v>3281</v>
      </c>
      <c r="D1428" s="284" t="s">
        <v>5525</v>
      </c>
    </row>
    <row r="1429" spans="1:4" x14ac:dyDescent="0.3">
      <c r="A1429" s="282" t="s">
        <v>5526</v>
      </c>
      <c r="B1429" s="283" t="s">
        <v>3366</v>
      </c>
      <c r="C1429" s="283" t="s">
        <v>3346</v>
      </c>
      <c r="D1429" s="284" t="s">
        <v>5527</v>
      </c>
    </row>
    <row r="1430" spans="1:4" x14ac:dyDescent="0.3">
      <c r="A1430" s="282" t="s">
        <v>5528</v>
      </c>
      <c r="B1430" s="283" t="s">
        <v>4058</v>
      </c>
      <c r="C1430" s="283" t="s">
        <v>3277</v>
      </c>
      <c r="D1430" s="284" t="s">
        <v>5529</v>
      </c>
    </row>
    <row r="1431" spans="1:4" x14ac:dyDescent="0.3">
      <c r="A1431" s="282" t="s">
        <v>5530</v>
      </c>
      <c r="B1431" s="283" t="s">
        <v>4162</v>
      </c>
      <c r="C1431" s="283" t="s">
        <v>3281</v>
      </c>
      <c r="D1431" s="284" t="s">
        <v>5531</v>
      </c>
    </row>
    <row r="1432" spans="1:4" x14ac:dyDescent="0.3">
      <c r="A1432" s="282" t="s">
        <v>5532</v>
      </c>
      <c r="B1432" s="283" t="s">
        <v>4347</v>
      </c>
      <c r="C1432" s="283" t="s">
        <v>3281</v>
      </c>
      <c r="D1432" s="284" t="s">
        <v>5533</v>
      </c>
    </row>
    <row r="1433" spans="1:4" x14ac:dyDescent="0.3">
      <c r="A1433" s="282" t="s">
        <v>5534</v>
      </c>
      <c r="B1433" s="283" t="s">
        <v>4058</v>
      </c>
      <c r="C1433" s="283" t="s">
        <v>3277</v>
      </c>
      <c r="D1433" s="284" t="s">
        <v>5535</v>
      </c>
    </row>
    <row r="1434" spans="1:4" x14ac:dyDescent="0.3">
      <c r="A1434" s="282" t="s">
        <v>5536</v>
      </c>
      <c r="B1434" s="283" t="s">
        <v>4058</v>
      </c>
      <c r="C1434" s="283" t="s">
        <v>3277</v>
      </c>
      <c r="D1434" s="284" t="s">
        <v>5537</v>
      </c>
    </row>
    <row r="1435" spans="1:4" x14ac:dyDescent="0.3">
      <c r="A1435" s="282" t="s">
        <v>5538</v>
      </c>
      <c r="B1435" s="283" t="s">
        <v>4347</v>
      </c>
      <c r="C1435" s="283" t="s">
        <v>3281</v>
      </c>
      <c r="D1435" s="284" t="s">
        <v>5539</v>
      </c>
    </row>
    <row r="1436" spans="1:4" x14ac:dyDescent="0.3">
      <c r="A1436" s="282" t="s">
        <v>5540</v>
      </c>
      <c r="B1436" s="283" t="s">
        <v>4347</v>
      </c>
      <c r="C1436" s="283" t="s">
        <v>3281</v>
      </c>
      <c r="D1436" s="284" t="s">
        <v>5541</v>
      </c>
    </row>
    <row r="1437" spans="1:4" x14ac:dyDescent="0.3">
      <c r="A1437" s="282" t="s">
        <v>5542</v>
      </c>
      <c r="B1437" s="283" t="s">
        <v>4347</v>
      </c>
      <c r="C1437" s="283" t="s">
        <v>3281</v>
      </c>
      <c r="D1437" s="284" t="s">
        <v>5543</v>
      </c>
    </row>
    <row r="1438" spans="1:4" x14ac:dyDescent="0.3">
      <c r="A1438" s="282" t="s">
        <v>5544</v>
      </c>
      <c r="B1438" s="283" t="s">
        <v>4347</v>
      </c>
      <c r="C1438" s="283" t="s">
        <v>3281</v>
      </c>
      <c r="D1438" s="284" t="s">
        <v>5545</v>
      </c>
    </row>
    <row r="1439" spans="1:4" x14ac:dyDescent="0.3">
      <c r="A1439" s="282" t="s">
        <v>5546</v>
      </c>
      <c r="B1439" s="283" t="s">
        <v>4347</v>
      </c>
      <c r="C1439" s="283" t="s">
        <v>3281</v>
      </c>
      <c r="D1439" s="284" t="s">
        <v>5547</v>
      </c>
    </row>
    <row r="1440" spans="1:4" x14ac:dyDescent="0.3">
      <c r="A1440" s="282" t="s">
        <v>5548</v>
      </c>
      <c r="B1440" s="283" t="s">
        <v>4347</v>
      </c>
      <c r="C1440" s="283" t="s">
        <v>3277</v>
      </c>
      <c r="D1440" s="284" t="s">
        <v>5549</v>
      </c>
    </row>
    <row r="1441" spans="1:4" x14ac:dyDescent="0.3">
      <c r="A1441" s="282" t="s">
        <v>5550</v>
      </c>
      <c r="B1441" s="283" t="s">
        <v>4369</v>
      </c>
      <c r="C1441" s="283" t="s">
        <v>3281</v>
      </c>
      <c r="D1441" s="284" t="s">
        <v>5551</v>
      </c>
    </row>
    <row r="1442" spans="1:4" x14ac:dyDescent="0.3">
      <c r="A1442" s="282" t="s">
        <v>5552</v>
      </c>
      <c r="B1442" s="283" t="s">
        <v>3366</v>
      </c>
      <c r="C1442" s="283" t="s">
        <v>3346</v>
      </c>
      <c r="D1442" s="284" t="s">
        <v>5553</v>
      </c>
    </row>
    <row r="1443" spans="1:4" x14ac:dyDescent="0.3">
      <c r="A1443" s="282" t="s">
        <v>5554</v>
      </c>
      <c r="B1443" s="283" t="s">
        <v>4058</v>
      </c>
      <c r="C1443" s="283" t="s">
        <v>3277</v>
      </c>
      <c r="D1443" s="284" t="s">
        <v>5555</v>
      </c>
    </row>
    <row r="1444" spans="1:4" x14ac:dyDescent="0.3">
      <c r="A1444" s="282" t="s">
        <v>5556</v>
      </c>
      <c r="B1444" s="283" t="s">
        <v>4058</v>
      </c>
      <c r="C1444" s="283" t="s">
        <v>3277</v>
      </c>
      <c r="D1444" s="284" t="s">
        <v>5557</v>
      </c>
    </row>
    <row r="1445" spans="1:4" x14ac:dyDescent="0.3">
      <c r="A1445" s="282" t="s">
        <v>5558</v>
      </c>
      <c r="B1445" s="283" t="s">
        <v>3204</v>
      </c>
      <c r="C1445" s="283" t="s">
        <v>3183</v>
      </c>
      <c r="D1445" s="284" t="s">
        <v>5559</v>
      </c>
    </row>
    <row r="1446" spans="1:4" x14ac:dyDescent="0.3">
      <c r="A1446" s="282" t="s">
        <v>5560</v>
      </c>
      <c r="B1446" s="283" t="s">
        <v>4058</v>
      </c>
      <c r="C1446" s="283" t="s">
        <v>3277</v>
      </c>
      <c r="D1446" s="284" t="s">
        <v>5561</v>
      </c>
    </row>
    <row r="1447" spans="1:4" x14ac:dyDescent="0.3">
      <c r="A1447" s="282" t="s">
        <v>5562</v>
      </c>
      <c r="B1447" s="283" t="s">
        <v>3366</v>
      </c>
      <c r="C1447" s="283" t="s">
        <v>3346</v>
      </c>
      <c r="D1447" s="284" t="s">
        <v>5563</v>
      </c>
    </row>
    <row r="1448" spans="1:4" x14ac:dyDescent="0.3">
      <c r="A1448" s="282" t="s">
        <v>5564</v>
      </c>
      <c r="B1448" s="283" t="s">
        <v>3276</v>
      </c>
      <c r="C1448" s="283" t="s">
        <v>3277</v>
      </c>
      <c r="D1448" s="284" t="s">
        <v>5565</v>
      </c>
    </row>
    <row r="1449" spans="1:4" x14ac:dyDescent="0.3">
      <c r="A1449" s="282" t="s">
        <v>5566</v>
      </c>
      <c r="B1449" s="283" t="s">
        <v>4959</v>
      </c>
      <c r="C1449" s="283" t="s">
        <v>3277</v>
      </c>
      <c r="D1449" s="284" t="s">
        <v>5567</v>
      </c>
    </row>
    <row r="1450" spans="1:4" x14ac:dyDescent="0.3">
      <c r="A1450" s="282" t="s">
        <v>5568</v>
      </c>
      <c r="B1450" s="283" t="s">
        <v>3366</v>
      </c>
      <c r="C1450" s="283" t="s">
        <v>3346</v>
      </c>
      <c r="D1450" s="284" t="s">
        <v>5569</v>
      </c>
    </row>
    <row r="1451" spans="1:4" x14ac:dyDescent="0.3">
      <c r="A1451" s="282" t="s">
        <v>5570</v>
      </c>
      <c r="B1451" s="283" t="s">
        <v>4058</v>
      </c>
      <c r="C1451" s="283" t="s">
        <v>3277</v>
      </c>
      <c r="D1451" s="284" t="s">
        <v>5571</v>
      </c>
    </row>
    <row r="1452" spans="1:4" x14ac:dyDescent="0.3">
      <c r="A1452" s="282" t="s">
        <v>5572</v>
      </c>
      <c r="B1452" s="283" t="s">
        <v>3522</v>
      </c>
      <c r="C1452" s="283" t="s">
        <v>3346</v>
      </c>
      <c r="D1452" s="284" t="s">
        <v>5573</v>
      </c>
    </row>
    <row r="1453" spans="1:4" x14ac:dyDescent="0.3">
      <c r="A1453" s="282" t="s">
        <v>5574</v>
      </c>
      <c r="B1453" s="283" t="s">
        <v>2597</v>
      </c>
      <c r="C1453" s="283" t="s">
        <v>3346</v>
      </c>
      <c r="D1453" s="284" t="s">
        <v>5575</v>
      </c>
    </row>
    <row r="1454" spans="1:4" x14ac:dyDescent="0.3">
      <c r="A1454" s="282" t="s">
        <v>5576</v>
      </c>
      <c r="B1454" s="283" t="s">
        <v>3366</v>
      </c>
      <c r="C1454" s="283" t="s">
        <v>3346</v>
      </c>
      <c r="D1454" s="284" t="s">
        <v>5577</v>
      </c>
    </row>
    <row r="1455" spans="1:4" x14ac:dyDescent="0.3">
      <c r="A1455" s="282" t="s">
        <v>5578</v>
      </c>
      <c r="B1455" s="283" t="s">
        <v>3522</v>
      </c>
      <c r="C1455" s="283" t="s">
        <v>3346</v>
      </c>
      <c r="D1455" s="284" t="s">
        <v>5579</v>
      </c>
    </row>
    <row r="1456" spans="1:4" x14ac:dyDescent="0.3">
      <c r="A1456" s="282" t="s">
        <v>5580</v>
      </c>
      <c r="B1456" s="283" t="s">
        <v>5581</v>
      </c>
      <c r="C1456" s="283" t="s">
        <v>3281</v>
      </c>
      <c r="D1456" s="284" t="s">
        <v>5582</v>
      </c>
    </row>
    <row r="1457" spans="1:4" x14ac:dyDescent="0.3">
      <c r="A1457" s="282" t="s">
        <v>5583</v>
      </c>
      <c r="B1457" s="283" t="s">
        <v>4058</v>
      </c>
      <c r="C1457" s="283" t="s">
        <v>3277</v>
      </c>
      <c r="D1457" s="284" t="s">
        <v>5584</v>
      </c>
    </row>
    <row r="1458" spans="1:4" x14ac:dyDescent="0.3">
      <c r="A1458" s="282" t="s">
        <v>5585</v>
      </c>
      <c r="B1458" s="283" t="s">
        <v>3215</v>
      </c>
      <c r="C1458" s="283" t="s">
        <v>3183</v>
      </c>
      <c r="D1458" s="284" t="s">
        <v>3664</v>
      </c>
    </row>
    <row r="1459" spans="1:4" x14ac:dyDescent="0.3">
      <c r="A1459" s="282" t="s">
        <v>5586</v>
      </c>
      <c r="B1459" s="283" t="s">
        <v>3395</v>
      </c>
      <c r="C1459" s="283" t="s">
        <v>3346</v>
      </c>
      <c r="D1459" s="284" t="s">
        <v>5587</v>
      </c>
    </row>
    <row r="1460" spans="1:4" x14ac:dyDescent="0.3">
      <c r="A1460" s="282" t="s">
        <v>5588</v>
      </c>
      <c r="B1460" s="283" t="s">
        <v>3345</v>
      </c>
      <c r="C1460" s="283" t="s">
        <v>3346</v>
      </c>
      <c r="D1460" s="284" t="s">
        <v>5589</v>
      </c>
    </row>
    <row r="1461" spans="1:4" x14ac:dyDescent="0.3">
      <c r="A1461" s="282" t="s">
        <v>5590</v>
      </c>
      <c r="B1461" s="283" t="s">
        <v>3687</v>
      </c>
      <c r="C1461" s="283" t="s">
        <v>2846</v>
      </c>
      <c r="D1461" s="284" t="s">
        <v>2901</v>
      </c>
    </row>
    <row r="1462" spans="1:4" x14ac:dyDescent="0.3">
      <c r="A1462" s="282" t="s">
        <v>5591</v>
      </c>
      <c r="B1462" s="283" t="s">
        <v>3366</v>
      </c>
      <c r="C1462" s="283" t="s">
        <v>3346</v>
      </c>
      <c r="D1462" s="284" t="s">
        <v>5592</v>
      </c>
    </row>
    <row r="1463" spans="1:4" x14ac:dyDescent="0.3">
      <c r="A1463" s="282" t="s">
        <v>5593</v>
      </c>
      <c r="B1463" s="283" t="s">
        <v>4058</v>
      </c>
      <c r="C1463" s="283" t="s">
        <v>3277</v>
      </c>
      <c r="D1463" s="284" t="s">
        <v>5594</v>
      </c>
    </row>
    <row r="1464" spans="1:4" x14ac:dyDescent="0.3">
      <c r="A1464" s="282" t="s">
        <v>5595</v>
      </c>
      <c r="B1464" s="283" t="s">
        <v>3687</v>
      </c>
      <c r="C1464" s="283" t="s">
        <v>3776</v>
      </c>
      <c r="D1464" s="284" t="s">
        <v>5596</v>
      </c>
    </row>
    <row r="1465" spans="1:4" x14ac:dyDescent="0.3">
      <c r="A1465" s="282" t="s">
        <v>5597</v>
      </c>
      <c r="B1465" s="283" t="s">
        <v>3687</v>
      </c>
      <c r="C1465" s="283" t="s">
        <v>3776</v>
      </c>
      <c r="D1465" s="284" t="s">
        <v>5598</v>
      </c>
    </row>
    <row r="1466" spans="1:4" x14ac:dyDescent="0.3">
      <c r="A1466" s="282" t="s">
        <v>5599</v>
      </c>
      <c r="B1466" s="283" t="s">
        <v>2708</v>
      </c>
      <c r="C1466" s="283" t="s">
        <v>3906</v>
      </c>
      <c r="D1466" s="284" t="s">
        <v>5600</v>
      </c>
    </row>
    <row r="1467" spans="1:4" x14ac:dyDescent="0.3">
      <c r="A1467" s="282" t="s">
        <v>5601</v>
      </c>
      <c r="B1467" s="283" t="s">
        <v>2708</v>
      </c>
      <c r="C1467" s="283" t="s">
        <v>3183</v>
      </c>
      <c r="D1467" s="284" t="s">
        <v>5602</v>
      </c>
    </row>
    <row r="1468" spans="1:4" x14ac:dyDescent="0.3">
      <c r="A1468" s="282" t="s">
        <v>5603</v>
      </c>
      <c r="B1468" s="283" t="s">
        <v>4058</v>
      </c>
      <c r="C1468" s="283" t="s">
        <v>3277</v>
      </c>
      <c r="D1468" s="284" t="s">
        <v>5604</v>
      </c>
    </row>
    <row r="1469" spans="1:4" x14ac:dyDescent="0.3">
      <c r="A1469" s="282" t="s">
        <v>5605</v>
      </c>
      <c r="B1469" s="283" t="s">
        <v>3345</v>
      </c>
      <c r="C1469" s="283" t="s">
        <v>3346</v>
      </c>
      <c r="D1469" s="284" t="s">
        <v>5606</v>
      </c>
    </row>
    <row r="1470" spans="1:4" x14ac:dyDescent="0.3">
      <c r="A1470" s="282" t="s">
        <v>5607</v>
      </c>
      <c r="B1470" s="283" t="s">
        <v>2708</v>
      </c>
      <c r="C1470" s="283" t="s">
        <v>2846</v>
      </c>
      <c r="D1470" s="284" t="s">
        <v>5608</v>
      </c>
    </row>
    <row r="1471" spans="1:4" x14ac:dyDescent="0.3">
      <c r="A1471" s="282" t="s">
        <v>5609</v>
      </c>
      <c r="B1471" s="283" t="s">
        <v>2708</v>
      </c>
      <c r="C1471" s="283" t="s">
        <v>2846</v>
      </c>
      <c r="D1471" s="284" t="s">
        <v>5610</v>
      </c>
    </row>
    <row r="1472" spans="1:4" x14ac:dyDescent="0.3">
      <c r="A1472" s="282" t="s">
        <v>5611</v>
      </c>
      <c r="B1472" s="283" t="s">
        <v>2708</v>
      </c>
      <c r="C1472" s="283" t="s">
        <v>2846</v>
      </c>
      <c r="D1472" s="284" t="s">
        <v>5612</v>
      </c>
    </row>
    <row r="1473" spans="1:4" x14ac:dyDescent="0.3">
      <c r="A1473" s="282" t="s">
        <v>5613</v>
      </c>
      <c r="B1473" s="283" t="s">
        <v>3276</v>
      </c>
      <c r="C1473" s="283" t="s">
        <v>3277</v>
      </c>
      <c r="D1473" s="284" t="s">
        <v>5614</v>
      </c>
    </row>
    <row r="1474" spans="1:4" x14ac:dyDescent="0.3">
      <c r="A1474" s="282" t="s">
        <v>5615</v>
      </c>
      <c r="B1474" s="283" t="s">
        <v>3366</v>
      </c>
      <c r="C1474" s="283" t="s">
        <v>3346</v>
      </c>
      <c r="D1474" s="284" t="s">
        <v>5616</v>
      </c>
    </row>
    <row r="1475" spans="1:4" x14ac:dyDescent="0.3">
      <c r="A1475" s="282" t="s">
        <v>5617</v>
      </c>
      <c r="B1475" s="283" t="s">
        <v>3345</v>
      </c>
      <c r="C1475" s="283" t="s">
        <v>3346</v>
      </c>
      <c r="D1475" s="284" t="s">
        <v>5618</v>
      </c>
    </row>
    <row r="1476" spans="1:4" x14ac:dyDescent="0.3">
      <c r="A1476" s="282" t="s">
        <v>5619</v>
      </c>
      <c r="B1476" s="283" t="s">
        <v>4347</v>
      </c>
      <c r="C1476" s="283" t="s">
        <v>3281</v>
      </c>
      <c r="D1476" s="284" t="s">
        <v>5620</v>
      </c>
    </row>
    <row r="1477" spans="1:4" x14ac:dyDescent="0.3">
      <c r="A1477" s="282" t="s">
        <v>5621</v>
      </c>
      <c r="B1477" s="283" t="s">
        <v>4347</v>
      </c>
      <c r="C1477" s="283" t="s">
        <v>3281</v>
      </c>
      <c r="D1477" s="284" t="s">
        <v>5622</v>
      </c>
    </row>
    <row r="1478" spans="1:4" x14ac:dyDescent="0.3">
      <c r="A1478" s="282" t="s">
        <v>5623</v>
      </c>
      <c r="B1478" s="283" t="s">
        <v>4058</v>
      </c>
      <c r="C1478" s="283" t="s">
        <v>3277</v>
      </c>
      <c r="D1478" s="284" t="s">
        <v>5624</v>
      </c>
    </row>
    <row r="1479" spans="1:4" x14ac:dyDescent="0.3">
      <c r="A1479" s="282" t="s">
        <v>5625</v>
      </c>
      <c r="B1479" s="283" t="s">
        <v>4053</v>
      </c>
      <c r="C1479" s="283" t="s">
        <v>3277</v>
      </c>
      <c r="D1479" s="284" t="s">
        <v>5626</v>
      </c>
    </row>
    <row r="1480" spans="1:4" x14ac:dyDescent="0.3">
      <c r="A1480" s="282" t="s">
        <v>5627</v>
      </c>
      <c r="B1480" s="283" t="s">
        <v>4347</v>
      </c>
      <c r="C1480" s="283" t="s">
        <v>3281</v>
      </c>
      <c r="D1480" s="284" t="s">
        <v>5628</v>
      </c>
    </row>
    <row r="1481" spans="1:4" x14ac:dyDescent="0.3">
      <c r="A1481" s="282" t="s">
        <v>5629</v>
      </c>
      <c r="B1481" s="283" t="s">
        <v>4058</v>
      </c>
      <c r="C1481" s="283" t="s">
        <v>3277</v>
      </c>
      <c r="D1481" s="284" t="s">
        <v>5630</v>
      </c>
    </row>
    <row r="1482" spans="1:4" x14ac:dyDescent="0.3">
      <c r="A1482" s="282" t="s">
        <v>5631</v>
      </c>
      <c r="B1482" s="283" t="s">
        <v>3914</v>
      </c>
      <c r="C1482" s="283" t="s">
        <v>3906</v>
      </c>
      <c r="D1482" s="284" t="s">
        <v>5632</v>
      </c>
    </row>
    <row r="1483" spans="1:4" x14ac:dyDescent="0.3">
      <c r="A1483" s="282" t="s">
        <v>5633</v>
      </c>
      <c r="B1483" s="283" t="s">
        <v>4058</v>
      </c>
      <c r="C1483" s="283" t="s">
        <v>3277</v>
      </c>
      <c r="D1483" s="284" t="s">
        <v>5634</v>
      </c>
    </row>
    <row r="1484" spans="1:4" x14ac:dyDescent="0.3">
      <c r="A1484" s="282" t="s">
        <v>5635</v>
      </c>
      <c r="B1484" s="283" t="s">
        <v>4347</v>
      </c>
      <c r="C1484" s="283" t="s">
        <v>3281</v>
      </c>
      <c r="D1484" s="284" t="s">
        <v>5636</v>
      </c>
    </row>
    <row r="1485" spans="1:4" x14ac:dyDescent="0.3">
      <c r="A1485" s="282" t="s">
        <v>5637</v>
      </c>
      <c r="B1485" s="283" t="s">
        <v>4347</v>
      </c>
      <c r="C1485" s="283" t="s">
        <v>3281</v>
      </c>
      <c r="D1485" s="284" t="s">
        <v>5638</v>
      </c>
    </row>
    <row r="1486" spans="1:4" x14ac:dyDescent="0.3">
      <c r="A1486" s="282" t="s">
        <v>5639</v>
      </c>
      <c r="B1486" s="283" t="s">
        <v>4347</v>
      </c>
      <c r="C1486" s="283" t="s">
        <v>3281</v>
      </c>
      <c r="D1486" s="284" t="s">
        <v>5640</v>
      </c>
    </row>
    <row r="1487" spans="1:4" x14ac:dyDescent="0.3">
      <c r="A1487" s="282" t="s">
        <v>5641</v>
      </c>
      <c r="B1487" s="283" t="s">
        <v>4347</v>
      </c>
      <c r="C1487" s="283" t="s">
        <v>3281</v>
      </c>
      <c r="D1487" s="284" t="s">
        <v>5642</v>
      </c>
    </row>
    <row r="1488" spans="1:4" x14ac:dyDescent="0.3">
      <c r="A1488" s="282" t="s">
        <v>5643</v>
      </c>
      <c r="B1488" s="283" t="s">
        <v>4347</v>
      </c>
      <c r="C1488" s="283" t="s">
        <v>3281</v>
      </c>
      <c r="D1488" s="284" t="s">
        <v>5644</v>
      </c>
    </row>
    <row r="1489" spans="1:4" x14ac:dyDescent="0.3">
      <c r="A1489" s="282" t="s">
        <v>5645</v>
      </c>
      <c r="B1489" s="283" t="s">
        <v>4347</v>
      </c>
      <c r="C1489" s="283" t="s">
        <v>3281</v>
      </c>
      <c r="D1489" s="284" t="s">
        <v>5646</v>
      </c>
    </row>
    <row r="1490" spans="1:4" x14ac:dyDescent="0.3">
      <c r="A1490" s="282" t="s">
        <v>5647</v>
      </c>
      <c r="B1490" s="283" t="s">
        <v>4347</v>
      </c>
      <c r="C1490" s="283" t="s">
        <v>3281</v>
      </c>
      <c r="D1490" s="284" t="s">
        <v>5648</v>
      </c>
    </row>
    <row r="1491" spans="1:4" x14ac:dyDescent="0.3">
      <c r="A1491" s="282" t="s">
        <v>5649</v>
      </c>
      <c r="B1491" s="283" t="s">
        <v>4347</v>
      </c>
      <c r="C1491" s="283" t="s">
        <v>3281</v>
      </c>
      <c r="D1491" s="284" t="s">
        <v>5650</v>
      </c>
    </row>
    <row r="1492" spans="1:4" x14ac:dyDescent="0.3">
      <c r="A1492" s="282" t="s">
        <v>5651</v>
      </c>
      <c r="B1492" s="283" t="s">
        <v>4347</v>
      </c>
      <c r="C1492" s="283" t="s">
        <v>3281</v>
      </c>
      <c r="D1492" s="284" t="s">
        <v>5652</v>
      </c>
    </row>
    <row r="1493" spans="1:4" x14ac:dyDescent="0.3">
      <c r="A1493" s="282" t="s">
        <v>5653</v>
      </c>
      <c r="B1493" s="283" t="s">
        <v>4347</v>
      </c>
      <c r="C1493" s="283" t="s">
        <v>3281</v>
      </c>
      <c r="D1493" s="284" t="s">
        <v>5654</v>
      </c>
    </row>
    <row r="1494" spans="1:4" x14ac:dyDescent="0.3">
      <c r="A1494" s="282" t="s">
        <v>5655</v>
      </c>
      <c r="B1494" s="283" t="s">
        <v>4347</v>
      </c>
      <c r="C1494" s="283" t="s">
        <v>3281</v>
      </c>
      <c r="D1494" s="284" t="s">
        <v>5656</v>
      </c>
    </row>
    <row r="1495" spans="1:4" x14ac:dyDescent="0.3">
      <c r="A1495" s="282" t="s">
        <v>5657</v>
      </c>
      <c r="B1495" s="283" t="s">
        <v>4058</v>
      </c>
      <c r="C1495" s="283" t="s">
        <v>3277</v>
      </c>
      <c r="D1495" s="284" t="s">
        <v>5658</v>
      </c>
    </row>
    <row r="1496" spans="1:4" x14ac:dyDescent="0.3">
      <c r="A1496" s="282" t="s">
        <v>5659</v>
      </c>
      <c r="B1496" s="283" t="s">
        <v>4053</v>
      </c>
      <c r="C1496" s="283" t="s">
        <v>3277</v>
      </c>
      <c r="D1496" s="284" t="s">
        <v>5660</v>
      </c>
    </row>
    <row r="1497" spans="1:4" x14ac:dyDescent="0.3">
      <c r="A1497" s="282" t="s">
        <v>5661</v>
      </c>
      <c r="B1497" s="283" t="s">
        <v>2595</v>
      </c>
      <c r="C1497" s="283" t="s">
        <v>3277</v>
      </c>
      <c r="D1497" s="284" t="s">
        <v>5662</v>
      </c>
    </row>
    <row r="1498" spans="1:4" x14ac:dyDescent="0.3">
      <c r="A1498" s="282" t="s">
        <v>5663</v>
      </c>
      <c r="B1498" s="283" t="s">
        <v>4589</v>
      </c>
      <c r="C1498" s="283" t="s">
        <v>489</v>
      </c>
      <c r="D1498" s="284" t="s">
        <v>5664</v>
      </c>
    </row>
    <row r="1499" spans="1:4" x14ac:dyDescent="0.3">
      <c r="A1499" s="282" t="s">
        <v>5665</v>
      </c>
      <c r="B1499" s="283" t="s">
        <v>4683</v>
      </c>
      <c r="C1499" s="283" t="s">
        <v>3183</v>
      </c>
      <c r="D1499" s="284" t="s">
        <v>5666</v>
      </c>
    </row>
    <row r="1500" spans="1:4" x14ac:dyDescent="0.3">
      <c r="A1500" s="282" t="s">
        <v>5667</v>
      </c>
      <c r="B1500" s="283" t="s">
        <v>3186</v>
      </c>
      <c r="C1500" s="283" t="s">
        <v>3183</v>
      </c>
      <c r="D1500" s="284" t="s">
        <v>5668</v>
      </c>
    </row>
    <row r="1501" spans="1:4" x14ac:dyDescent="0.3">
      <c r="A1501" s="282" t="s">
        <v>5669</v>
      </c>
      <c r="B1501" s="283" t="s">
        <v>3215</v>
      </c>
      <c r="C1501" s="283" t="s">
        <v>3183</v>
      </c>
      <c r="D1501" s="284" t="s">
        <v>5670</v>
      </c>
    </row>
    <row r="1502" spans="1:4" x14ac:dyDescent="0.3">
      <c r="A1502" s="282" t="s">
        <v>5671</v>
      </c>
      <c r="B1502" s="283" t="s">
        <v>3204</v>
      </c>
      <c r="C1502" s="283" t="s">
        <v>3183</v>
      </c>
      <c r="D1502" s="284" t="s">
        <v>4795</v>
      </c>
    </row>
    <row r="1503" spans="1:4" x14ac:dyDescent="0.3">
      <c r="A1503" s="282" t="s">
        <v>5672</v>
      </c>
      <c r="B1503" s="283" t="s">
        <v>3186</v>
      </c>
      <c r="C1503" s="283" t="s">
        <v>3183</v>
      </c>
      <c r="D1503" s="284" t="s">
        <v>5673</v>
      </c>
    </row>
    <row r="1504" spans="1:4" x14ac:dyDescent="0.3">
      <c r="A1504" s="282" t="s">
        <v>5674</v>
      </c>
      <c r="B1504" s="283" t="s">
        <v>3357</v>
      </c>
      <c r="C1504" s="283" t="s">
        <v>3346</v>
      </c>
      <c r="D1504" s="284" t="s">
        <v>5675</v>
      </c>
    </row>
    <row r="1505" spans="1:4" x14ac:dyDescent="0.3">
      <c r="A1505" s="282" t="s">
        <v>5676</v>
      </c>
      <c r="B1505" s="283" t="s">
        <v>4930</v>
      </c>
      <c r="C1505" s="283" t="s">
        <v>3281</v>
      </c>
      <c r="D1505" s="284" t="s">
        <v>5677</v>
      </c>
    </row>
    <row r="1506" spans="1:4" x14ac:dyDescent="0.3">
      <c r="A1506" s="282" t="s">
        <v>5678</v>
      </c>
      <c r="B1506" s="283" t="s">
        <v>3357</v>
      </c>
      <c r="C1506" s="283" t="s">
        <v>3346</v>
      </c>
      <c r="D1506" s="284" t="s">
        <v>5679</v>
      </c>
    </row>
    <row r="1507" spans="1:4" x14ac:dyDescent="0.3">
      <c r="A1507" s="282" t="s">
        <v>5680</v>
      </c>
      <c r="B1507" s="283" t="s">
        <v>3276</v>
      </c>
      <c r="C1507" s="283" t="s">
        <v>3277</v>
      </c>
      <c r="D1507" s="284" t="s">
        <v>5681</v>
      </c>
    </row>
    <row r="1508" spans="1:4" x14ac:dyDescent="0.3">
      <c r="A1508" s="282" t="s">
        <v>5682</v>
      </c>
      <c r="B1508" s="283" t="s">
        <v>2597</v>
      </c>
      <c r="C1508" s="283" t="s">
        <v>3346</v>
      </c>
      <c r="D1508" s="284" t="s">
        <v>5683</v>
      </c>
    </row>
    <row r="1509" spans="1:4" x14ac:dyDescent="0.3">
      <c r="A1509" s="282" t="s">
        <v>5684</v>
      </c>
      <c r="B1509" s="283" t="s">
        <v>3366</v>
      </c>
      <c r="C1509" s="283" t="s">
        <v>3346</v>
      </c>
      <c r="D1509" s="284" t="s">
        <v>5685</v>
      </c>
    </row>
    <row r="1510" spans="1:4" x14ac:dyDescent="0.3">
      <c r="A1510" s="282" t="s">
        <v>5686</v>
      </c>
      <c r="B1510" s="283" t="s">
        <v>4058</v>
      </c>
      <c r="C1510" s="283" t="s">
        <v>3277</v>
      </c>
      <c r="D1510" s="284" t="s">
        <v>5687</v>
      </c>
    </row>
    <row r="1511" spans="1:4" x14ac:dyDescent="0.3">
      <c r="A1511" s="282" t="s">
        <v>5688</v>
      </c>
      <c r="B1511" s="283" t="s">
        <v>3522</v>
      </c>
      <c r="C1511" s="283" t="s">
        <v>3346</v>
      </c>
      <c r="D1511" s="284" t="s">
        <v>5689</v>
      </c>
    </row>
    <row r="1512" spans="1:4" x14ac:dyDescent="0.3">
      <c r="A1512" s="282" t="s">
        <v>5690</v>
      </c>
      <c r="B1512" s="283" t="s">
        <v>2595</v>
      </c>
      <c r="C1512" s="283" t="s">
        <v>3277</v>
      </c>
      <c r="D1512" s="284" t="s">
        <v>5691</v>
      </c>
    </row>
    <row r="1513" spans="1:4" x14ac:dyDescent="0.3">
      <c r="A1513" s="282" t="s">
        <v>5692</v>
      </c>
      <c r="B1513" s="283" t="s">
        <v>3345</v>
      </c>
      <c r="C1513" s="283" t="s">
        <v>3346</v>
      </c>
      <c r="D1513" s="284" t="s">
        <v>5693</v>
      </c>
    </row>
    <row r="1514" spans="1:4" x14ac:dyDescent="0.3">
      <c r="A1514" s="282" t="s">
        <v>5694</v>
      </c>
      <c r="B1514" s="283" t="s">
        <v>3366</v>
      </c>
      <c r="C1514" s="283" t="s">
        <v>3346</v>
      </c>
      <c r="D1514" s="284" t="s">
        <v>5695</v>
      </c>
    </row>
    <row r="1515" spans="1:4" x14ac:dyDescent="0.3">
      <c r="A1515" s="282" t="s">
        <v>5696</v>
      </c>
      <c r="B1515" s="283" t="s">
        <v>3345</v>
      </c>
      <c r="C1515" s="283" t="s">
        <v>3346</v>
      </c>
      <c r="D1515" s="284" t="s">
        <v>5697</v>
      </c>
    </row>
    <row r="1516" spans="1:4" x14ac:dyDescent="0.3">
      <c r="A1516" s="282" t="s">
        <v>5698</v>
      </c>
      <c r="B1516" s="283" t="s">
        <v>3345</v>
      </c>
      <c r="C1516" s="283" t="s">
        <v>3346</v>
      </c>
      <c r="D1516" s="284" t="s">
        <v>5699</v>
      </c>
    </row>
    <row r="1517" spans="1:4" x14ac:dyDescent="0.3">
      <c r="A1517" s="282" t="s">
        <v>5700</v>
      </c>
      <c r="B1517" s="283" t="s">
        <v>3366</v>
      </c>
      <c r="C1517" s="283" t="s">
        <v>3346</v>
      </c>
      <c r="D1517" s="284" t="s">
        <v>5701</v>
      </c>
    </row>
    <row r="1518" spans="1:4" x14ac:dyDescent="0.3">
      <c r="A1518" s="282" t="s">
        <v>5702</v>
      </c>
      <c r="B1518" s="283" t="s">
        <v>2597</v>
      </c>
      <c r="C1518" s="283" t="s">
        <v>3346</v>
      </c>
      <c r="D1518" s="284" t="s">
        <v>5703</v>
      </c>
    </row>
    <row r="1519" spans="1:4" x14ac:dyDescent="0.3">
      <c r="A1519" s="282" t="s">
        <v>5704</v>
      </c>
      <c r="B1519" s="283" t="s">
        <v>4162</v>
      </c>
      <c r="C1519" s="283" t="s">
        <v>3281</v>
      </c>
      <c r="D1519" s="284" t="s">
        <v>5705</v>
      </c>
    </row>
    <row r="1520" spans="1:4" x14ac:dyDescent="0.3">
      <c r="A1520" s="282" t="s">
        <v>5706</v>
      </c>
      <c r="B1520" s="283" t="s">
        <v>3366</v>
      </c>
      <c r="C1520" s="283" t="s">
        <v>3346</v>
      </c>
      <c r="D1520" s="284" t="s">
        <v>5707</v>
      </c>
    </row>
    <row r="1521" spans="1:4" x14ac:dyDescent="0.3">
      <c r="A1521" s="282" t="s">
        <v>5708</v>
      </c>
      <c r="B1521" s="283" t="s">
        <v>3366</v>
      </c>
      <c r="C1521" s="283" t="s">
        <v>3346</v>
      </c>
      <c r="D1521" s="284" t="s">
        <v>5709</v>
      </c>
    </row>
    <row r="1522" spans="1:4" x14ac:dyDescent="0.3">
      <c r="A1522" s="282" t="s">
        <v>5710</v>
      </c>
      <c r="B1522" s="283" t="s">
        <v>3357</v>
      </c>
      <c r="C1522" s="283" t="s">
        <v>3346</v>
      </c>
      <c r="D1522" s="284" t="s">
        <v>5711</v>
      </c>
    </row>
    <row r="1523" spans="1:4" x14ac:dyDescent="0.3">
      <c r="A1523" s="282" t="s">
        <v>5712</v>
      </c>
      <c r="B1523" s="283" t="s">
        <v>2708</v>
      </c>
      <c r="C1523" s="283" t="s">
        <v>2846</v>
      </c>
      <c r="D1523" s="284" t="s">
        <v>5713</v>
      </c>
    </row>
    <row r="1524" spans="1:4" x14ac:dyDescent="0.3">
      <c r="A1524" s="282" t="s">
        <v>5714</v>
      </c>
      <c r="B1524" s="283" t="s">
        <v>3738</v>
      </c>
      <c r="C1524" s="283" t="s">
        <v>3496</v>
      </c>
      <c r="D1524" s="284" t="s">
        <v>5715</v>
      </c>
    </row>
    <row r="1525" spans="1:4" x14ac:dyDescent="0.3">
      <c r="A1525" s="282" t="s">
        <v>5716</v>
      </c>
      <c r="B1525" s="283" t="s">
        <v>3905</v>
      </c>
      <c r="C1525" s="283" t="s">
        <v>3906</v>
      </c>
      <c r="D1525" s="284" t="s">
        <v>5717</v>
      </c>
    </row>
    <row r="1526" spans="1:4" x14ac:dyDescent="0.3">
      <c r="A1526" s="282" t="s">
        <v>5718</v>
      </c>
      <c r="B1526" s="283" t="s">
        <v>3905</v>
      </c>
      <c r="C1526" s="283" t="s">
        <v>3906</v>
      </c>
      <c r="D1526" s="284" t="s">
        <v>5719</v>
      </c>
    </row>
    <row r="1527" spans="1:4" x14ac:dyDescent="0.3">
      <c r="A1527" s="282" t="s">
        <v>5720</v>
      </c>
      <c r="B1527" s="283" t="s">
        <v>4070</v>
      </c>
      <c r="C1527" s="283" t="s">
        <v>3277</v>
      </c>
      <c r="D1527" s="284" t="s">
        <v>5721</v>
      </c>
    </row>
    <row r="1528" spans="1:4" x14ac:dyDescent="0.3">
      <c r="A1528" s="282" t="s">
        <v>5722</v>
      </c>
      <c r="B1528" s="283" t="s">
        <v>4070</v>
      </c>
      <c r="C1528" s="283" t="s">
        <v>3277</v>
      </c>
      <c r="D1528" s="284" t="s">
        <v>5723</v>
      </c>
    </row>
    <row r="1529" spans="1:4" x14ac:dyDescent="0.3">
      <c r="A1529" s="282" t="s">
        <v>5724</v>
      </c>
      <c r="B1529" s="283" t="s">
        <v>4070</v>
      </c>
      <c r="C1529" s="283" t="s">
        <v>3277</v>
      </c>
      <c r="D1529" s="284" t="s">
        <v>5725</v>
      </c>
    </row>
    <row r="1530" spans="1:4" x14ac:dyDescent="0.3">
      <c r="A1530" s="282" t="s">
        <v>5726</v>
      </c>
      <c r="B1530" s="283" t="s">
        <v>4070</v>
      </c>
      <c r="C1530" s="283" t="s">
        <v>3277</v>
      </c>
      <c r="D1530" s="284" t="s">
        <v>5727</v>
      </c>
    </row>
    <row r="1531" spans="1:4" x14ac:dyDescent="0.3">
      <c r="A1531" s="282" t="s">
        <v>5728</v>
      </c>
      <c r="B1531" s="283" t="s">
        <v>4058</v>
      </c>
      <c r="C1531" s="283" t="s">
        <v>3277</v>
      </c>
      <c r="D1531" s="284" t="s">
        <v>5729</v>
      </c>
    </row>
    <row r="1532" spans="1:4" x14ac:dyDescent="0.3">
      <c r="A1532" s="282" t="s">
        <v>5730</v>
      </c>
      <c r="B1532" s="283" t="s">
        <v>4070</v>
      </c>
      <c r="C1532" s="283" t="s">
        <v>3277</v>
      </c>
      <c r="D1532" s="284" t="s">
        <v>5731</v>
      </c>
    </row>
    <row r="1533" spans="1:4" x14ac:dyDescent="0.3">
      <c r="A1533" s="282" t="s">
        <v>5732</v>
      </c>
      <c r="B1533" s="283" t="s">
        <v>4058</v>
      </c>
      <c r="C1533" s="283" t="s">
        <v>3277</v>
      </c>
      <c r="D1533" s="284" t="s">
        <v>5733</v>
      </c>
    </row>
    <row r="1534" spans="1:4" x14ac:dyDescent="0.3">
      <c r="A1534" s="282" t="s">
        <v>5734</v>
      </c>
      <c r="B1534" s="283" t="s">
        <v>4070</v>
      </c>
      <c r="C1534" s="283" t="s">
        <v>3277</v>
      </c>
      <c r="D1534" s="284" t="s">
        <v>5735</v>
      </c>
    </row>
    <row r="1535" spans="1:4" x14ac:dyDescent="0.3">
      <c r="A1535" s="282" t="s">
        <v>5736</v>
      </c>
      <c r="B1535" s="283" t="s">
        <v>4058</v>
      </c>
      <c r="C1535" s="283" t="s">
        <v>3277</v>
      </c>
      <c r="D1535" s="284" t="s">
        <v>5737</v>
      </c>
    </row>
    <row r="1536" spans="1:4" x14ac:dyDescent="0.3">
      <c r="A1536" s="282" t="s">
        <v>5738</v>
      </c>
      <c r="B1536" s="283" t="s">
        <v>4058</v>
      </c>
      <c r="C1536" s="283" t="s">
        <v>3277</v>
      </c>
      <c r="D1536" s="284" t="s">
        <v>5739</v>
      </c>
    </row>
    <row r="1537" spans="1:4" x14ac:dyDescent="0.3">
      <c r="A1537" s="282" t="s">
        <v>5740</v>
      </c>
      <c r="B1537" s="283" t="s">
        <v>4058</v>
      </c>
      <c r="C1537" s="283" t="s">
        <v>3277</v>
      </c>
      <c r="D1537" s="284" t="s">
        <v>5741</v>
      </c>
    </row>
    <row r="1538" spans="1:4" x14ac:dyDescent="0.3">
      <c r="A1538" s="282" t="s">
        <v>5742</v>
      </c>
      <c r="B1538" s="283" t="s">
        <v>4058</v>
      </c>
      <c r="C1538" s="283" t="s">
        <v>3277</v>
      </c>
      <c r="D1538" s="284" t="s">
        <v>5743</v>
      </c>
    </row>
    <row r="1539" spans="1:4" x14ac:dyDescent="0.3">
      <c r="A1539" s="282" t="s">
        <v>5744</v>
      </c>
      <c r="B1539" s="283" t="s">
        <v>4058</v>
      </c>
      <c r="C1539" s="283" t="s">
        <v>3277</v>
      </c>
      <c r="D1539" s="284" t="s">
        <v>5745</v>
      </c>
    </row>
    <row r="1540" spans="1:4" x14ac:dyDescent="0.3">
      <c r="A1540" s="282" t="s">
        <v>5746</v>
      </c>
      <c r="B1540" s="283" t="s">
        <v>4058</v>
      </c>
      <c r="C1540" s="283" t="s">
        <v>3277</v>
      </c>
      <c r="D1540" s="284" t="s">
        <v>5747</v>
      </c>
    </row>
    <row r="1541" spans="1:4" x14ac:dyDescent="0.3">
      <c r="A1541" s="282" t="s">
        <v>5748</v>
      </c>
      <c r="B1541" s="283" t="s">
        <v>4058</v>
      </c>
      <c r="C1541" s="283" t="s">
        <v>3277</v>
      </c>
      <c r="D1541" s="284" t="s">
        <v>5749</v>
      </c>
    </row>
    <row r="1542" spans="1:4" x14ac:dyDescent="0.3">
      <c r="A1542" s="282" t="s">
        <v>5750</v>
      </c>
      <c r="B1542" s="283" t="s">
        <v>4058</v>
      </c>
      <c r="C1542" s="283" t="s">
        <v>3277</v>
      </c>
      <c r="D1542" s="284" t="s">
        <v>5751</v>
      </c>
    </row>
    <row r="1543" spans="1:4" x14ac:dyDescent="0.3">
      <c r="A1543" s="282" t="s">
        <v>5752</v>
      </c>
      <c r="B1543" s="283" t="s">
        <v>4058</v>
      </c>
      <c r="C1543" s="283" t="s">
        <v>3277</v>
      </c>
      <c r="D1543" s="284" t="s">
        <v>5753</v>
      </c>
    </row>
    <row r="1544" spans="1:4" x14ac:dyDescent="0.3">
      <c r="A1544" s="282" t="s">
        <v>5754</v>
      </c>
      <c r="B1544" s="283" t="s">
        <v>4058</v>
      </c>
      <c r="C1544" s="283" t="s">
        <v>3277</v>
      </c>
      <c r="D1544" s="284" t="s">
        <v>5755</v>
      </c>
    </row>
    <row r="1545" spans="1:4" x14ac:dyDescent="0.3">
      <c r="A1545" s="282" t="s">
        <v>5756</v>
      </c>
      <c r="B1545" s="283" t="s">
        <v>4058</v>
      </c>
      <c r="C1545" s="283" t="s">
        <v>3277</v>
      </c>
      <c r="D1545" s="284" t="s">
        <v>5757</v>
      </c>
    </row>
    <row r="1546" spans="1:4" x14ac:dyDescent="0.3">
      <c r="A1546" s="282" t="s">
        <v>5758</v>
      </c>
      <c r="B1546" s="283" t="s">
        <v>4058</v>
      </c>
      <c r="C1546" s="283" t="s">
        <v>3277</v>
      </c>
      <c r="D1546" s="284" t="s">
        <v>5759</v>
      </c>
    </row>
    <row r="1547" spans="1:4" x14ac:dyDescent="0.3">
      <c r="A1547" s="282" t="s">
        <v>5760</v>
      </c>
      <c r="B1547" s="283" t="s">
        <v>4058</v>
      </c>
      <c r="C1547" s="283" t="s">
        <v>3277</v>
      </c>
      <c r="D1547" s="284" t="s">
        <v>5761</v>
      </c>
    </row>
    <row r="1548" spans="1:4" x14ac:dyDescent="0.3">
      <c r="A1548" s="282" t="s">
        <v>5762</v>
      </c>
      <c r="B1548" s="283" t="s">
        <v>4058</v>
      </c>
      <c r="C1548" s="283" t="s">
        <v>3277</v>
      </c>
      <c r="D1548" s="284" t="s">
        <v>5763</v>
      </c>
    </row>
    <row r="1549" spans="1:4" x14ac:dyDescent="0.3">
      <c r="A1549" s="282" t="s">
        <v>5764</v>
      </c>
      <c r="B1549" s="283" t="s">
        <v>4058</v>
      </c>
      <c r="C1549" s="283" t="s">
        <v>3277</v>
      </c>
      <c r="D1549" s="284" t="s">
        <v>5765</v>
      </c>
    </row>
    <row r="1550" spans="1:4" x14ac:dyDescent="0.3">
      <c r="A1550" s="282" t="s">
        <v>5766</v>
      </c>
      <c r="B1550" s="283" t="s">
        <v>2595</v>
      </c>
      <c r="C1550" s="283" t="s">
        <v>3277</v>
      </c>
      <c r="D1550" s="284" t="s">
        <v>5767</v>
      </c>
    </row>
    <row r="1551" spans="1:4" x14ac:dyDescent="0.3">
      <c r="A1551" s="282" t="s">
        <v>5768</v>
      </c>
      <c r="B1551" s="283" t="s">
        <v>4058</v>
      </c>
      <c r="C1551" s="283" t="s">
        <v>3277</v>
      </c>
      <c r="D1551" s="284" t="s">
        <v>5769</v>
      </c>
    </row>
    <row r="1552" spans="1:4" x14ac:dyDescent="0.3">
      <c r="A1552" s="282" t="s">
        <v>5770</v>
      </c>
      <c r="B1552" s="283" t="s">
        <v>4347</v>
      </c>
      <c r="C1552" s="283" t="s">
        <v>3281</v>
      </c>
      <c r="D1552" s="284" t="s">
        <v>5771</v>
      </c>
    </row>
    <row r="1553" spans="1:4" x14ac:dyDescent="0.3">
      <c r="A1553" s="282" t="s">
        <v>5772</v>
      </c>
      <c r="B1553" s="283" t="s">
        <v>4058</v>
      </c>
      <c r="C1553" s="283" t="s">
        <v>3277</v>
      </c>
      <c r="D1553" s="284" t="s">
        <v>5773</v>
      </c>
    </row>
    <row r="1554" spans="1:4" x14ac:dyDescent="0.3">
      <c r="A1554" s="282" t="s">
        <v>5774</v>
      </c>
      <c r="B1554" s="283" t="s">
        <v>4347</v>
      </c>
      <c r="C1554" s="283" t="s">
        <v>3281</v>
      </c>
      <c r="D1554" s="284" t="s">
        <v>5775</v>
      </c>
    </row>
    <row r="1555" spans="1:4" x14ac:dyDescent="0.3">
      <c r="A1555" s="282" t="s">
        <v>5776</v>
      </c>
      <c r="B1555" s="283" t="s">
        <v>4058</v>
      </c>
      <c r="C1555" s="283" t="s">
        <v>3277</v>
      </c>
      <c r="D1555" s="284" t="s">
        <v>5777</v>
      </c>
    </row>
    <row r="1556" spans="1:4" x14ac:dyDescent="0.3">
      <c r="A1556" s="282" t="s">
        <v>5778</v>
      </c>
      <c r="B1556" s="283" t="s">
        <v>4058</v>
      </c>
      <c r="C1556" s="283" t="s">
        <v>3277</v>
      </c>
      <c r="D1556" s="284" t="s">
        <v>5779</v>
      </c>
    </row>
    <row r="1557" spans="1:4" x14ac:dyDescent="0.3">
      <c r="A1557" s="282" t="s">
        <v>5780</v>
      </c>
      <c r="B1557" s="283" t="s">
        <v>2708</v>
      </c>
      <c r="C1557" s="283" t="s">
        <v>3183</v>
      </c>
      <c r="D1557" s="284" t="s">
        <v>5781</v>
      </c>
    </row>
    <row r="1558" spans="1:4" x14ac:dyDescent="0.3">
      <c r="A1558" s="282" t="s">
        <v>5782</v>
      </c>
      <c r="B1558" s="283" t="s">
        <v>4347</v>
      </c>
      <c r="C1558" s="283" t="s">
        <v>3281</v>
      </c>
      <c r="D1558" s="284" t="s">
        <v>5783</v>
      </c>
    </row>
    <row r="1559" spans="1:4" x14ac:dyDescent="0.3">
      <c r="A1559" s="282" t="s">
        <v>5784</v>
      </c>
      <c r="B1559" s="283" t="s">
        <v>4347</v>
      </c>
      <c r="C1559" s="283" t="s">
        <v>3281</v>
      </c>
      <c r="D1559" s="284" t="s">
        <v>5785</v>
      </c>
    </row>
    <row r="1560" spans="1:4" x14ac:dyDescent="0.3">
      <c r="A1560" s="282" t="s">
        <v>5786</v>
      </c>
      <c r="B1560" s="283" t="s">
        <v>4347</v>
      </c>
      <c r="C1560" s="283" t="s">
        <v>3281</v>
      </c>
      <c r="D1560" s="284" t="s">
        <v>5787</v>
      </c>
    </row>
    <row r="1561" spans="1:4" x14ac:dyDescent="0.3">
      <c r="A1561" s="282" t="s">
        <v>5788</v>
      </c>
      <c r="B1561" s="283" t="s">
        <v>4347</v>
      </c>
      <c r="C1561" s="283" t="s">
        <v>3281</v>
      </c>
      <c r="D1561" s="284" t="s">
        <v>5789</v>
      </c>
    </row>
    <row r="1562" spans="1:4" x14ac:dyDescent="0.3">
      <c r="A1562" s="282" t="s">
        <v>5790</v>
      </c>
      <c r="B1562" s="283" t="s">
        <v>4347</v>
      </c>
      <c r="C1562" s="283" t="s">
        <v>3281</v>
      </c>
      <c r="D1562" s="284" t="s">
        <v>5791</v>
      </c>
    </row>
    <row r="1563" spans="1:4" x14ac:dyDescent="0.3">
      <c r="A1563" s="282" t="s">
        <v>5792</v>
      </c>
      <c r="B1563" s="283" t="s">
        <v>4347</v>
      </c>
      <c r="C1563" s="283" t="s">
        <v>3281</v>
      </c>
      <c r="D1563" s="284" t="s">
        <v>5793</v>
      </c>
    </row>
    <row r="1564" spans="1:4" x14ac:dyDescent="0.3">
      <c r="A1564" s="282" t="s">
        <v>5794</v>
      </c>
      <c r="B1564" s="283" t="s">
        <v>4378</v>
      </c>
      <c r="C1564" s="283" t="s">
        <v>3281</v>
      </c>
      <c r="D1564" s="284" t="s">
        <v>5795</v>
      </c>
    </row>
    <row r="1565" spans="1:4" x14ac:dyDescent="0.3">
      <c r="A1565" s="282" t="s">
        <v>5796</v>
      </c>
      <c r="B1565" s="283" t="s">
        <v>3522</v>
      </c>
      <c r="C1565" s="283" t="s">
        <v>3346</v>
      </c>
      <c r="D1565" s="284" t="s">
        <v>5797</v>
      </c>
    </row>
    <row r="1566" spans="1:4" x14ac:dyDescent="0.3">
      <c r="A1566" s="282" t="s">
        <v>5798</v>
      </c>
      <c r="B1566" s="283" t="s">
        <v>4162</v>
      </c>
      <c r="C1566" s="283" t="s">
        <v>3281</v>
      </c>
      <c r="D1566" s="284" t="s">
        <v>5799</v>
      </c>
    </row>
    <row r="1567" spans="1:4" x14ac:dyDescent="0.3">
      <c r="A1567" s="282" t="s">
        <v>5800</v>
      </c>
      <c r="B1567" s="283" t="s">
        <v>4162</v>
      </c>
      <c r="C1567" s="283" t="s">
        <v>3281</v>
      </c>
      <c r="D1567" s="284" t="s">
        <v>5801</v>
      </c>
    </row>
    <row r="1568" spans="1:4" x14ac:dyDescent="0.3">
      <c r="A1568" s="282" t="s">
        <v>5802</v>
      </c>
      <c r="B1568" s="283" t="s">
        <v>3687</v>
      </c>
      <c r="C1568" s="283" t="s">
        <v>2846</v>
      </c>
      <c r="D1568" s="284" t="s">
        <v>5803</v>
      </c>
    </row>
    <row r="1569" spans="1:4" x14ac:dyDescent="0.3">
      <c r="A1569" s="282" t="s">
        <v>5804</v>
      </c>
      <c r="B1569" s="283" t="s">
        <v>4058</v>
      </c>
      <c r="C1569" s="283" t="s">
        <v>3277</v>
      </c>
      <c r="D1569" s="284" t="s">
        <v>5805</v>
      </c>
    </row>
    <row r="1570" spans="1:4" x14ac:dyDescent="0.3">
      <c r="A1570" s="282" t="s">
        <v>5806</v>
      </c>
      <c r="B1570" s="283" t="s">
        <v>4058</v>
      </c>
      <c r="C1570" s="283" t="s">
        <v>3277</v>
      </c>
      <c r="D1570" s="284" t="s">
        <v>5807</v>
      </c>
    </row>
    <row r="1571" spans="1:4" x14ac:dyDescent="0.3">
      <c r="A1571" s="282" t="s">
        <v>5808</v>
      </c>
      <c r="B1571" s="283" t="s">
        <v>4058</v>
      </c>
      <c r="C1571" s="283" t="s">
        <v>3277</v>
      </c>
      <c r="D1571" s="284" t="s">
        <v>5809</v>
      </c>
    </row>
    <row r="1572" spans="1:4" x14ac:dyDescent="0.3">
      <c r="A1572" s="282" t="s">
        <v>5810</v>
      </c>
      <c r="B1572" s="283" t="s">
        <v>4347</v>
      </c>
      <c r="C1572" s="283" t="s">
        <v>3281</v>
      </c>
      <c r="D1572" s="284" t="s">
        <v>5811</v>
      </c>
    </row>
    <row r="1573" spans="1:4" x14ac:dyDescent="0.3">
      <c r="A1573" s="282" t="s">
        <v>5812</v>
      </c>
      <c r="B1573" s="283" t="s">
        <v>4431</v>
      </c>
      <c r="C1573" s="283" t="s">
        <v>3281</v>
      </c>
      <c r="D1573" s="284" t="s">
        <v>5813</v>
      </c>
    </row>
    <row r="1574" spans="1:4" x14ac:dyDescent="0.3">
      <c r="A1574" s="282" t="s">
        <v>5814</v>
      </c>
      <c r="B1574" s="283" t="s">
        <v>4347</v>
      </c>
      <c r="C1574" s="283" t="s">
        <v>3281</v>
      </c>
      <c r="D1574" s="284" t="s">
        <v>5815</v>
      </c>
    </row>
    <row r="1575" spans="1:4" x14ac:dyDescent="0.3">
      <c r="A1575" s="282" t="s">
        <v>5816</v>
      </c>
      <c r="B1575" s="283" t="s">
        <v>4347</v>
      </c>
      <c r="C1575" s="283" t="s">
        <v>3281</v>
      </c>
      <c r="D1575" s="284" t="s">
        <v>5817</v>
      </c>
    </row>
    <row r="1576" spans="1:4" x14ac:dyDescent="0.3">
      <c r="A1576" s="282" t="s">
        <v>5818</v>
      </c>
      <c r="B1576" s="283" t="s">
        <v>4390</v>
      </c>
      <c r="C1576" s="283" t="s">
        <v>3281</v>
      </c>
      <c r="D1576" s="284" t="s">
        <v>5819</v>
      </c>
    </row>
    <row r="1577" spans="1:4" x14ac:dyDescent="0.3">
      <c r="A1577" s="282" t="s">
        <v>5820</v>
      </c>
      <c r="B1577" s="283" t="s">
        <v>4347</v>
      </c>
      <c r="C1577" s="283" t="s">
        <v>3281</v>
      </c>
      <c r="D1577" s="284" t="s">
        <v>5821</v>
      </c>
    </row>
    <row r="1578" spans="1:4" x14ac:dyDescent="0.3">
      <c r="A1578" s="282" t="s">
        <v>5822</v>
      </c>
      <c r="B1578" s="283" t="s">
        <v>3369</v>
      </c>
      <c r="C1578" s="283" t="s">
        <v>3346</v>
      </c>
      <c r="D1578" s="284" t="s">
        <v>5823</v>
      </c>
    </row>
    <row r="1579" spans="1:4" x14ac:dyDescent="0.3">
      <c r="A1579" s="282" t="s">
        <v>5824</v>
      </c>
      <c r="B1579" s="283" t="s">
        <v>3366</v>
      </c>
      <c r="C1579" s="283" t="s">
        <v>3346</v>
      </c>
      <c r="D1579" s="284" t="s">
        <v>5825</v>
      </c>
    </row>
    <row r="1580" spans="1:4" x14ac:dyDescent="0.3">
      <c r="A1580" s="282" t="s">
        <v>5826</v>
      </c>
      <c r="B1580" s="283" t="s">
        <v>3366</v>
      </c>
      <c r="C1580" s="283" t="s">
        <v>3346</v>
      </c>
      <c r="D1580" s="284" t="s">
        <v>5827</v>
      </c>
    </row>
    <row r="1581" spans="1:4" x14ac:dyDescent="0.3">
      <c r="A1581" s="282" t="s">
        <v>5828</v>
      </c>
      <c r="B1581" s="283" t="s">
        <v>4058</v>
      </c>
      <c r="C1581" s="283" t="s">
        <v>3277</v>
      </c>
      <c r="D1581" s="284" t="s">
        <v>5829</v>
      </c>
    </row>
    <row r="1582" spans="1:4" x14ac:dyDescent="0.3">
      <c r="A1582" s="282" t="s">
        <v>5830</v>
      </c>
      <c r="B1582" s="283" t="s">
        <v>3687</v>
      </c>
      <c r="C1582" s="283" t="s">
        <v>2846</v>
      </c>
      <c r="D1582" s="284" t="s">
        <v>5831</v>
      </c>
    </row>
    <row r="1583" spans="1:4" x14ac:dyDescent="0.3">
      <c r="A1583" s="282" t="s">
        <v>5832</v>
      </c>
      <c r="B1583" s="283" t="s">
        <v>3687</v>
      </c>
      <c r="C1583" s="283" t="s">
        <v>2846</v>
      </c>
      <c r="D1583" s="284" t="s">
        <v>5833</v>
      </c>
    </row>
    <row r="1584" spans="1:4" x14ac:dyDescent="0.3">
      <c r="A1584" s="282" t="s">
        <v>5834</v>
      </c>
      <c r="B1584" s="283" t="s">
        <v>4058</v>
      </c>
      <c r="C1584" s="283" t="s">
        <v>3277</v>
      </c>
      <c r="D1584" s="284" t="s">
        <v>5835</v>
      </c>
    </row>
    <row r="1585" spans="1:4" x14ac:dyDescent="0.3">
      <c r="A1585" s="282" t="s">
        <v>5836</v>
      </c>
      <c r="B1585" s="283" t="s">
        <v>3687</v>
      </c>
      <c r="C1585" s="283" t="s">
        <v>2846</v>
      </c>
      <c r="D1585" s="284" t="s">
        <v>5837</v>
      </c>
    </row>
    <row r="1586" spans="1:4" x14ac:dyDescent="0.3">
      <c r="A1586" s="282" t="s">
        <v>5838</v>
      </c>
      <c r="B1586" s="283" t="s">
        <v>3914</v>
      </c>
      <c r="C1586" s="283" t="s">
        <v>3906</v>
      </c>
      <c r="D1586" s="284" t="s">
        <v>5839</v>
      </c>
    </row>
    <row r="1587" spans="1:4" x14ac:dyDescent="0.3">
      <c r="A1587" s="282" t="s">
        <v>5840</v>
      </c>
      <c r="B1587" s="283" t="s">
        <v>3905</v>
      </c>
      <c r="C1587" s="283" t="s">
        <v>3906</v>
      </c>
      <c r="D1587" s="284" t="s">
        <v>5841</v>
      </c>
    </row>
    <row r="1588" spans="1:4" x14ac:dyDescent="0.3">
      <c r="A1588" s="282" t="s">
        <v>5842</v>
      </c>
      <c r="B1588" s="283" t="s">
        <v>3905</v>
      </c>
      <c r="C1588" s="283" t="s">
        <v>3906</v>
      </c>
      <c r="D1588" s="284" t="s">
        <v>5843</v>
      </c>
    </row>
    <row r="1589" spans="1:4" x14ac:dyDescent="0.3">
      <c r="A1589" s="282" t="s">
        <v>5844</v>
      </c>
      <c r="B1589" s="283" t="s">
        <v>3905</v>
      </c>
      <c r="C1589" s="283" t="s">
        <v>3906</v>
      </c>
      <c r="D1589" s="284" t="s">
        <v>5845</v>
      </c>
    </row>
    <row r="1590" spans="1:4" x14ac:dyDescent="0.3">
      <c r="A1590" s="282" t="s">
        <v>5846</v>
      </c>
      <c r="B1590" s="283" t="s">
        <v>3905</v>
      </c>
      <c r="C1590" s="283" t="s">
        <v>3906</v>
      </c>
      <c r="D1590" s="284" t="s">
        <v>5847</v>
      </c>
    </row>
    <row r="1591" spans="1:4" x14ac:dyDescent="0.3">
      <c r="A1591" s="282" t="s">
        <v>5848</v>
      </c>
      <c r="B1591" s="283" t="s">
        <v>3905</v>
      </c>
      <c r="C1591" s="283" t="s">
        <v>3906</v>
      </c>
      <c r="D1591" s="284" t="s">
        <v>5849</v>
      </c>
    </row>
    <row r="1592" spans="1:4" x14ac:dyDescent="0.3">
      <c r="A1592" s="282" t="s">
        <v>5850</v>
      </c>
      <c r="B1592" s="283" t="s">
        <v>3905</v>
      </c>
      <c r="C1592" s="283" t="s">
        <v>3906</v>
      </c>
      <c r="D1592" s="284" t="s">
        <v>5851</v>
      </c>
    </row>
    <row r="1593" spans="1:4" x14ac:dyDescent="0.3">
      <c r="A1593" s="282" t="s">
        <v>5852</v>
      </c>
      <c r="B1593" s="283" t="s">
        <v>3905</v>
      </c>
      <c r="C1593" s="283" t="s">
        <v>3906</v>
      </c>
      <c r="D1593" s="284" t="s">
        <v>5853</v>
      </c>
    </row>
    <row r="1594" spans="1:4" x14ac:dyDescent="0.3">
      <c r="A1594" s="282" t="s">
        <v>5854</v>
      </c>
      <c r="B1594" s="283" t="s">
        <v>2596</v>
      </c>
      <c r="C1594" s="283" t="s">
        <v>3277</v>
      </c>
      <c r="D1594" s="284" t="s">
        <v>5855</v>
      </c>
    </row>
    <row r="1595" spans="1:4" x14ac:dyDescent="0.3">
      <c r="A1595" s="282" t="s">
        <v>5856</v>
      </c>
      <c r="B1595" s="283" t="s">
        <v>3905</v>
      </c>
      <c r="C1595" s="283" t="s">
        <v>3906</v>
      </c>
      <c r="D1595" s="284" t="s">
        <v>5857</v>
      </c>
    </row>
    <row r="1596" spans="1:4" x14ac:dyDescent="0.3">
      <c r="A1596" s="282" t="s">
        <v>5858</v>
      </c>
      <c r="B1596" s="283" t="s">
        <v>4058</v>
      </c>
      <c r="C1596" s="283" t="s">
        <v>3277</v>
      </c>
      <c r="D1596" s="284" t="s">
        <v>5859</v>
      </c>
    </row>
    <row r="1597" spans="1:4" x14ac:dyDescent="0.3">
      <c r="A1597" s="282" t="s">
        <v>5860</v>
      </c>
      <c r="B1597" s="283" t="s">
        <v>4058</v>
      </c>
      <c r="C1597" s="283" t="s">
        <v>3277</v>
      </c>
      <c r="D1597" s="284" t="s">
        <v>5861</v>
      </c>
    </row>
    <row r="1598" spans="1:4" x14ac:dyDescent="0.3">
      <c r="A1598" s="282" t="s">
        <v>5862</v>
      </c>
      <c r="B1598" s="283" t="s">
        <v>4058</v>
      </c>
      <c r="C1598" s="283" t="s">
        <v>3277</v>
      </c>
      <c r="D1598" s="284" t="s">
        <v>5863</v>
      </c>
    </row>
    <row r="1599" spans="1:4" x14ac:dyDescent="0.3">
      <c r="A1599" s="282" t="s">
        <v>5864</v>
      </c>
      <c r="B1599" s="283" t="s">
        <v>3372</v>
      </c>
      <c r="C1599" s="283" t="s">
        <v>3346</v>
      </c>
      <c r="D1599" s="284" t="s">
        <v>5865</v>
      </c>
    </row>
    <row r="1600" spans="1:4" x14ac:dyDescent="0.3">
      <c r="A1600" s="282" t="s">
        <v>5866</v>
      </c>
      <c r="B1600" s="283" t="s">
        <v>5867</v>
      </c>
      <c r="C1600" s="283" t="s">
        <v>3281</v>
      </c>
      <c r="D1600" s="284" t="s">
        <v>5868</v>
      </c>
    </row>
    <row r="1601" spans="1:4" x14ac:dyDescent="0.3">
      <c r="A1601" s="282" t="s">
        <v>5869</v>
      </c>
      <c r="B1601" s="283" t="s">
        <v>4434</v>
      </c>
      <c r="C1601" s="283" t="s">
        <v>3281</v>
      </c>
      <c r="D1601" s="284" t="s">
        <v>5870</v>
      </c>
    </row>
    <row r="1602" spans="1:4" x14ac:dyDescent="0.3">
      <c r="A1602" s="282" t="s">
        <v>5871</v>
      </c>
      <c r="B1602" s="283" t="s">
        <v>4058</v>
      </c>
      <c r="C1602" s="283" t="s">
        <v>3277</v>
      </c>
      <c r="D1602" s="284" t="s">
        <v>5872</v>
      </c>
    </row>
    <row r="1603" spans="1:4" x14ac:dyDescent="0.3">
      <c r="A1603" s="282" t="s">
        <v>5873</v>
      </c>
      <c r="B1603" s="283" t="s">
        <v>4347</v>
      </c>
      <c r="C1603" s="283" t="s">
        <v>3281</v>
      </c>
      <c r="D1603" s="284" t="s">
        <v>5874</v>
      </c>
    </row>
    <row r="1604" spans="1:4" x14ac:dyDescent="0.3">
      <c r="A1604" s="282" t="s">
        <v>5875</v>
      </c>
      <c r="B1604" s="283" t="s">
        <v>4143</v>
      </c>
      <c r="C1604" s="283" t="s">
        <v>3277</v>
      </c>
      <c r="D1604" s="284" t="s">
        <v>5876</v>
      </c>
    </row>
    <row r="1605" spans="1:4" x14ac:dyDescent="0.3">
      <c r="A1605" s="282" t="s">
        <v>5877</v>
      </c>
      <c r="B1605" s="283" t="s">
        <v>3914</v>
      </c>
      <c r="C1605" s="283" t="s">
        <v>3906</v>
      </c>
      <c r="D1605" s="284" t="s">
        <v>5878</v>
      </c>
    </row>
    <row r="1606" spans="1:4" x14ac:dyDescent="0.3">
      <c r="A1606" s="282" t="s">
        <v>5879</v>
      </c>
      <c r="B1606" s="283" t="s">
        <v>5880</v>
      </c>
      <c r="C1606" s="283" t="s">
        <v>3277</v>
      </c>
      <c r="D1606" s="284" t="s">
        <v>5881</v>
      </c>
    </row>
    <row r="1607" spans="1:4" x14ac:dyDescent="0.3">
      <c r="A1607" s="282" t="s">
        <v>5882</v>
      </c>
      <c r="B1607" s="283" t="s">
        <v>5880</v>
      </c>
      <c r="C1607" s="283" t="s">
        <v>3277</v>
      </c>
      <c r="D1607" s="284" t="s">
        <v>5883</v>
      </c>
    </row>
    <row r="1608" spans="1:4" x14ac:dyDescent="0.3">
      <c r="A1608" s="282" t="s">
        <v>5884</v>
      </c>
      <c r="B1608" s="283" t="s">
        <v>5880</v>
      </c>
      <c r="C1608" s="283" t="s">
        <v>3277</v>
      </c>
      <c r="D1608" s="284" t="s">
        <v>5885</v>
      </c>
    </row>
    <row r="1609" spans="1:4" x14ac:dyDescent="0.3">
      <c r="A1609" s="282" t="s">
        <v>5886</v>
      </c>
      <c r="B1609" s="283" t="s">
        <v>4385</v>
      </c>
      <c r="C1609" s="283" t="s">
        <v>3277</v>
      </c>
      <c r="D1609" s="284" t="s">
        <v>5887</v>
      </c>
    </row>
    <row r="1610" spans="1:4" x14ac:dyDescent="0.3">
      <c r="A1610" s="282" t="s">
        <v>5888</v>
      </c>
      <c r="B1610" s="283" t="s">
        <v>4385</v>
      </c>
      <c r="C1610" s="283" t="s">
        <v>3277</v>
      </c>
      <c r="D1610" s="284" t="s">
        <v>5889</v>
      </c>
    </row>
    <row r="1611" spans="1:4" x14ac:dyDescent="0.3">
      <c r="A1611" s="282" t="s">
        <v>5890</v>
      </c>
      <c r="B1611" s="283" t="s">
        <v>4058</v>
      </c>
      <c r="C1611" s="283" t="s">
        <v>3277</v>
      </c>
      <c r="D1611" s="284" t="s">
        <v>5891</v>
      </c>
    </row>
    <row r="1612" spans="1:4" x14ac:dyDescent="0.3">
      <c r="A1612" s="282" t="s">
        <v>5892</v>
      </c>
      <c r="B1612" s="283" t="s">
        <v>4385</v>
      </c>
      <c r="C1612" s="283" t="s">
        <v>3277</v>
      </c>
      <c r="D1612" s="284" t="s">
        <v>5893</v>
      </c>
    </row>
    <row r="1613" spans="1:4" x14ac:dyDescent="0.3">
      <c r="A1613" s="282" t="s">
        <v>5894</v>
      </c>
      <c r="B1613" s="283" t="s">
        <v>3345</v>
      </c>
      <c r="C1613" s="283" t="s">
        <v>3346</v>
      </c>
      <c r="D1613" s="284" t="s">
        <v>5895</v>
      </c>
    </row>
    <row r="1614" spans="1:4" x14ac:dyDescent="0.3">
      <c r="A1614" s="282" t="s">
        <v>5896</v>
      </c>
      <c r="B1614" s="283" t="s">
        <v>4058</v>
      </c>
      <c r="C1614" s="283" t="s">
        <v>3277</v>
      </c>
      <c r="D1614" s="284" t="s">
        <v>5897</v>
      </c>
    </row>
    <row r="1615" spans="1:4" x14ac:dyDescent="0.3">
      <c r="A1615" s="282" t="s">
        <v>5898</v>
      </c>
      <c r="B1615" s="283" t="s">
        <v>4347</v>
      </c>
      <c r="C1615" s="283" t="s">
        <v>3281</v>
      </c>
      <c r="D1615" s="284" t="s">
        <v>5899</v>
      </c>
    </row>
    <row r="1616" spans="1:4" x14ac:dyDescent="0.3">
      <c r="A1616" s="282" t="s">
        <v>5900</v>
      </c>
      <c r="B1616" s="283" t="s">
        <v>3366</v>
      </c>
      <c r="C1616" s="283" t="s">
        <v>3346</v>
      </c>
      <c r="D1616" s="284" t="s">
        <v>5901</v>
      </c>
    </row>
    <row r="1617" spans="1:4" x14ac:dyDescent="0.3">
      <c r="A1617" s="282" t="s">
        <v>5902</v>
      </c>
      <c r="B1617" s="283" t="s">
        <v>4058</v>
      </c>
      <c r="C1617" s="283" t="s">
        <v>3277</v>
      </c>
      <c r="D1617" s="284" t="s">
        <v>5903</v>
      </c>
    </row>
    <row r="1618" spans="1:4" x14ac:dyDescent="0.3">
      <c r="A1618" s="282" t="s">
        <v>5904</v>
      </c>
      <c r="B1618" s="283" t="s">
        <v>4058</v>
      </c>
      <c r="C1618" s="283" t="s">
        <v>3277</v>
      </c>
      <c r="D1618" s="284" t="s">
        <v>5905</v>
      </c>
    </row>
    <row r="1619" spans="1:4" x14ac:dyDescent="0.3">
      <c r="A1619" s="282" t="s">
        <v>5906</v>
      </c>
      <c r="B1619" s="283" t="s">
        <v>4053</v>
      </c>
      <c r="C1619" s="283" t="s">
        <v>3277</v>
      </c>
      <c r="D1619" s="284" t="s">
        <v>5907</v>
      </c>
    </row>
    <row r="1620" spans="1:4" x14ac:dyDescent="0.3">
      <c r="A1620" s="282" t="s">
        <v>5908</v>
      </c>
      <c r="B1620" s="283" t="s">
        <v>3357</v>
      </c>
      <c r="C1620" s="283" t="s">
        <v>3346</v>
      </c>
      <c r="D1620" s="284" t="s">
        <v>5909</v>
      </c>
    </row>
    <row r="1621" spans="1:4" x14ac:dyDescent="0.3">
      <c r="A1621" s="282" t="s">
        <v>5910</v>
      </c>
      <c r="B1621" s="283" t="s">
        <v>4053</v>
      </c>
      <c r="C1621" s="283" t="s">
        <v>3346</v>
      </c>
      <c r="D1621" s="284" t="s">
        <v>5911</v>
      </c>
    </row>
    <row r="1622" spans="1:4" x14ac:dyDescent="0.3">
      <c r="A1622" s="282" t="s">
        <v>5912</v>
      </c>
      <c r="B1622" s="283" t="s">
        <v>3357</v>
      </c>
      <c r="C1622" s="283" t="s">
        <v>3346</v>
      </c>
      <c r="D1622" s="284" t="s">
        <v>5913</v>
      </c>
    </row>
    <row r="1623" spans="1:4" x14ac:dyDescent="0.3">
      <c r="A1623" s="282" t="s">
        <v>5914</v>
      </c>
      <c r="B1623" s="283" t="s">
        <v>4053</v>
      </c>
      <c r="C1623" s="283" t="s">
        <v>3277</v>
      </c>
      <c r="D1623" s="284" t="s">
        <v>5915</v>
      </c>
    </row>
    <row r="1624" spans="1:4" x14ac:dyDescent="0.3">
      <c r="A1624" s="282" t="s">
        <v>5916</v>
      </c>
      <c r="B1624" s="283" t="s">
        <v>3357</v>
      </c>
      <c r="C1624" s="283" t="s">
        <v>3346</v>
      </c>
      <c r="D1624" s="284" t="s">
        <v>5917</v>
      </c>
    </row>
    <row r="1625" spans="1:4" x14ac:dyDescent="0.3">
      <c r="A1625" s="282" t="s">
        <v>5918</v>
      </c>
      <c r="B1625" s="283" t="s">
        <v>4053</v>
      </c>
      <c r="C1625" s="283" t="s">
        <v>3277</v>
      </c>
      <c r="D1625" s="284" t="s">
        <v>5919</v>
      </c>
    </row>
    <row r="1626" spans="1:4" x14ac:dyDescent="0.3">
      <c r="A1626" s="282" t="s">
        <v>5920</v>
      </c>
      <c r="B1626" s="283" t="s">
        <v>3357</v>
      </c>
      <c r="C1626" s="283" t="s">
        <v>3346</v>
      </c>
      <c r="D1626" s="284" t="s">
        <v>5921</v>
      </c>
    </row>
    <row r="1627" spans="1:4" x14ac:dyDescent="0.3">
      <c r="A1627" s="282" t="s">
        <v>5922</v>
      </c>
      <c r="B1627" s="283" t="s">
        <v>4053</v>
      </c>
      <c r="C1627" s="283" t="s">
        <v>3277</v>
      </c>
      <c r="D1627" s="284" t="s">
        <v>5923</v>
      </c>
    </row>
    <row r="1628" spans="1:4" x14ac:dyDescent="0.3">
      <c r="A1628" s="282" t="s">
        <v>5924</v>
      </c>
      <c r="B1628" s="283" t="s">
        <v>3357</v>
      </c>
      <c r="C1628" s="283" t="s">
        <v>3346</v>
      </c>
      <c r="D1628" s="284" t="s">
        <v>5925</v>
      </c>
    </row>
    <row r="1629" spans="1:4" x14ac:dyDescent="0.3">
      <c r="A1629" s="282" t="s">
        <v>5926</v>
      </c>
      <c r="B1629" s="283" t="s">
        <v>4053</v>
      </c>
      <c r="C1629" s="283" t="s">
        <v>3277</v>
      </c>
      <c r="D1629" s="284" t="s">
        <v>5927</v>
      </c>
    </row>
    <row r="1630" spans="1:4" x14ac:dyDescent="0.3">
      <c r="A1630" s="282" t="s">
        <v>5928</v>
      </c>
      <c r="B1630" s="283" t="s">
        <v>3357</v>
      </c>
      <c r="C1630" s="283" t="s">
        <v>3346</v>
      </c>
      <c r="D1630" s="284" t="s">
        <v>5929</v>
      </c>
    </row>
    <row r="1631" spans="1:4" x14ac:dyDescent="0.3">
      <c r="A1631" s="282" t="s">
        <v>5930</v>
      </c>
      <c r="B1631" s="283" t="s">
        <v>4053</v>
      </c>
      <c r="C1631" s="283" t="s">
        <v>3277</v>
      </c>
      <c r="D1631" s="284" t="s">
        <v>5931</v>
      </c>
    </row>
    <row r="1632" spans="1:4" x14ac:dyDescent="0.3">
      <c r="A1632" s="282" t="s">
        <v>5932</v>
      </c>
      <c r="B1632" s="283" t="s">
        <v>3357</v>
      </c>
      <c r="C1632" s="283" t="s">
        <v>3346</v>
      </c>
      <c r="D1632" s="284" t="s">
        <v>5933</v>
      </c>
    </row>
    <row r="1633" spans="1:4" x14ac:dyDescent="0.3">
      <c r="A1633" s="282" t="s">
        <v>5934</v>
      </c>
      <c r="B1633" s="283" t="s">
        <v>4053</v>
      </c>
      <c r="C1633" s="283" t="s">
        <v>3277</v>
      </c>
      <c r="D1633" s="284" t="s">
        <v>5935</v>
      </c>
    </row>
    <row r="1634" spans="1:4" x14ac:dyDescent="0.3">
      <c r="A1634" s="282" t="s">
        <v>5936</v>
      </c>
      <c r="B1634" s="283" t="s">
        <v>3357</v>
      </c>
      <c r="C1634" s="283" t="s">
        <v>3346</v>
      </c>
      <c r="D1634" s="284" t="s">
        <v>5937</v>
      </c>
    </row>
    <row r="1635" spans="1:4" x14ac:dyDescent="0.3">
      <c r="A1635" s="282" t="s">
        <v>5938</v>
      </c>
      <c r="B1635" s="283" t="s">
        <v>4053</v>
      </c>
      <c r="C1635" s="283" t="s">
        <v>3277</v>
      </c>
      <c r="D1635" s="284" t="s">
        <v>5939</v>
      </c>
    </row>
    <row r="1636" spans="1:4" x14ac:dyDescent="0.3">
      <c r="A1636" s="282" t="s">
        <v>5940</v>
      </c>
      <c r="B1636" s="283" t="s">
        <v>3357</v>
      </c>
      <c r="C1636" s="283" t="s">
        <v>3346</v>
      </c>
      <c r="D1636" s="284" t="s">
        <v>5941</v>
      </c>
    </row>
    <row r="1637" spans="1:4" x14ac:dyDescent="0.3">
      <c r="A1637" s="282" t="s">
        <v>5942</v>
      </c>
      <c r="B1637" s="283" t="s">
        <v>4053</v>
      </c>
      <c r="C1637" s="283" t="s">
        <v>3277</v>
      </c>
      <c r="D1637" s="284" t="s">
        <v>5943</v>
      </c>
    </row>
    <row r="1638" spans="1:4" x14ac:dyDescent="0.3">
      <c r="A1638" s="282" t="s">
        <v>5944</v>
      </c>
      <c r="B1638" s="283" t="s">
        <v>3357</v>
      </c>
      <c r="C1638" s="283" t="s">
        <v>3346</v>
      </c>
      <c r="D1638" s="284" t="s">
        <v>5945</v>
      </c>
    </row>
    <row r="1639" spans="1:4" x14ac:dyDescent="0.3">
      <c r="A1639" s="282" t="s">
        <v>5946</v>
      </c>
      <c r="B1639" s="283" t="s">
        <v>4058</v>
      </c>
      <c r="C1639" s="283" t="s">
        <v>3277</v>
      </c>
      <c r="D1639" s="284" t="s">
        <v>5947</v>
      </c>
    </row>
    <row r="1640" spans="1:4" x14ac:dyDescent="0.3">
      <c r="A1640" s="282" t="s">
        <v>5948</v>
      </c>
      <c r="B1640" s="283" t="s">
        <v>4053</v>
      </c>
      <c r="C1640" s="283" t="s">
        <v>3277</v>
      </c>
      <c r="D1640" s="284" t="s">
        <v>5949</v>
      </c>
    </row>
    <row r="1641" spans="1:4" x14ac:dyDescent="0.3">
      <c r="A1641" s="282" t="s">
        <v>5950</v>
      </c>
      <c r="B1641" s="283" t="s">
        <v>3357</v>
      </c>
      <c r="C1641" s="283" t="s">
        <v>3346</v>
      </c>
      <c r="D1641" s="284" t="s">
        <v>5951</v>
      </c>
    </row>
    <row r="1642" spans="1:4" x14ac:dyDescent="0.3">
      <c r="A1642" s="282" t="s">
        <v>5952</v>
      </c>
      <c r="B1642" s="283" t="s">
        <v>4053</v>
      </c>
      <c r="C1642" s="283" t="s">
        <v>3277</v>
      </c>
      <c r="D1642" s="284" t="s">
        <v>5953</v>
      </c>
    </row>
    <row r="1643" spans="1:4" x14ac:dyDescent="0.3">
      <c r="A1643" s="282" t="s">
        <v>5954</v>
      </c>
      <c r="B1643" s="283" t="s">
        <v>4162</v>
      </c>
      <c r="C1643" s="283" t="s">
        <v>3281</v>
      </c>
      <c r="D1643" s="284" t="s">
        <v>5955</v>
      </c>
    </row>
    <row r="1644" spans="1:4" x14ac:dyDescent="0.3">
      <c r="A1644" s="282" t="s">
        <v>5956</v>
      </c>
      <c r="B1644" s="283" t="s">
        <v>4347</v>
      </c>
      <c r="C1644" s="283" t="s">
        <v>3281</v>
      </c>
      <c r="D1644" s="284" t="s">
        <v>5957</v>
      </c>
    </row>
    <row r="1645" spans="1:4" x14ac:dyDescent="0.3">
      <c r="A1645" s="282" t="s">
        <v>5956</v>
      </c>
      <c r="B1645" s="283" t="s">
        <v>4347</v>
      </c>
      <c r="C1645" s="283" t="s">
        <v>3281</v>
      </c>
      <c r="D1645" s="284" t="s">
        <v>5958</v>
      </c>
    </row>
    <row r="1646" spans="1:4" x14ac:dyDescent="0.3">
      <c r="A1646" s="282" t="s">
        <v>5959</v>
      </c>
      <c r="B1646" s="283" t="s">
        <v>3687</v>
      </c>
      <c r="C1646" s="283" t="s">
        <v>3776</v>
      </c>
      <c r="D1646" s="284" t="s">
        <v>5960</v>
      </c>
    </row>
    <row r="1647" spans="1:4" x14ac:dyDescent="0.3">
      <c r="A1647" s="282" t="s">
        <v>5961</v>
      </c>
      <c r="B1647" s="283" t="s">
        <v>4347</v>
      </c>
      <c r="C1647" s="283" t="s">
        <v>3281</v>
      </c>
      <c r="D1647" s="284" t="s">
        <v>5962</v>
      </c>
    </row>
    <row r="1648" spans="1:4" x14ac:dyDescent="0.3">
      <c r="A1648" s="282" t="s">
        <v>5963</v>
      </c>
      <c r="B1648" s="283" t="s">
        <v>4347</v>
      </c>
      <c r="C1648" s="283" t="s">
        <v>3281</v>
      </c>
      <c r="D1648" s="284" t="s">
        <v>5964</v>
      </c>
    </row>
    <row r="1649" spans="1:4" x14ac:dyDescent="0.3">
      <c r="A1649" s="282" t="s">
        <v>5965</v>
      </c>
      <c r="B1649" s="283" t="s">
        <v>4347</v>
      </c>
      <c r="C1649" s="283" t="s">
        <v>3281</v>
      </c>
      <c r="D1649" s="284" t="s">
        <v>5966</v>
      </c>
    </row>
    <row r="1650" spans="1:4" x14ac:dyDescent="0.3">
      <c r="A1650" s="282" t="s">
        <v>5967</v>
      </c>
      <c r="B1650" s="283" t="s">
        <v>4347</v>
      </c>
      <c r="C1650" s="283" t="s">
        <v>3281</v>
      </c>
      <c r="D1650" s="284" t="s">
        <v>5968</v>
      </c>
    </row>
    <row r="1651" spans="1:4" x14ac:dyDescent="0.3">
      <c r="A1651" s="282" t="s">
        <v>5969</v>
      </c>
      <c r="B1651" s="283" t="s">
        <v>4347</v>
      </c>
      <c r="C1651" s="283" t="s">
        <v>3281</v>
      </c>
      <c r="D1651" s="284" t="s">
        <v>5970</v>
      </c>
    </row>
    <row r="1652" spans="1:4" x14ac:dyDescent="0.3">
      <c r="A1652" s="282" t="s">
        <v>5971</v>
      </c>
      <c r="B1652" s="283" t="s">
        <v>4347</v>
      </c>
      <c r="C1652" s="283" t="s">
        <v>3281</v>
      </c>
      <c r="D1652" s="284" t="s">
        <v>5972</v>
      </c>
    </row>
    <row r="1653" spans="1:4" x14ac:dyDescent="0.3">
      <c r="A1653" s="282" t="s">
        <v>5973</v>
      </c>
      <c r="B1653" s="283" t="s">
        <v>4347</v>
      </c>
      <c r="C1653" s="283" t="s">
        <v>3281</v>
      </c>
      <c r="D1653" s="284" t="s">
        <v>5974</v>
      </c>
    </row>
    <row r="1654" spans="1:4" x14ac:dyDescent="0.3">
      <c r="A1654" s="282" t="s">
        <v>5975</v>
      </c>
      <c r="B1654" s="283" t="s">
        <v>4434</v>
      </c>
      <c r="C1654" s="283" t="s">
        <v>3281</v>
      </c>
      <c r="D1654" s="284" t="s">
        <v>5976</v>
      </c>
    </row>
    <row r="1655" spans="1:4" x14ac:dyDescent="0.3">
      <c r="A1655" s="282" t="s">
        <v>5977</v>
      </c>
      <c r="B1655" s="283" t="s">
        <v>4347</v>
      </c>
      <c r="C1655" s="283" t="s">
        <v>3281</v>
      </c>
      <c r="D1655" s="284" t="s">
        <v>5978</v>
      </c>
    </row>
    <row r="1656" spans="1:4" x14ac:dyDescent="0.3">
      <c r="A1656" s="282" t="s">
        <v>5979</v>
      </c>
      <c r="B1656" s="283" t="s">
        <v>4347</v>
      </c>
      <c r="C1656" s="283" t="s">
        <v>3281</v>
      </c>
      <c r="D1656" s="284" t="s">
        <v>5980</v>
      </c>
    </row>
    <row r="1657" spans="1:4" x14ac:dyDescent="0.3">
      <c r="A1657" s="282" t="s">
        <v>5981</v>
      </c>
      <c r="B1657" s="283" t="s">
        <v>3738</v>
      </c>
      <c r="C1657" s="283" t="s">
        <v>3496</v>
      </c>
      <c r="D1657" s="284" t="s">
        <v>5982</v>
      </c>
    </row>
    <row r="1658" spans="1:4" x14ac:dyDescent="0.3">
      <c r="A1658" s="282" t="s">
        <v>5983</v>
      </c>
      <c r="B1658" s="283" t="s">
        <v>2708</v>
      </c>
      <c r="C1658" s="283" t="s">
        <v>3496</v>
      </c>
      <c r="D1658" s="284" t="s">
        <v>5984</v>
      </c>
    </row>
    <row r="1659" spans="1:4" x14ac:dyDescent="0.3">
      <c r="A1659" s="282" t="s">
        <v>5985</v>
      </c>
      <c r="B1659" s="283" t="s">
        <v>2708</v>
      </c>
      <c r="C1659" s="283" t="s">
        <v>489</v>
      </c>
      <c r="D1659" s="284" t="s">
        <v>5986</v>
      </c>
    </row>
    <row r="1660" spans="1:4" x14ac:dyDescent="0.3">
      <c r="A1660" s="282" t="s">
        <v>5987</v>
      </c>
      <c r="B1660" s="283" t="s">
        <v>4378</v>
      </c>
      <c r="C1660" s="283" t="s">
        <v>3281</v>
      </c>
      <c r="D1660" s="284" t="s">
        <v>5988</v>
      </c>
    </row>
    <row r="1661" spans="1:4" x14ac:dyDescent="0.3">
      <c r="A1661" s="282" t="s">
        <v>5989</v>
      </c>
      <c r="B1661" s="283" t="s">
        <v>4053</v>
      </c>
      <c r="C1661" s="283" t="s">
        <v>3277</v>
      </c>
      <c r="D1661" s="284" t="s">
        <v>5990</v>
      </c>
    </row>
    <row r="1662" spans="1:4" x14ac:dyDescent="0.3">
      <c r="A1662" s="282" t="s">
        <v>5991</v>
      </c>
      <c r="B1662" s="283" t="s">
        <v>4053</v>
      </c>
      <c r="C1662" s="283" t="s">
        <v>3277</v>
      </c>
      <c r="D1662" s="284" t="s">
        <v>5992</v>
      </c>
    </row>
    <row r="1663" spans="1:4" x14ac:dyDescent="0.3">
      <c r="A1663" s="282" t="s">
        <v>5993</v>
      </c>
      <c r="B1663" s="283" t="s">
        <v>2708</v>
      </c>
      <c r="C1663" s="283" t="s">
        <v>3281</v>
      </c>
      <c r="D1663" s="284" t="s">
        <v>5994</v>
      </c>
    </row>
    <row r="1664" spans="1:4" x14ac:dyDescent="0.3">
      <c r="A1664" s="282" t="s">
        <v>5995</v>
      </c>
      <c r="B1664" s="283" t="s">
        <v>3738</v>
      </c>
      <c r="C1664" s="283" t="s">
        <v>3496</v>
      </c>
      <c r="D1664" s="284" t="s">
        <v>5996</v>
      </c>
    </row>
    <row r="1665" spans="1:4" x14ac:dyDescent="0.3">
      <c r="A1665" s="282" t="s">
        <v>5997</v>
      </c>
      <c r="B1665" s="283" t="s">
        <v>2708</v>
      </c>
      <c r="C1665" s="283" t="s">
        <v>5998</v>
      </c>
      <c r="D1665" s="284" t="s">
        <v>5999</v>
      </c>
    </row>
    <row r="1666" spans="1:4" x14ac:dyDescent="0.3">
      <c r="A1666" s="282" t="s">
        <v>5997</v>
      </c>
      <c r="B1666" s="283" t="s">
        <v>6000</v>
      </c>
      <c r="C1666" s="283" t="s">
        <v>5998</v>
      </c>
      <c r="D1666" s="284" t="s">
        <v>6001</v>
      </c>
    </row>
    <row r="1667" spans="1:4" x14ac:dyDescent="0.3">
      <c r="A1667" s="282" t="s">
        <v>6002</v>
      </c>
      <c r="B1667" s="283" t="s">
        <v>4347</v>
      </c>
      <c r="C1667" s="283" t="s">
        <v>3281</v>
      </c>
      <c r="D1667" s="284" t="s">
        <v>6003</v>
      </c>
    </row>
    <row r="1668" spans="1:4" x14ac:dyDescent="0.3">
      <c r="A1668" s="282" t="s">
        <v>6004</v>
      </c>
      <c r="B1668" s="283" t="s">
        <v>4378</v>
      </c>
      <c r="C1668" s="283" t="s">
        <v>3281</v>
      </c>
      <c r="D1668" s="284" t="s">
        <v>6005</v>
      </c>
    </row>
    <row r="1669" spans="1:4" x14ac:dyDescent="0.3">
      <c r="A1669" s="282" t="s">
        <v>6006</v>
      </c>
      <c r="B1669" s="283" t="s">
        <v>4378</v>
      </c>
      <c r="C1669" s="283" t="s">
        <v>3281</v>
      </c>
      <c r="D1669" s="284" t="s">
        <v>6007</v>
      </c>
    </row>
    <row r="1670" spans="1:4" x14ac:dyDescent="0.3">
      <c r="A1670" s="282" t="s">
        <v>6008</v>
      </c>
      <c r="B1670" s="283" t="s">
        <v>4347</v>
      </c>
      <c r="C1670" s="283" t="s">
        <v>3281</v>
      </c>
      <c r="D1670" s="284" t="s">
        <v>6009</v>
      </c>
    </row>
    <row r="1671" spans="1:4" x14ac:dyDescent="0.3">
      <c r="A1671" s="282" t="s">
        <v>6010</v>
      </c>
      <c r="B1671" s="283" t="s">
        <v>4347</v>
      </c>
      <c r="C1671" s="283" t="s">
        <v>3281</v>
      </c>
      <c r="D1671" s="284" t="s">
        <v>5579</v>
      </c>
    </row>
    <row r="1672" spans="1:4" x14ac:dyDescent="0.3">
      <c r="A1672" s="282" t="s">
        <v>6011</v>
      </c>
      <c r="B1672" s="283" t="s">
        <v>4058</v>
      </c>
      <c r="C1672" s="283" t="s">
        <v>3277</v>
      </c>
      <c r="D1672" s="284" t="s">
        <v>6012</v>
      </c>
    </row>
    <row r="1673" spans="1:4" x14ac:dyDescent="0.3">
      <c r="A1673" s="282" t="s">
        <v>6013</v>
      </c>
      <c r="B1673" s="283" t="s">
        <v>4058</v>
      </c>
      <c r="C1673" s="283" t="s">
        <v>3277</v>
      </c>
      <c r="D1673" s="284" t="s">
        <v>6014</v>
      </c>
    </row>
    <row r="1674" spans="1:4" x14ac:dyDescent="0.3">
      <c r="A1674" s="282" t="s">
        <v>6015</v>
      </c>
      <c r="B1674" s="283" t="s">
        <v>4347</v>
      </c>
      <c r="C1674" s="283" t="s">
        <v>3281</v>
      </c>
      <c r="D1674" s="284" t="s">
        <v>6016</v>
      </c>
    </row>
    <row r="1675" spans="1:4" x14ac:dyDescent="0.3">
      <c r="A1675" s="282" t="s">
        <v>6017</v>
      </c>
      <c r="B1675" s="283" t="s">
        <v>4162</v>
      </c>
      <c r="C1675" s="283" t="s">
        <v>3281</v>
      </c>
      <c r="D1675" s="284" t="s">
        <v>6018</v>
      </c>
    </row>
    <row r="1676" spans="1:4" x14ac:dyDescent="0.3">
      <c r="A1676" s="282" t="s">
        <v>6019</v>
      </c>
      <c r="B1676" s="283" t="s">
        <v>4347</v>
      </c>
      <c r="C1676" s="283" t="s">
        <v>3281</v>
      </c>
      <c r="D1676" s="284" t="s">
        <v>6020</v>
      </c>
    </row>
    <row r="1677" spans="1:4" x14ac:dyDescent="0.3">
      <c r="A1677" s="282" t="s">
        <v>6021</v>
      </c>
      <c r="B1677" s="283" t="s">
        <v>3738</v>
      </c>
      <c r="C1677" s="283" t="s">
        <v>3496</v>
      </c>
      <c r="D1677" s="284" t="s">
        <v>6022</v>
      </c>
    </row>
    <row r="1678" spans="1:4" x14ac:dyDescent="0.3">
      <c r="A1678" s="282" t="s">
        <v>6023</v>
      </c>
      <c r="B1678" s="283" t="s">
        <v>4058</v>
      </c>
      <c r="C1678" s="283" t="s">
        <v>3277</v>
      </c>
      <c r="D1678" s="284" t="s">
        <v>6024</v>
      </c>
    </row>
    <row r="1679" spans="1:4" x14ac:dyDescent="0.3">
      <c r="A1679" s="282" t="s">
        <v>6025</v>
      </c>
      <c r="B1679" s="283" t="s">
        <v>4347</v>
      </c>
      <c r="C1679" s="283" t="s">
        <v>3281</v>
      </c>
      <c r="D1679" s="284" t="s">
        <v>6026</v>
      </c>
    </row>
    <row r="1680" spans="1:4" x14ac:dyDescent="0.3">
      <c r="A1680" s="282" t="s">
        <v>6027</v>
      </c>
      <c r="B1680" s="283" t="s">
        <v>3738</v>
      </c>
      <c r="C1680" s="283" t="s">
        <v>3496</v>
      </c>
      <c r="D1680" s="284" t="s">
        <v>6028</v>
      </c>
    </row>
    <row r="1681" spans="1:4" x14ac:dyDescent="0.3">
      <c r="A1681" s="282" t="s">
        <v>6029</v>
      </c>
      <c r="B1681" s="283" t="s">
        <v>4347</v>
      </c>
      <c r="C1681" s="283" t="s">
        <v>3281</v>
      </c>
      <c r="D1681" s="284" t="s">
        <v>6030</v>
      </c>
    </row>
    <row r="1682" spans="1:4" x14ac:dyDescent="0.3">
      <c r="A1682" s="282" t="s">
        <v>6031</v>
      </c>
      <c r="B1682" s="283" t="s">
        <v>3422</v>
      </c>
      <c r="C1682" s="283" t="s">
        <v>3346</v>
      </c>
      <c r="D1682" s="284" t="s">
        <v>6032</v>
      </c>
    </row>
    <row r="1683" spans="1:4" x14ac:dyDescent="0.3">
      <c r="A1683" s="282" t="s">
        <v>6033</v>
      </c>
      <c r="B1683" s="283" t="s">
        <v>4058</v>
      </c>
      <c r="C1683" s="283" t="s">
        <v>3277</v>
      </c>
      <c r="D1683" s="284" t="s">
        <v>6034</v>
      </c>
    </row>
    <row r="1684" spans="1:4" x14ac:dyDescent="0.3">
      <c r="A1684" s="282" t="s">
        <v>6035</v>
      </c>
      <c r="B1684" s="283" t="s">
        <v>3366</v>
      </c>
      <c r="C1684" s="283" t="s">
        <v>3346</v>
      </c>
      <c r="D1684" s="284" t="s">
        <v>6036</v>
      </c>
    </row>
    <row r="1685" spans="1:4" x14ac:dyDescent="0.3">
      <c r="A1685" s="282" t="s">
        <v>6037</v>
      </c>
      <c r="B1685" s="283" t="s">
        <v>5194</v>
      </c>
      <c r="C1685" s="283" t="s">
        <v>3346</v>
      </c>
      <c r="D1685" s="284" t="s">
        <v>6038</v>
      </c>
    </row>
    <row r="1686" spans="1:4" x14ac:dyDescent="0.3">
      <c r="A1686" s="282" t="s">
        <v>6039</v>
      </c>
      <c r="B1686" s="283" t="s">
        <v>3366</v>
      </c>
      <c r="C1686" s="283" t="s">
        <v>3346</v>
      </c>
      <c r="D1686" s="284" t="s">
        <v>5743</v>
      </c>
    </row>
    <row r="1687" spans="1:4" x14ac:dyDescent="0.3">
      <c r="A1687" s="282" t="s">
        <v>6040</v>
      </c>
      <c r="B1687" s="283" t="s">
        <v>3738</v>
      </c>
      <c r="C1687" s="283" t="s">
        <v>3496</v>
      </c>
      <c r="D1687" s="284" t="s">
        <v>6041</v>
      </c>
    </row>
    <row r="1688" spans="1:4" x14ac:dyDescent="0.3">
      <c r="A1688" s="282" t="s">
        <v>6042</v>
      </c>
      <c r="B1688" s="283" t="s">
        <v>3806</v>
      </c>
      <c r="C1688" s="283" t="s">
        <v>3776</v>
      </c>
      <c r="D1688" s="284" t="s">
        <v>6043</v>
      </c>
    </row>
    <row r="1689" spans="1:4" x14ac:dyDescent="0.3">
      <c r="A1689" s="282" t="s">
        <v>6044</v>
      </c>
      <c r="B1689" s="283" t="s">
        <v>2708</v>
      </c>
      <c r="C1689" s="283" t="s">
        <v>3776</v>
      </c>
      <c r="D1689" s="284" t="s">
        <v>6045</v>
      </c>
    </row>
    <row r="1690" spans="1:4" x14ac:dyDescent="0.3">
      <c r="A1690" s="282" t="s">
        <v>6046</v>
      </c>
      <c r="B1690" s="283" t="s">
        <v>4058</v>
      </c>
      <c r="C1690" s="283" t="s">
        <v>3277</v>
      </c>
      <c r="D1690" s="284" t="s">
        <v>6047</v>
      </c>
    </row>
    <row r="1691" spans="1:4" x14ac:dyDescent="0.3">
      <c r="A1691" s="282" t="s">
        <v>6048</v>
      </c>
      <c r="B1691" s="283" t="s">
        <v>3366</v>
      </c>
      <c r="C1691" s="283" t="s">
        <v>3346</v>
      </c>
      <c r="D1691" s="284" t="s">
        <v>6049</v>
      </c>
    </row>
    <row r="1692" spans="1:4" x14ac:dyDescent="0.3">
      <c r="A1692" s="282" t="s">
        <v>6050</v>
      </c>
      <c r="B1692" s="283" t="s">
        <v>4347</v>
      </c>
      <c r="C1692" s="283" t="s">
        <v>3281</v>
      </c>
      <c r="D1692" s="284" t="s">
        <v>6051</v>
      </c>
    </row>
    <row r="1693" spans="1:4" x14ac:dyDescent="0.3">
      <c r="A1693" s="282" t="s">
        <v>6052</v>
      </c>
      <c r="B1693" s="283" t="s">
        <v>2708</v>
      </c>
      <c r="C1693" s="283" t="s">
        <v>2846</v>
      </c>
      <c r="D1693" s="284" t="s">
        <v>6053</v>
      </c>
    </row>
    <row r="1694" spans="1:4" x14ac:dyDescent="0.3">
      <c r="A1694" s="282" t="s">
        <v>6054</v>
      </c>
      <c r="B1694" s="283" t="s">
        <v>4058</v>
      </c>
      <c r="C1694" s="283" t="s">
        <v>3277</v>
      </c>
      <c r="D1694" s="284" t="s">
        <v>6055</v>
      </c>
    </row>
    <row r="1695" spans="1:4" x14ac:dyDescent="0.3">
      <c r="A1695" s="282" t="s">
        <v>6056</v>
      </c>
      <c r="B1695" s="283" t="s">
        <v>4058</v>
      </c>
      <c r="C1695" s="283" t="s">
        <v>3277</v>
      </c>
      <c r="D1695" s="284" t="s">
        <v>6057</v>
      </c>
    </row>
    <row r="1696" spans="1:4" x14ac:dyDescent="0.3">
      <c r="A1696" s="282" t="s">
        <v>6058</v>
      </c>
      <c r="B1696" s="283" t="s">
        <v>4058</v>
      </c>
      <c r="C1696" s="283" t="s">
        <v>3277</v>
      </c>
      <c r="D1696" s="284" t="s">
        <v>6059</v>
      </c>
    </row>
    <row r="1697" spans="1:4" x14ac:dyDescent="0.3">
      <c r="A1697" s="282" t="s">
        <v>6060</v>
      </c>
      <c r="B1697" s="283" t="s">
        <v>4058</v>
      </c>
      <c r="C1697" s="283" t="s">
        <v>3277</v>
      </c>
      <c r="D1697" s="284" t="s">
        <v>6061</v>
      </c>
    </row>
    <row r="1698" spans="1:4" x14ac:dyDescent="0.3">
      <c r="A1698" s="282" t="s">
        <v>6062</v>
      </c>
      <c r="B1698" s="283" t="s">
        <v>2708</v>
      </c>
      <c r="C1698" s="283" t="s">
        <v>3183</v>
      </c>
      <c r="D1698" s="284" t="s">
        <v>6063</v>
      </c>
    </row>
    <row r="1699" spans="1:4" x14ac:dyDescent="0.3">
      <c r="A1699" s="282" t="s">
        <v>6064</v>
      </c>
      <c r="B1699" s="283" t="s">
        <v>3687</v>
      </c>
      <c r="C1699" s="283" t="s">
        <v>2846</v>
      </c>
      <c r="D1699" s="284" t="s">
        <v>6065</v>
      </c>
    </row>
    <row r="1700" spans="1:4" x14ac:dyDescent="0.3">
      <c r="A1700" s="282" t="s">
        <v>6066</v>
      </c>
      <c r="B1700" s="283" t="s">
        <v>4058</v>
      </c>
      <c r="C1700" s="283" t="s">
        <v>3277</v>
      </c>
      <c r="D1700" s="284" t="s">
        <v>6067</v>
      </c>
    </row>
    <row r="1701" spans="1:4" x14ac:dyDescent="0.3">
      <c r="A1701" s="282" t="s">
        <v>6068</v>
      </c>
      <c r="B1701" s="283" t="s">
        <v>4058</v>
      </c>
      <c r="C1701" s="283" t="s">
        <v>3277</v>
      </c>
      <c r="D1701" s="284" t="s">
        <v>6069</v>
      </c>
    </row>
    <row r="1702" spans="1:4" x14ac:dyDescent="0.3">
      <c r="A1702" s="282" t="s">
        <v>6070</v>
      </c>
      <c r="B1702" s="283" t="s">
        <v>4058</v>
      </c>
      <c r="C1702" s="283" t="s">
        <v>3277</v>
      </c>
      <c r="D1702" s="284" t="s">
        <v>6071</v>
      </c>
    </row>
    <row r="1703" spans="1:4" x14ac:dyDescent="0.3">
      <c r="A1703" s="282" t="s">
        <v>6072</v>
      </c>
      <c r="B1703" s="283" t="s">
        <v>4058</v>
      </c>
      <c r="C1703" s="283" t="s">
        <v>3277</v>
      </c>
      <c r="D1703" s="284" t="s">
        <v>6073</v>
      </c>
    </row>
    <row r="1704" spans="1:4" x14ac:dyDescent="0.3">
      <c r="A1704" s="282" t="s">
        <v>6074</v>
      </c>
      <c r="B1704" s="283" t="s">
        <v>4058</v>
      </c>
      <c r="C1704" s="283" t="s">
        <v>3277</v>
      </c>
      <c r="D1704" s="284" t="s">
        <v>6075</v>
      </c>
    </row>
    <row r="1705" spans="1:4" x14ac:dyDescent="0.3">
      <c r="A1705" s="282" t="s">
        <v>6076</v>
      </c>
      <c r="B1705" s="283" t="s">
        <v>4347</v>
      </c>
      <c r="C1705" s="283" t="s">
        <v>3281</v>
      </c>
      <c r="D1705" s="284" t="s">
        <v>6077</v>
      </c>
    </row>
    <row r="1706" spans="1:4" x14ac:dyDescent="0.3">
      <c r="A1706" s="282" t="s">
        <v>6078</v>
      </c>
      <c r="B1706" s="283" t="s">
        <v>4347</v>
      </c>
      <c r="C1706" s="283" t="s">
        <v>3281</v>
      </c>
      <c r="D1706" s="284" t="s">
        <v>6079</v>
      </c>
    </row>
    <row r="1707" spans="1:4" x14ac:dyDescent="0.3">
      <c r="A1707" s="282" t="s">
        <v>6080</v>
      </c>
      <c r="B1707" s="283" t="s">
        <v>3787</v>
      </c>
      <c r="C1707" s="283" t="s">
        <v>3776</v>
      </c>
      <c r="D1707" s="284" t="s">
        <v>6081</v>
      </c>
    </row>
    <row r="1708" spans="1:4" x14ac:dyDescent="0.3">
      <c r="A1708" s="282" t="s">
        <v>6080</v>
      </c>
      <c r="B1708" s="283" t="s">
        <v>2708</v>
      </c>
      <c r="C1708" s="283" t="s">
        <v>3776</v>
      </c>
      <c r="D1708" s="284" t="s">
        <v>6082</v>
      </c>
    </row>
    <row r="1709" spans="1:4" x14ac:dyDescent="0.3">
      <c r="A1709" s="282" t="s">
        <v>6083</v>
      </c>
      <c r="B1709" s="283" t="s">
        <v>4058</v>
      </c>
      <c r="C1709" s="283" t="s">
        <v>3277</v>
      </c>
      <c r="D1709" s="284" t="s">
        <v>6084</v>
      </c>
    </row>
    <row r="1710" spans="1:4" x14ac:dyDescent="0.3">
      <c r="A1710" s="282" t="s">
        <v>6085</v>
      </c>
      <c r="B1710" s="283" t="s">
        <v>4058</v>
      </c>
      <c r="C1710" s="283" t="s">
        <v>3277</v>
      </c>
      <c r="D1710" s="284" t="s">
        <v>6086</v>
      </c>
    </row>
    <row r="1711" spans="1:4" x14ac:dyDescent="0.3">
      <c r="A1711" s="282" t="s">
        <v>6087</v>
      </c>
      <c r="B1711" s="283" t="s">
        <v>4058</v>
      </c>
      <c r="C1711" s="283" t="s">
        <v>3277</v>
      </c>
      <c r="D1711" s="284" t="s">
        <v>6088</v>
      </c>
    </row>
    <row r="1712" spans="1:4" x14ac:dyDescent="0.3">
      <c r="A1712" s="282" t="s">
        <v>6089</v>
      </c>
      <c r="B1712" s="283" t="s">
        <v>4058</v>
      </c>
      <c r="C1712" s="283" t="s">
        <v>3277</v>
      </c>
      <c r="D1712" s="284" t="s">
        <v>6090</v>
      </c>
    </row>
    <row r="1713" spans="1:4" x14ac:dyDescent="0.3">
      <c r="A1713" s="282" t="s">
        <v>6091</v>
      </c>
      <c r="B1713" s="283" t="s">
        <v>4058</v>
      </c>
      <c r="C1713" s="283" t="s">
        <v>3277</v>
      </c>
      <c r="D1713" s="284" t="s">
        <v>6092</v>
      </c>
    </row>
    <row r="1714" spans="1:4" x14ac:dyDescent="0.3">
      <c r="A1714" s="282" t="s">
        <v>6093</v>
      </c>
      <c r="B1714" s="283" t="s">
        <v>4058</v>
      </c>
      <c r="C1714" s="283" t="s">
        <v>3277</v>
      </c>
      <c r="D1714" s="284" t="s">
        <v>2773</v>
      </c>
    </row>
    <row r="1715" spans="1:4" x14ac:dyDescent="0.3">
      <c r="A1715" s="282" t="s">
        <v>6094</v>
      </c>
      <c r="B1715" s="283" t="s">
        <v>3687</v>
      </c>
      <c r="C1715" s="283" t="s">
        <v>2846</v>
      </c>
      <c r="D1715" s="284" t="s">
        <v>6095</v>
      </c>
    </row>
    <row r="1716" spans="1:4" x14ac:dyDescent="0.3">
      <c r="A1716" s="282" t="s">
        <v>6096</v>
      </c>
      <c r="B1716" s="283" t="s">
        <v>4569</v>
      </c>
      <c r="C1716" s="283" t="s">
        <v>3281</v>
      </c>
      <c r="D1716" s="284" t="s">
        <v>6097</v>
      </c>
    </row>
    <row r="1717" spans="1:4" x14ac:dyDescent="0.3">
      <c r="A1717" s="282" t="s">
        <v>6098</v>
      </c>
      <c r="B1717" s="283" t="s">
        <v>3905</v>
      </c>
      <c r="C1717" s="283" t="s">
        <v>3906</v>
      </c>
      <c r="D1717" s="284" t="s">
        <v>6099</v>
      </c>
    </row>
    <row r="1718" spans="1:4" x14ac:dyDescent="0.3">
      <c r="A1718" s="282" t="s">
        <v>6100</v>
      </c>
      <c r="B1718" s="283" t="s">
        <v>3687</v>
      </c>
      <c r="C1718" s="283" t="s">
        <v>3776</v>
      </c>
      <c r="D1718" s="284" t="s">
        <v>6101</v>
      </c>
    </row>
    <row r="1719" spans="1:4" x14ac:dyDescent="0.3">
      <c r="A1719" s="282" t="s">
        <v>6102</v>
      </c>
      <c r="B1719" s="283" t="s">
        <v>6000</v>
      </c>
      <c r="C1719" s="283" t="s">
        <v>5998</v>
      </c>
      <c r="D1719" s="284" t="s">
        <v>6103</v>
      </c>
    </row>
    <row r="1720" spans="1:4" x14ac:dyDescent="0.3">
      <c r="A1720" s="282" t="s">
        <v>6102</v>
      </c>
      <c r="B1720" s="283" t="s">
        <v>6000</v>
      </c>
      <c r="C1720" s="283" t="s">
        <v>5998</v>
      </c>
      <c r="D1720" s="284" t="s">
        <v>6104</v>
      </c>
    </row>
    <row r="1721" spans="1:4" x14ac:dyDescent="0.3">
      <c r="A1721" s="282" t="s">
        <v>6105</v>
      </c>
      <c r="B1721" s="283" t="s">
        <v>3218</v>
      </c>
      <c r="C1721" s="283" t="s">
        <v>3183</v>
      </c>
      <c r="D1721" s="284" t="s">
        <v>6106</v>
      </c>
    </row>
    <row r="1722" spans="1:4" x14ac:dyDescent="0.3">
      <c r="A1722" s="282" t="s">
        <v>6107</v>
      </c>
      <c r="B1722" s="283" t="s">
        <v>4070</v>
      </c>
      <c r="C1722" s="283" t="s">
        <v>3277</v>
      </c>
      <c r="D1722" s="284" t="s">
        <v>6108</v>
      </c>
    </row>
    <row r="1723" spans="1:4" x14ac:dyDescent="0.3">
      <c r="A1723" s="282" t="s">
        <v>6107</v>
      </c>
      <c r="B1723" s="283" t="s">
        <v>4058</v>
      </c>
      <c r="C1723" s="283" t="s">
        <v>3277</v>
      </c>
      <c r="D1723" s="284" t="s">
        <v>6108</v>
      </c>
    </row>
    <row r="1724" spans="1:4" x14ac:dyDescent="0.3">
      <c r="A1724" s="282" t="s">
        <v>6109</v>
      </c>
      <c r="B1724" s="283" t="s">
        <v>3276</v>
      </c>
      <c r="C1724" s="283" t="s">
        <v>3277</v>
      </c>
      <c r="D1724" s="284" t="s">
        <v>6110</v>
      </c>
    </row>
    <row r="1725" spans="1:4" x14ac:dyDescent="0.3">
      <c r="A1725" s="282" t="s">
        <v>6109</v>
      </c>
      <c r="B1725" s="283" t="s">
        <v>2595</v>
      </c>
      <c r="C1725" s="283" t="s">
        <v>3277</v>
      </c>
      <c r="D1725" s="284" t="s">
        <v>6110</v>
      </c>
    </row>
    <row r="1726" spans="1:4" x14ac:dyDescent="0.3">
      <c r="A1726" s="282" t="s">
        <v>6111</v>
      </c>
      <c r="B1726" s="283" t="s">
        <v>4347</v>
      </c>
      <c r="C1726" s="283" t="s">
        <v>3281</v>
      </c>
      <c r="D1726" s="284" t="s">
        <v>6112</v>
      </c>
    </row>
    <row r="1727" spans="1:4" x14ac:dyDescent="0.3">
      <c r="A1727" s="282" t="s">
        <v>6113</v>
      </c>
      <c r="B1727" s="283" t="s">
        <v>4347</v>
      </c>
      <c r="C1727" s="283" t="s">
        <v>3281</v>
      </c>
      <c r="D1727" s="284" t="s">
        <v>6114</v>
      </c>
    </row>
    <row r="1728" spans="1:4" x14ac:dyDescent="0.3">
      <c r="A1728" s="282" t="s">
        <v>6115</v>
      </c>
      <c r="B1728" s="283" t="s">
        <v>3687</v>
      </c>
      <c r="C1728" s="283" t="s">
        <v>2846</v>
      </c>
      <c r="D1728" s="284" t="s">
        <v>6116</v>
      </c>
    </row>
    <row r="1729" spans="1:4" x14ac:dyDescent="0.3">
      <c r="A1729" s="282" t="s">
        <v>6117</v>
      </c>
      <c r="B1729" s="283" t="s">
        <v>6118</v>
      </c>
      <c r="C1729" s="283" t="s">
        <v>486</v>
      </c>
      <c r="D1729" s="284" t="s">
        <v>6119</v>
      </c>
    </row>
    <row r="1730" spans="1:4" x14ac:dyDescent="0.3">
      <c r="A1730" s="282" t="s">
        <v>6120</v>
      </c>
      <c r="B1730" s="283" t="s">
        <v>6118</v>
      </c>
      <c r="C1730" s="283" t="s">
        <v>486</v>
      </c>
      <c r="D1730" s="284" t="s">
        <v>6121</v>
      </c>
    </row>
    <row r="1731" spans="1:4" x14ac:dyDescent="0.3">
      <c r="A1731" s="282" t="s">
        <v>6122</v>
      </c>
      <c r="B1731" s="283" t="s">
        <v>6118</v>
      </c>
      <c r="C1731" s="283" t="s">
        <v>486</v>
      </c>
      <c r="D1731" s="284" t="s">
        <v>6123</v>
      </c>
    </row>
    <row r="1732" spans="1:4" x14ac:dyDescent="0.3">
      <c r="A1732" s="282" t="s">
        <v>6124</v>
      </c>
      <c r="B1732" s="283" t="s">
        <v>6118</v>
      </c>
      <c r="C1732" s="283" t="s">
        <v>486</v>
      </c>
      <c r="D1732" s="284" t="s">
        <v>6125</v>
      </c>
    </row>
    <row r="1733" spans="1:4" x14ac:dyDescent="0.3">
      <c r="A1733" s="282" t="s">
        <v>6126</v>
      </c>
      <c r="B1733" s="283" t="s">
        <v>6118</v>
      </c>
      <c r="C1733" s="283" t="s">
        <v>486</v>
      </c>
      <c r="D1733" s="284" t="s">
        <v>6127</v>
      </c>
    </row>
    <row r="1734" spans="1:4" x14ac:dyDescent="0.3">
      <c r="A1734" s="282" t="s">
        <v>6128</v>
      </c>
      <c r="B1734" s="283" t="s">
        <v>6118</v>
      </c>
      <c r="C1734" s="283" t="s">
        <v>486</v>
      </c>
      <c r="D1734" s="284" t="s">
        <v>6129</v>
      </c>
    </row>
    <row r="1735" spans="1:4" x14ac:dyDescent="0.3">
      <c r="A1735" s="282" t="s">
        <v>6130</v>
      </c>
      <c r="B1735" s="283" t="s">
        <v>6118</v>
      </c>
      <c r="C1735" s="283" t="s">
        <v>486</v>
      </c>
      <c r="D1735" s="284" t="s">
        <v>6131</v>
      </c>
    </row>
    <row r="1736" spans="1:4" x14ac:dyDescent="0.3">
      <c r="A1736" s="282" t="s">
        <v>6132</v>
      </c>
      <c r="B1736" s="283" t="s">
        <v>6118</v>
      </c>
      <c r="C1736" s="283" t="s">
        <v>486</v>
      </c>
      <c r="D1736" s="284" t="s">
        <v>6133</v>
      </c>
    </row>
    <row r="1737" spans="1:4" x14ac:dyDescent="0.3">
      <c r="A1737" s="282" t="s">
        <v>6134</v>
      </c>
      <c r="B1737" s="283" t="s">
        <v>6118</v>
      </c>
      <c r="C1737" s="283" t="s">
        <v>486</v>
      </c>
      <c r="D1737" s="284" t="s">
        <v>6135</v>
      </c>
    </row>
    <row r="1738" spans="1:4" x14ac:dyDescent="0.3">
      <c r="A1738" s="282" t="s">
        <v>6136</v>
      </c>
      <c r="B1738" s="283" t="s">
        <v>6118</v>
      </c>
      <c r="C1738" s="283" t="s">
        <v>486</v>
      </c>
      <c r="D1738" s="284" t="s">
        <v>6137</v>
      </c>
    </row>
    <row r="1739" spans="1:4" x14ac:dyDescent="0.3">
      <c r="A1739" s="282" t="s">
        <v>6138</v>
      </c>
      <c r="B1739" s="283" t="s">
        <v>4930</v>
      </c>
      <c r="C1739" s="283" t="s">
        <v>3281</v>
      </c>
      <c r="D1739" s="284" t="s">
        <v>6139</v>
      </c>
    </row>
    <row r="1740" spans="1:4" x14ac:dyDescent="0.3">
      <c r="A1740" s="282" t="s">
        <v>6138</v>
      </c>
      <c r="B1740" s="283" t="s">
        <v>4162</v>
      </c>
      <c r="C1740" s="283" t="s">
        <v>3281</v>
      </c>
      <c r="D1740" s="284" t="s">
        <v>6139</v>
      </c>
    </row>
    <row r="1741" spans="1:4" x14ac:dyDescent="0.3">
      <c r="A1741" s="282" t="s">
        <v>6140</v>
      </c>
      <c r="B1741" s="283" t="s">
        <v>6141</v>
      </c>
      <c r="C1741" s="283" t="s">
        <v>3281</v>
      </c>
      <c r="D1741" s="284" t="s">
        <v>6142</v>
      </c>
    </row>
    <row r="1742" spans="1:4" x14ac:dyDescent="0.3">
      <c r="A1742" s="282" t="s">
        <v>6140</v>
      </c>
      <c r="B1742" s="283" t="s">
        <v>6143</v>
      </c>
      <c r="C1742" s="283" t="s">
        <v>3281</v>
      </c>
      <c r="D1742" s="284" t="s">
        <v>6142</v>
      </c>
    </row>
    <row r="1743" spans="1:4" x14ac:dyDescent="0.3">
      <c r="A1743" s="282" t="s">
        <v>6144</v>
      </c>
      <c r="B1743" s="283" t="s">
        <v>3280</v>
      </c>
      <c r="C1743" s="283" t="s">
        <v>3281</v>
      </c>
      <c r="D1743" s="284" t="s">
        <v>6145</v>
      </c>
    </row>
    <row r="1744" spans="1:4" x14ac:dyDescent="0.3">
      <c r="A1744" s="282" t="s">
        <v>6144</v>
      </c>
      <c r="B1744" s="283" t="s">
        <v>4378</v>
      </c>
      <c r="C1744" s="283" t="s">
        <v>3281</v>
      </c>
      <c r="D1744" s="284" t="s">
        <v>6145</v>
      </c>
    </row>
    <row r="1745" spans="1:4" x14ac:dyDescent="0.3">
      <c r="A1745" s="282" t="s">
        <v>6146</v>
      </c>
      <c r="B1745" s="283" t="s">
        <v>3280</v>
      </c>
      <c r="C1745" s="283" t="s">
        <v>3281</v>
      </c>
      <c r="D1745" s="284" t="s">
        <v>6147</v>
      </c>
    </row>
    <row r="1746" spans="1:4" x14ac:dyDescent="0.3">
      <c r="A1746" s="282" t="s">
        <v>6146</v>
      </c>
      <c r="B1746" s="283" t="s">
        <v>4378</v>
      </c>
      <c r="C1746" s="283" t="s">
        <v>3281</v>
      </c>
      <c r="D1746" s="284" t="s">
        <v>6147</v>
      </c>
    </row>
    <row r="1747" spans="1:4" x14ac:dyDescent="0.3">
      <c r="A1747" s="282" t="s">
        <v>6148</v>
      </c>
      <c r="B1747" s="283" t="s">
        <v>3395</v>
      </c>
      <c r="C1747" s="283" t="s">
        <v>3346</v>
      </c>
      <c r="D1747" s="284" t="s">
        <v>6149</v>
      </c>
    </row>
    <row r="1748" spans="1:4" x14ac:dyDescent="0.3">
      <c r="A1748" s="282" t="s">
        <v>6148</v>
      </c>
      <c r="B1748" s="283" t="s">
        <v>3522</v>
      </c>
      <c r="C1748" s="283" t="s">
        <v>3346</v>
      </c>
      <c r="D1748" s="284" t="s">
        <v>6149</v>
      </c>
    </row>
    <row r="1749" spans="1:4" x14ac:dyDescent="0.3">
      <c r="A1749" s="282" t="s">
        <v>6150</v>
      </c>
      <c r="B1749" s="283" t="s">
        <v>3893</v>
      </c>
      <c r="C1749" s="283" t="s">
        <v>2846</v>
      </c>
      <c r="D1749" s="284" t="s">
        <v>6151</v>
      </c>
    </row>
    <row r="1750" spans="1:4" x14ac:dyDescent="0.3">
      <c r="A1750" s="282" t="s">
        <v>6152</v>
      </c>
      <c r="B1750" s="283" t="s">
        <v>3700</v>
      </c>
      <c r="C1750" s="283" t="s">
        <v>2846</v>
      </c>
      <c r="D1750" s="284" t="s">
        <v>6153</v>
      </c>
    </row>
    <row r="1751" spans="1:4" x14ac:dyDescent="0.3">
      <c r="A1751" s="282" t="s">
        <v>6154</v>
      </c>
      <c r="B1751" s="283" t="s">
        <v>4143</v>
      </c>
      <c r="C1751" s="283" t="s">
        <v>3277</v>
      </c>
      <c r="D1751" s="284" t="s">
        <v>6155</v>
      </c>
    </row>
    <row r="1752" spans="1:4" x14ac:dyDescent="0.3">
      <c r="A1752" s="282" t="s">
        <v>6154</v>
      </c>
      <c r="B1752" s="283" t="s">
        <v>4385</v>
      </c>
      <c r="C1752" s="283" t="s">
        <v>3277</v>
      </c>
      <c r="D1752" s="284" t="s">
        <v>6155</v>
      </c>
    </row>
    <row r="1753" spans="1:4" x14ac:dyDescent="0.3">
      <c r="A1753" s="282" t="s">
        <v>6156</v>
      </c>
      <c r="B1753" s="283" t="s">
        <v>4143</v>
      </c>
      <c r="C1753" s="283" t="s">
        <v>3277</v>
      </c>
      <c r="D1753" s="284" t="s">
        <v>6157</v>
      </c>
    </row>
    <row r="1754" spans="1:4" x14ac:dyDescent="0.3">
      <c r="A1754" s="282" t="s">
        <v>6156</v>
      </c>
      <c r="B1754" s="283" t="s">
        <v>4385</v>
      </c>
      <c r="C1754" s="283" t="s">
        <v>3277</v>
      </c>
      <c r="D1754" s="284" t="s">
        <v>6157</v>
      </c>
    </row>
    <row r="1755" spans="1:4" x14ac:dyDescent="0.3">
      <c r="A1755" s="282" t="s">
        <v>6158</v>
      </c>
      <c r="B1755" s="283" t="s">
        <v>3276</v>
      </c>
      <c r="C1755" s="283" t="s">
        <v>3277</v>
      </c>
      <c r="D1755" s="284" t="s">
        <v>6159</v>
      </c>
    </row>
    <row r="1756" spans="1:4" x14ac:dyDescent="0.3">
      <c r="A1756" s="282" t="s">
        <v>6158</v>
      </c>
      <c r="B1756" s="283" t="s">
        <v>2595</v>
      </c>
      <c r="C1756" s="283" t="s">
        <v>3277</v>
      </c>
      <c r="D1756" s="284" t="s">
        <v>6159</v>
      </c>
    </row>
    <row r="1757" spans="1:4" x14ac:dyDescent="0.3">
      <c r="A1757" s="282" t="s">
        <v>6160</v>
      </c>
      <c r="B1757" s="283" t="s">
        <v>6161</v>
      </c>
      <c r="C1757" s="283" t="s">
        <v>3277</v>
      </c>
      <c r="D1757" s="284" t="s">
        <v>6162</v>
      </c>
    </row>
    <row r="1758" spans="1:4" x14ac:dyDescent="0.3">
      <c r="A1758" s="282" t="s">
        <v>6160</v>
      </c>
      <c r="B1758" s="283" t="s">
        <v>4096</v>
      </c>
      <c r="C1758" s="283" t="s">
        <v>3277</v>
      </c>
      <c r="D1758" s="284" t="s">
        <v>6163</v>
      </c>
    </row>
    <row r="1759" spans="1:4" x14ac:dyDescent="0.3">
      <c r="A1759" s="282" t="s">
        <v>6164</v>
      </c>
      <c r="B1759" s="283" t="s">
        <v>4058</v>
      </c>
      <c r="C1759" s="283" t="s">
        <v>3277</v>
      </c>
      <c r="D1759" s="284" t="s">
        <v>6165</v>
      </c>
    </row>
    <row r="1760" spans="1:4" x14ac:dyDescent="0.3">
      <c r="A1760" s="282" t="s">
        <v>6166</v>
      </c>
      <c r="B1760" s="283" t="s">
        <v>3366</v>
      </c>
      <c r="C1760" s="283" t="s">
        <v>3346</v>
      </c>
      <c r="D1760" s="284" t="s">
        <v>6167</v>
      </c>
    </row>
    <row r="1761" spans="1:4" x14ac:dyDescent="0.3">
      <c r="A1761" s="282" t="s">
        <v>6168</v>
      </c>
      <c r="B1761" s="283" t="s">
        <v>3366</v>
      </c>
      <c r="C1761" s="283" t="s">
        <v>3346</v>
      </c>
      <c r="D1761" s="284" t="s">
        <v>6169</v>
      </c>
    </row>
    <row r="1762" spans="1:4" x14ac:dyDescent="0.3">
      <c r="A1762" s="282" t="s">
        <v>6170</v>
      </c>
      <c r="B1762" s="283" t="s">
        <v>3366</v>
      </c>
      <c r="C1762" s="283" t="s">
        <v>3346</v>
      </c>
      <c r="D1762" s="284" t="s">
        <v>6167</v>
      </c>
    </row>
    <row r="1763" spans="1:4" x14ac:dyDescent="0.3">
      <c r="A1763" s="282" t="s">
        <v>6171</v>
      </c>
      <c r="B1763" s="283" t="s">
        <v>4058</v>
      </c>
      <c r="C1763" s="283" t="s">
        <v>3277</v>
      </c>
      <c r="D1763" s="284" t="s">
        <v>6172</v>
      </c>
    </row>
    <row r="1764" spans="1:4" x14ac:dyDescent="0.3">
      <c r="A1764" s="282" t="s">
        <v>6173</v>
      </c>
      <c r="B1764" s="283" t="s">
        <v>4058</v>
      </c>
      <c r="C1764" s="283" t="s">
        <v>3277</v>
      </c>
      <c r="D1764" s="284" t="s">
        <v>6174</v>
      </c>
    </row>
    <row r="1765" spans="1:4" x14ac:dyDescent="0.3">
      <c r="A1765" s="282" t="s">
        <v>6175</v>
      </c>
      <c r="B1765" s="283" t="s">
        <v>3687</v>
      </c>
      <c r="C1765" s="283" t="s">
        <v>3776</v>
      </c>
      <c r="D1765" s="284" t="s">
        <v>6176</v>
      </c>
    </row>
    <row r="1766" spans="1:4" x14ac:dyDescent="0.3">
      <c r="A1766" s="282" t="s">
        <v>6177</v>
      </c>
      <c r="B1766" s="283" t="s">
        <v>4058</v>
      </c>
      <c r="C1766" s="283" t="s">
        <v>3277</v>
      </c>
      <c r="D1766" s="284" t="s">
        <v>6178</v>
      </c>
    </row>
    <row r="1767" spans="1:4" x14ac:dyDescent="0.3">
      <c r="A1767" s="282" t="s">
        <v>6179</v>
      </c>
      <c r="B1767" s="283" t="s">
        <v>4058</v>
      </c>
      <c r="C1767" s="283" t="s">
        <v>3277</v>
      </c>
      <c r="D1767" s="284" t="s">
        <v>6180</v>
      </c>
    </row>
    <row r="1768" spans="1:4" x14ac:dyDescent="0.3">
      <c r="A1768" s="282" t="s">
        <v>6181</v>
      </c>
      <c r="B1768" s="283" t="s">
        <v>3366</v>
      </c>
      <c r="C1768" s="283" t="s">
        <v>3346</v>
      </c>
      <c r="D1768" s="284" t="s">
        <v>6182</v>
      </c>
    </row>
    <row r="1769" spans="1:4" x14ac:dyDescent="0.3">
      <c r="A1769" s="282" t="s">
        <v>6183</v>
      </c>
      <c r="B1769" s="283" t="s">
        <v>3395</v>
      </c>
      <c r="C1769" s="283" t="s">
        <v>3346</v>
      </c>
      <c r="D1769" s="284" t="s">
        <v>6184</v>
      </c>
    </row>
    <row r="1770" spans="1:4" x14ac:dyDescent="0.3">
      <c r="A1770" s="282" t="s">
        <v>6185</v>
      </c>
      <c r="B1770" s="283" t="s">
        <v>4058</v>
      </c>
      <c r="C1770" s="283" t="s">
        <v>3277</v>
      </c>
      <c r="D1770" s="284" t="s">
        <v>6186</v>
      </c>
    </row>
    <row r="1771" spans="1:4" x14ac:dyDescent="0.3">
      <c r="A1771" s="282" t="s">
        <v>6187</v>
      </c>
      <c r="B1771" s="283" t="s">
        <v>3366</v>
      </c>
      <c r="C1771" s="283" t="s">
        <v>3346</v>
      </c>
      <c r="D1771" s="284" t="s">
        <v>6188</v>
      </c>
    </row>
    <row r="1772" spans="1:4" x14ac:dyDescent="0.3">
      <c r="A1772" s="282" t="s">
        <v>6189</v>
      </c>
      <c r="B1772" s="283" t="s">
        <v>4058</v>
      </c>
      <c r="C1772" s="283" t="s">
        <v>3277</v>
      </c>
      <c r="D1772" s="284" t="s">
        <v>6190</v>
      </c>
    </row>
    <row r="1773" spans="1:4" x14ac:dyDescent="0.3">
      <c r="A1773" s="282" t="s">
        <v>6191</v>
      </c>
      <c r="B1773" s="283" t="s">
        <v>4347</v>
      </c>
      <c r="C1773" s="283" t="s">
        <v>3281</v>
      </c>
      <c r="D1773" s="284" t="s">
        <v>6192</v>
      </c>
    </row>
    <row r="1774" spans="1:4" x14ac:dyDescent="0.3">
      <c r="A1774" s="282" t="s">
        <v>6193</v>
      </c>
      <c r="B1774" s="283" t="s">
        <v>3738</v>
      </c>
      <c r="C1774" s="283" t="s">
        <v>3496</v>
      </c>
      <c r="D1774" s="284" t="s">
        <v>6194</v>
      </c>
    </row>
    <row r="1775" spans="1:4" x14ac:dyDescent="0.3">
      <c r="A1775" s="282" t="s">
        <v>6195</v>
      </c>
      <c r="B1775" s="283" t="s">
        <v>3687</v>
      </c>
      <c r="C1775" s="283" t="s">
        <v>2846</v>
      </c>
      <c r="D1775" s="284" t="s">
        <v>6196</v>
      </c>
    </row>
    <row r="1776" spans="1:4" x14ac:dyDescent="0.3">
      <c r="A1776" s="282" t="s">
        <v>6197</v>
      </c>
      <c r="B1776" s="283" t="s">
        <v>6198</v>
      </c>
      <c r="C1776" s="283" t="s">
        <v>3776</v>
      </c>
      <c r="D1776" s="284" t="s">
        <v>6199</v>
      </c>
    </row>
    <row r="1777" spans="1:4" x14ac:dyDescent="0.3">
      <c r="A1777" s="282" t="s">
        <v>6200</v>
      </c>
      <c r="B1777" s="283" t="s">
        <v>4058</v>
      </c>
      <c r="C1777" s="283" t="s">
        <v>3277</v>
      </c>
      <c r="D1777" s="284" t="s">
        <v>4721</v>
      </c>
    </row>
    <row r="1778" spans="1:4" x14ac:dyDescent="0.3">
      <c r="A1778" s="282" t="s">
        <v>6201</v>
      </c>
      <c r="B1778" s="283" t="s">
        <v>4347</v>
      </c>
      <c r="C1778" s="283" t="s">
        <v>3281</v>
      </c>
      <c r="D1778" s="284" t="s">
        <v>6202</v>
      </c>
    </row>
    <row r="1779" spans="1:4" x14ac:dyDescent="0.3">
      <c r="A1779" s="282" t="s">
        <v>6203</v>
      </c>
      <c r="B1779" s="283" t="s">
        <v>3738</v>
      </c>
      <c r="C1779" s="283" t="s">
        <v>3496</v>
      </c>
      <c r="D1779" s="284" t="s">
        <v>6204</v>
      </c>
    </row>
    <row r="1780" spans="1:4" x14ac:dyDescent="0.3">
      <c r="A1780" s="282" t="s">
        <v>6205</v>
      </c>
      <c r="B1780" s="283" t="s">
        <v>4589</v>
      </c>
      <c r="C1780" s="283" t="s">
        <v>489</v>
      </c>
      <c r="D1780" s="284" t="s">
        <v>6206</v>
      </c>
    </row>
    <row r="1781" spans="1:4" x14ac:dyDescent="0.3">
      <c r="A1781" s="282" t="s">
        <v>6207</v>
      </c>
      <c r="B1781" s="283" t="s">
        <v>6208</v>
      </c>
      <c r="C1781" s="283" t="s">
        <v>486</v>
      </c>
      <c r="D1781" s="284" t="s">
        <v>6209</v>
      </c>
    </row>
    <row r="1782" spans="1:4" x14ac:dyDescent="0.3">
      <c r="A1782" s="282" t="s">
        <v>6210</v>
      </c>
      <c r="B1782" s="283" t="s">
        <v>6208</v>
      </c>
      <c r="C1782" s="283" t="s">
        <v>486</v>
      </c>
      <c r="D1782" s="284" t="s">
        <v>6211</v>
      </c>
    </row>
    <row r="1783" spans="1:4" x14ac:dyDescent="0.3">
      <c r="A1783" s="282" t="s">
        <v>6212</v>
      </c>
      <c r="B1783" s="283" t="s">
        <v>3357</v>
      </c>
      <c r="C1783" s="283" t="s">
        <v>3346</v>
      </c>
      <c r="D1783" s="284" t="s">
        <v>6213</v>
      </c>
    </row>
    <row r="1784" spans="1:4" x14ac:dyDescent="0.3">
      <c r="A1784" s="282" t="s">
        <v>6214</v>
      </c>
      <c r="B1784" s="283" t="s">
        <v>3905</v>
      </c>
      <c r="C1784" s="283" t="s">
        <v>3906</v>
      </c>
      <c r="D1784" s="284" t="s">
        <v>6215</v>
      </c>
    </row>
    <row r="1785" spans="1:4" x14ac:dyDescent="0.3">
      <c r="A1785" s="282" t="s">
        <v>6216</v>
      </c>
      <c r="B1785" s="283" t="s">
        <v>3457</v>
      </c>
      <c r="C1785" s="283" t="s">
        <v>3346</v>
      </c>
      <c r="D1785" s="284" t="s">
        <v>6217</v>
      </c>
    </row>
    <row r="1786" spans="1:4" x14ac:dyDescent="0.3">
      <c r="A1786" s="282" t="s">
        <v>6218</v>
      </c>
      <c r="B1786" s="283" t="s">
        <v>4408</v>
      </c>
      <c r="C1786" s="283" t="s">
        <v>3281</v>
      </c>
      <c r="D1786" s="284" t="s">
        <v>6219</v>
      </c>
    </row>
    <row r="1787" spans="1:4" x14ac:dyDescent="0.3">
      <c r="A1787" s="282" t="s">
        <v>6220</v>
      </c>
      <c r="B1787" s="283" t="s">
        <v>4369</v>
      </c>
      <c r="C1787" s="283" t="s">
        <v>3281</v>
      </c>
      <c r="D1787" s="284" t="s">
        <v>6221</v>
      </c>
    </row>
    <row r="1788" spans="1:4" x14ac:dyDescent="0.3">
      <c r="A1788" s="282" t="s">
        <v>6222</v>
      </c>
      <c r="B1788" s="283" t="s">
        <v>3457</v>
      </c>
      <c r="C1788" s="283" t="s">
        <v>3496</v>
      </c>
      <c r="D1788" s="284" t="s">
        <v>6223</v>
      </c>
    </row>
    <row r="1789" spans="1:4" x14ac:dyDescent="0.3">
      <c r="A1789" s="282" t="s">
        <v>6224</v>
      </c>
      <c r="B1789" s="283" t="s">
        <v>3687</v>
      </c>
      <c r="C1789" s="283" t="s">
        <v>2846</v>
      </c>
      <c r="D1789" s="284" t="s">
        <v>6225</v>
      </c>
    </row>
    <row r="1790" spans="1:4" x14ac:dyDescent="0.3">
      <c r="A1790" s="282" t="s">
        <v>6226</v>
      </c>
      <c r="B1790" s="283" t="s">
        <v>4589</v>
      </c>
      <c r="C1790" s="283" t="s">
        <v>489</v>
      </c>
      <c r="D1790" s="284" t="s">
        <v>6227</v>
      </c>
    </row>
    <row r="1791" spans="1:4" x14ac:dyDescent="0.3">
      <c r="A1791" s="282" t="s">
        <v>6228</v>
      </c>
      <c r="B1791" s="283" t="s">
        <v>2595</v>
      </c>
      <c r="C1791" s="283" t="s">
        <v>3277</v>
      </c>
      <c r="D1791" s="284" t="s">
        <v>6229</v>
      </c>
    </row>
    <row r="1792" spans="1:4" x14ac:dyDescent="0.3">
      <c r="A1792" s="282" t="s">
        <v>6230</v>
      </c>
      <c r="B1792" s="283" t="s">
        <v>4058</v>
      </c>
      <c r="C1792" s="283" t="s">
        <v>3277</v>
      </c>
      <c r="D1792" s="284" t="s">
        <v>6231</v>
      </c>
    </row>
    <row r="1793" spans="1:4" x14ac:dyDescent="0.3">
      <c r="A1793" s="282" t="s">
        <v>6232</v>
      </c>
      <c r="B1793" s="283" t="s">
        <v>2595</v>
      </c>
      <c r="C1793" s="283" t="s">
        <v>3277</v>
      </c>
      <c r="D1793" s="284" t="s">
        <v>6233</v>
      </c>
    </row>
    <row r="1794" spans="1:4" x14ac:dyDescent="0.3">
      <c r="A1794" s="282" t="s">
        <v>6234</v>
      </c>
      <c r="B1794" s="283" t="s">
        <v>4058</v>
      </c>
      <c r="C1794" s="283" t="s">
        <v>3277</v>
      </c>
      <c r="D1794" s="284" t="s">
        <v>6235</v>
      </c>
    </row>
    <row r="1795" spans="1:4" x14ac:dyDescent="0.3">
      <c r="A1795" s="282" t="s">
        <v>6236</v>
      </c>
      <c r="B1795" s="283" t="s">
        <v>2595</v>
      </c>
      <c r="C1795" s="283" t="s">
        <v>3277</v>
      </c>
      <c r="D1795" s="284" t="s">
        <v>6237</v>
      </c>
    </row>
    <row r="1796" spans="1:4" x14ac:dyDescent="0.3">
      <c r="A1796" s="282" t="s">
        <v>6238</v>
      </c>
      <c r="B1796" s="283" t="s">
        <v>4058</v>
      </c>
      <c r="C1796" s="283" t="s">
        <v>3277</v>
      </c>
      <c r="D1796" s="284" t="s">
        <v>6239</v>
      </c>
    </row>
    <row r="1797" spans="1:4" x14ac:dyDescent="0.3">
      <c r="A1797" s="282" t="s">
        <v>6240</v>
      </c>
      <c r="B1797" s="283" t="s">
        <v>2595</v>
      </c>
      <c r="C1797" s="283" t="s">
        <v>3277</v>
      </c>
      <c r="D1797" s="284" t="s">
        <v>6241</v>
      </c>
    </row>
    <row r="1798" spans="1:4" x14ac:dyDescent="0.3">
      <c r="A1798" s="282" t="s">
        <v>6242</v>
      </c>
      <c r="B1798" s="283" t="s">
        <v>4058</v>
      </c>
      <c r="C1798" s="283" t="s">
        <v>3277</v>
      </c>
      <c r="D1798" s="284" t="s">
        <v>6243</v>
      </c>
    </row>
    <row r="1799" spans="1:4" x14ac:dyDescent="0.3">
      <c r="A1799" s="282" t="s">
        <v>6244</v>
      </c>
      <c r="B1799" s="283" t="s">
        <v>2595</v>
      </c>
      <c r="C1799" s="283" t="s">
        <v>3277</v>
      </c>
      <c r="D1799" s="284" t="s">
        <v>6245</v>
      </c>
    </row>
    <row r="1800" spans="1:4" x14ac:dyDescent="0.3">
      <c r="A1800" s="282" t="s">
        <v>6246</v>
      </c>
      <c r="B1800" s="283" t="s">
        <v>4058</v>
      </c>
      <c r="C1800" s="283" t="s">
        <v>3277</v>
      </c>
      <c r="D1800" s="284" t="s">
        <v>6247</v>
      </c>
    </row>
    <row r="1801" spans="1:4" x14ac:dyDescent="0.3">
      <c r="A1801" s="282" t="s">
        <v>6248</v>
      </c>
      <c r="B1801" s="283" t="s">
        <v>2595</v>
      </c>
      <c r="C1801" s="283" t="s">
        <v>3277</v>
      </c>
      <c r="D1801" s="284" t="s">
        <v>6249</v>
      </c>
    </row>
    <row r="1802" spans="1:4" x14ac:dyDescent="0.3">
      <c r="A1802" s="282" t="s">
        <v>6250</v>
      </c>
      <c r="B1802" s="283" t="s">
        <v>4058</v>
      </c>
      <c r="C1802" s="283" t="s">
        <v>3277</v>
      </c>
      <c r="D1802" s="284" t="s">
        <v>6251</v>
      </c>
    </row>
    <row r="1803" spans="1:4" x14ac:dyDescent="0.3">
      <c r="A1803" s="282" t="s">
        <v>6252</v>
      </c>
      <c r="B1803" s="283" t="s">
        <v>2595</v>
      </c>
      <c r="C1803" s="283" t="s">
        <v>3277</v>
      </c>
      <c r="D1803" s="284" t="s">
        <v>6253</v>
      </c>
    </row>
    <row r="1804" spans="1:4" x14ac:dyDescent="0.3">
      <c r="A1804" s="282" t="s">
        <v>6254</v>
      </c>
      <c r="B1804" s="283" t="s">
        <v>4058</v>
      </c>
      <c r="C1804" s="283" t="s">
        <v>3277</v>
      </c>
      <c r="D1804" s="284" t="s">
        <v>6255</v>
      </c>
    </row>
    <row r="1805" spans="1:4" x14ac:dyDescent="0.3">
      <c r="A1805" s="282" t="s">
        <v>6256</v>
      </c>
      <c r="B1805" s="283" t="s">
        <v>2595</v>
      </c>
      <c r="C1805" s="283" t="s">
        <v>3277</v>
      </c>
      <c r="D1805" s="284" t="s">
        <v>6257</v>
      </c>
    </row>
    <row r="1806" spans="1:4" x14ac:dyDescent="0.3">
      <c r="A1806" s="282" t="s">
        <v>6258</v>
      </c>
      <c r="B1806" s="283" t="s">
        <v>4058</v>
      </c>
      <c r="C1806" s="283" t="s">
        <v>3277</v>
      </c>
      <c r="D1806" s="284" t="s">
        <v>6259</v>
      </c>
    </row>
    <row r="1807" spans="1:4" x14ac:dyDescent="0.3">
      <c r="A1807" s="282" t="s">
        <v>6260</v>
      </c>
      <c r="B1807" s="283" t="s">
        <v>2595</v>
      </c>
      <c r="C1807" s="283" t="s">
        <v>3277</v>
      </c>
      <c r="D1807" s="284" t="s">
        <v>6261</v>
      </c>
    </row>
    <row r="1808" spans="1:4" x14ac:dyDescent="0.3">
      <c r="A1808" s="282" t="s">
        <v>6262</v>
      </c>
      <c r="B1808" s="283" t="s">
        <v>4058</v>
      </c>
      <c r="C1808" s="283" t="s">
        <v>3277</v>
      </c>
      <c r="D1808" s="284" t="s">
        <v>6263</v>
      </c>
    </row>
    <row r="1809" spans="1:4" x14ac:dyDescent="0.3">
      <c r="A1809" s="282" t="s">
        <v>6264</v>
      </c>
      <c r="B1809" s="283" t="s">
        <v>2595</v>
      </c>
      <c r="C1809" s="283" t="s">
        <v>3277</v>
      </c>
      <c r="D1809" s="284" t="s">
        <v>6265</v>
      </c>
    </row>
    <row r="1810" spans="1:4" x14ac:dyDescent="0.3">
      <c r="A1810" s="282" t="s">
        <v>6266</v>
      </c>
      <c r="B1810" s="283" t="s">
        <v>4058</v>
      </c>
      <c r="C1810" s="283" t="s">
        <v>3277</v>
      </c>
      <c r="D1810" s="284" t="s">
        <v>6267</v>
      </c>
    </row>
    <row r="1811" spans="1:4" x14ac:dyDescent="0.3">
      <c r="A1811" s="282" t="s">
        <v>6268</v>
      </c>
      <c r="B1811" s="283" t="s">
        <v>2595</v>
      </c>
      <c r="C1811" s="283" t="s">
        <v>3277</v>
      </c>
      <c r="D1811" s="284" t="s">
        <v>6269</v>
      </c>
    </row>
    <row r="1812" spans="1:4" x14ac:dyDescent="0.3">
      <c r="A1812" s="282" t="s">
        <v>6270</v>
      </c>
      <c r="B1812" s="283" t="s">
        <v>4058</v>
      </c>
      <c r="C1812" s="283" t="s">
        <v>3277</v>
      </c>
      <c r="D1812" s="284" t="s">
        <v>6271</v>
      </c>
    </row>
    <row r="1813" spans="1:4" x14ac:dyDescent="0.3">
      <c r="A1813" s="282" t="s">
        <v>6272</v>
      </c>
      <c r="B1813" s="283" t="s">
        <v>3357</v>
      </c>
      <c r="C1813" s="283" t="s">
        <v>3346</v>
      </c>
      <c r="D1813" s="284" t="s">
        <v>6273</v>
      </c>
    </row>
    <row r="1814" spans="1:4" x14ac:dyDescent="0.3">
      <c r="A1814" s="282" t="s">
        <v>6274</v>
      </c>
      <c r="B1814" s="283" t="s">
        <v>3422</v>
      </c>
      <c r="C1814" s="283" t="s">
        <v>3346</v>
      </c>
      <c r="D1814" s="284" t="s">
        <v>6275</v>
      </c>
    </row>
    <row r="1815" spans="1:4" x14ac:dyDescent="0.3">
      <c r="A1815" s="282" t="s">
        <v>6276</v>
      </c>
      <c r="B1815" s="283" t="s">
        <v>3276</v>
      </c>
      <c r="C1815" s="283" t="s">
        <v>3346</v>
      </c>
      <c r="D1815" s="284" t="s">
        <v>6277</v>
      </c>
    </row>
    <row r="1816" spans="1:4" x14ac:dyDescent="0.3">
      <c r="A1816" s="282" t="s">
        <v>6278</v>
      </c>
      <c r="B1816" s="283" t="s">
        <v>3357</v>
      </c>
      <c r="C1816" s="283" t="s">
        <v>3346</v>
      </c>
      <c r="D1816" s="284" t="s">
        <v>6279</v>
      </c>
    </row>
    <row r="1817" spans="1:4" x14ac:dyDescent="0.3">
      <c r="A1817" s="282" t="s">
        <v>6280</v>
      </c>
      <c r="B1817" s="283" t="s">
        <v>2595</v>
      </c>
      <c r="C1817" s="283" t="s">
        <v>3277</v>
      </c>
      <c r="D1817" s="284" t="s">
        <v>6281</v>
      </c>
    </row>
    <row r="1818" spans="1:4" x14ac:dyDescent="0.3">
      <c r="A1818" s="282" t="s">
        <v>6282</v>
      </c>
      <c r="B1818" s="283" t="s">
        <v>4058</v>
      </c>
      <c r="C1818" s="283" t="s">
        <v>3277</v>
      </c>
      <c r="D1818" s="284" t="s">
        <v>6283</v>
      </c>
    </row>
    <row r="1819" spans="1:4" x14ac:dyDescent="0.3">
      <c r="A1819" s="282" t="s">
        <v>6284</v>
      </c>
      <c r="B1819" s="283" t="s">
        <v>4058</v>
      </c>
      <c r="C1819" s="283" t="s">
        <v>3277</v>
      </c>
      <c r="D1819" s="284" t="s">
        <v>6285</v>
      </c>
    </row>
    <row r="1820" spans="1:4" x14ac:dyDescent="0.3">
      <c r="A1820" s="282" t="s">
        <v>6286</v>
      </c>
      <c r="B1820" s="283" t="s">
        <v>4347</v>
      </c>
      <c r="C1820" s="283" t="s">
        <v>3281</v>
      </c>
      <c r="D1820" s="284" t="s">
        <v>6287</v>
      </c>
    </row>
    <row r="1821" spans="1:4" x14ac:dyDescent="0.3">
      <c r="A1821" s="282" t="s">
        <v>6288</v>
      </c>
      <c r="B1821" s="283" t="s">
        <v>6289</v>
      </c>
      <c r="C1821" s="283" t="s">
        <v>3277</v>
      </c>
      <c r="D1821" s="284" t="s">
        <v>6290</v>
      </c>
    </row>
    <row r="1822" spans="1:4" x14ac:dyDescent="0.3">
      <c r="A1822" s="282" t="s">
        <v>6291</v>
      </c>
      <c r="B1822" s="283" t="s">
        <v>3787</v>
      </c>
      <c r="C1822" s="283" t="s">
        <v>3776</v>
      </c>
      <c r="D1822" s="284" t="s">
        <v>6292</v>
      </c>
    </row>
    <row r="1823" spans="1:4" x14ac:dyDescent="0.3">
      <c r="A1823" s="282" t="s">
        <v>6293</v>
      </c>
      <c r="B1823" s="283" t="s">
        <v>3787</v>
      </c>
      <c r="C1823" s="283" t="s">
        <v>3776</v>
      </c>
      <c r="D1823" s="284" t="s">
        <v>6294</v>
      </c>
    </row>
    <row r="1824" spans="1:4" x14ac:dyDescent="0.3">
      <c r="A1824" s="282" t="s">
        <v>6295</v>
      </c>
      <c r="B1824" s="283" t="s">
        <v>3787</v>
      </c>
      <c r="C1824" s="283" t="s">
        <v>3776</v>
      </c>
      <c r="D1824" s="284" t="s">
        <v>6296</v>
      </c>
    </row>
    <row r="1825" spans="1:4" x14ac:dyDescent="0.3">
      <c r="A1825" s="282" t="s">
        <v>6297</v>
      </c>
      <c r="B1825" s="283" t="s">
        <v>3787</v>
      </c>
      <c r="C1825" s="283" t="s">
        <v>3776</v>
      </c>
      <c r="D1825" s="284" t="s">
        <v>6298</v>
      </c>
    </row>
    <row r="1826" spans="1:4" x14ac:dyDescent="0.3">
      <c r="A1826" s="282" t="s">
        <v>6297</v>
      </c>
      <c r="B1826" s="283" t="s">
        <v>3787</v>
      </c>
      <c r="C1826" s="283" t="s">
        <v>3776</v>
      </c>
      <c r="D1826" s="284" t="s">
        <v>6299</v>
      </c>
    </row>
    <row r="1827" spans="1:4" x14ac:dyDescent="0.3">
      <c r="A1827" s="282" t="s">
        <v>6300</v>
      </c>
      <c r="B1827" s="283" t="s">
        <v>3787</v>
      </c>
      <c r="C1827" s="283" t="s">
        <v>3776</v>
      </c>
      <c r="D1827" s="284" t="s">
        <v>6301</v>
      </c>
    </row>
    <row r="1828" spans="1:4" x14ac:dyDescent="0.3">
      <c r="A1828" s="282" t="s">
        <v>6302</v>
      </c>
      <c r="B1828" s="283" t="s">
        <v>3366</v>
      </c>
      <c r="C1828" s="283" t="s">
        <v>3346</v>
      </c>
      <c r="D1828" s="284" t="s">
        <v>6303</v>
      </c>
    </row>
    <row r="1829" spans="1:4" x14ac:dyDescent="0.3">
      <c r="A1829" s="282" t="s">
        <v>6304</v>
      </c>
      <c r="B1829" s="283" t="s">
        <v>4347</v>
      </c>
      <c r="C1829" s="283" t="s">
        <v>3281</v>
      </c>
      <c r="D1829" s="284" t="s">
        <v>6305</v>
      </c>
    </row>
    <row r="1830" spans="1:4" x14ac:dyDescent="0.3">
      <c r="A1830" s="282" t="s">
        <v>6306</v>
      </c>
      <c r="B1830" s="283" t="s">
        <v>3366</v>
      </c>
      <c r="C1830" s="283" t="s">
        <v>3346</v>
      </c>
      <c r="D1830" s="284" t="s">
        <v>6307</v>
      </c>
    </row>
    <row r="1831" spans="1:4" x14ac:dyDescent="0.3">
      <c r="A1831" s="282" t="s">
        <v>6308</v>
      </c>
      <c r="B1831" s="283" t="s">
        <v>3192</v>
      </c>
      <c r="C1831" s="283" t="s">
        <v>3183</v>
      </c>
      <c r="D1831" s="284" t="s">
        <v>6309</v>
      </c>
    </row>
    <row r="1832" spans="1:4" x14ac:dyDescent="0.3">
      <c r="A1832" s="282" t="s">
        <v>6310</v>
      </c>
      <c r="B1832" s="283" t="s">
        <v>3345</v>
      </c>
      <c r="C1832" s="283" t="s">
        <v>3346</v>
      </c>
      <c r="D1832" s="284" t="s">
        <v>6311</v>
      </c>
    </row>
    <row r="1833" spans="1:4" x14ac:dyDescent="0.3">
      <c r="A1833" s="282" t="s">
        <v>6312</v>
      </c>
      <c r="B1833" s="283" t="s">
        <v>3345</v>
      </c>
      <c r="C1833" s="283" t="s">
        <v>3346</v>
      </c>
      <c r="D1833" s="284" t="s">
        <v>6313</v>
      </c>
    </row>
    <row r="1834" spans="1:4" x14ac:dyDescent="0.3">
      <c r="A1834" s="282" t="s">
        <v>6312</v>
      </c>
      <c r="B1834" s="283" t="s">
        <v>3366</v>
      </c>
      <c r="C1834" s="283" t="s">
        <v>3346</v>
      </c>
      <c r="D1834" s="284" t="s">
        <v>6314</v>
      </c>
    </row>
    <row r="1835" spans="1:4" x14ac:dyDescent="0.3">
      <c r="A1835" s="282" t="s">
        <v>6315</v>
      </c>
      <c r="B1835" s="283" t="s">
        <v>4347</v>
      </c>
      <c r="C1835" s="283" t="s">
        <v>3281</v>
      </c>
      <c r="D1835" s="284" t="s">
        <v>6316</v>
      </c>
    </row>
    <row r="1836" spans="1:4" x14ac:dyDescent="0.3">
      <c r="A1836" s="282" t="s">
        <v>6317</v>
      </c>
      <c r="B1836" s="283" t="s">
        <v>3186</v>
      </c>
      <c r="C1836" s="283" t="s">
        <v>3183</v>
      </c>
      <c r="D1836" s="284" t="s">
        <v>6318</v>
      </c>
    </row>
    <row r="1837" spans="1:4" x14ac:dyDescent="0.3">
      <c r="A1837" s="282" t="s">
        <v>6319</v>
      </c>
      <c r="B1837" s="283" t="s">
        <v>2595</v>
      </c>
      <c r="C1837" s="283" t="s">
        <v>3277</v>
      </c>
      <c r="D1837" s="284" t="s">
        <v>6320</v>
      </c>
    </row>
    <row r="1838" spans="1:4" x14ac:dyDescent="0.3">
      <c r="A1838" s="282" t="s">
        <v>6321</v>
      </c>
      <c r="B1838" s="283" t="s">
        <v>4589</v>
      </c>
      <c r="C1838" s="283" t="s">
        <v>489</v>
      </c>
      <c r="D1838" s="284" t="s">
        <v>6322</v>
      </c>
    </row>
    <row r="1839" spans="1:4" x14ac:dyDescent="0.3">
      <c r="A1839" s="282" t="s">
        <v>6323</v>
      </c>
      <c r="B1839" s="283" t="s">
        <v>5880</v>
      </c>
      <c r="C1839" s="283" t="s">
        <v>3277</v>
      </c>
      <c r="D1839" s="284" t="s">
        <v>6324</v>
      </c>
    </row>
    <row r="1840" spans="1:4" x14ac:dyDescent="0.3">
      <c r="A1840" s="282" t="s">
        <v>6325</v>
      </c>
      <c r="B1840" s="283" t="s">
        <v>3787</v>
      </c>
      <c r="C1840" s="283" t="s">
        <v>3776</v>
      </c>
      <c r="D1840" s="284" t="s">
        <v>6326</v>
      </c>
    </row>
    <row r="1841" spans="1:4" x14ac:dyDescent="0.3">
      <c r="A1841" s="282" t="s">
        <v>6327</v>
      </c>
      <c r="B1841" s="283" t="s">
        <v>4589</v>
      </c>
      <c r="C1841" s="283" t="s">
        <v>489</v>
      </c>
      <c r="D1841" s="284" t="s">
        <v>6328</v>
      </c>
    </row>
    <row r="1842" spans="1:4" x14ac:dyDescent="0.3">
      <c r="A1842" s="282" t="s">
        <v>6329</v>
      </c>
      <c r="B1842" s="283" t="s">
        <v>3738</v>
      </c>
      <c r="C1842" s="283" t="s">
        <v>3496</v>
      </c>
      <c r="D1842" s="284" t="s">
        <v>6330</v>
      </c>
    </row>
    <row r="1843" spans="1:4" x14ac:dyDescent="0.3">
      <c r="A1843" s="282" t="s">
        <v>6331</v>
      </c>
      <c r="B1843" s="283" t="s">
        <v>3357</v>
      </c>
      <c r="C1843" s="283" t="s">
        <v>3346</v>
      </c>
      <c r="D1843" s="284" t="s">
        <v>6332</v>
      </c>
    </row>
    <row r="1844" spans="1:4" x14ac:dyDescent="0.3">
      <c r="A1844" s="282" t="s">
        <v>6333</v>
      </c>
      <c r="B1844" s="283" t="s">
        <v>2595</v>
      </c>
      <c r="C1844" s="283" t="s">
        <v>3277</v>
      </c>
      <c r="D1844" s="284" t="s">
        <v>6334</v>
      </c>
    </row>
    <row r="1845" spans="1:4" x14ac:dyDescent="0.3">
      <c r="A1845" s="282" t="s">
        <v>6335</v>
      </c>
      <c r="B1845" s="283" t="s">
        <v>4589</v>
      </c>
      <c r="C1845" s="283" t="s">
        <v>489</v>
      </c>
      <c r="D1845" s="284" t="s">
        <v>6336</v>
      </c>
    </row>
    <row r="1846" spans="1:4" x14ac:dyDescent="0.3">
      <c r="A1846" s="282" t="s">
        <v>6337</v>
      </c>
      <c r="B1846" s="283" t="s">
        <v>3218</v>
      </c>
      <c r="C1846" s="283" t="s">
        <v>489</v>
      </c>
      <c r="D1846" s="284" t="s">
        <v>6338</v>
      </c>
    </row>
    <row r="1847" spans="1:4" x14ac:dyDescent="0.3">
      <c r="A1847" s="282" t="s">
        <v>6339</v>
      </c>
      <c r="B1847" s="283" t="s">
        <v>4515</v>
      </c>
      <c r="C1847" s="283" t="s">
        <v>3281</v>
      </c>
      <c r="D1847" s="284" t="s">
        <v>6340</v>
      </c>
    </row>
    <row r="1848" spans="1:4" x14ac:dyDescent="0.3">
      <c r="A1848" s="282" t="s">
        <v>6341</v>
      </c>
      <c r="B1848" s="283" t="s">
        <v>3949</v>
      </c>
      <c r="C1848" s="283" t="s">
        <v>3906</v>
      </c>
      <c r="D1848" s="284" t="s">
        <v>6342</v>
      </c>
    </row>
    <row r="1849" spans="1:4" x14ac:dyDescent="0.3">
      <c r="A1849" s="282" t="s">
        <v>6343</v>
      </c>
      <c r="B1849" s="283" t="s">
        <v>2596</v>
      </c>
      <c r="C1849" s="283" t="s">
        <v>3277</v>
      </c>
      <c r="D1849" s="284" t="s">
        <v>6344</v>
      </c>
    </row>
    <row r="1850" spans="1:4" x14ac:dyDescent="0.3">
      <c r="A1850" s="282" t="s">
        <v>6345</v>
      </c>
      <c r="B1850" s="283" t="s">
        <v>3914</v>
      </c>
      <c r="C1850" s="283" t="s">
        <v>3906</v>
      </c>
      <c r="D1850" s="284" t="s">
        <v>6346</v>
      </c>
    </row>
    <row r="1851" spans="1:4" x14ac:dyDescent="0.3">
      <c r="A1851" s="282" t="s">
        <v>6347</v>
      </c>
      <c r="B1851" s="283" t="s">
        <v>3687</v>
      </c>
      <c r="C1851" s="283" t="s">
        <v>3776</v>
      </c>
      <c r="D1851" s="284" t="s">
        <v>6348</v>
      </c>
    </row>
    <row r="1852" spans="1:4" x14ac:dyDescent="0.3">
      <c r="A1852" s="282" t="s">
        <v>6349</v>
      </c>
      <c r="B1852" s="283" t="s">
        <v>3687</v>
      </c>
      <c r="C1852" s="283" t="s">
        <v>2846</v>
      </c>
      <c r="D1852" s="284" t="s">
        <v>6350</v>
      </c>
    </row>
    <row r="1853" spans="1:4" x14ac:dyDescent="0.3">
      <c r="A1853" s="282" t="s">
        <v>6351</v>
      </c>
      <c r="B1853" s="283" t="s">
        <v>4589</v>
      </c>
      <c r="C1853" s="283" t="s">
        <v>489</v>
      </c>
      <c r="D1853" s="284" t="s">
        <v>6352</v>
      </c>
    </row>
    <row r="1854" spans="1:4" x14ac:dyDescent="0.3">
      <c r="A1854" s="282" t="s">
        <v>6353</v>
      </c>
      <c r="B1854" s="283" t="s">
        <v>4589</v>
      </c>
      <c r="C1854" s="283" t="s">
        <v>489</v>
      </c>
      <c r="D1854" s="284" t="s">
        <v>6354</v>
      </c>
    </row>
    <row r="1855" spans="1:4" x14ac:dyDescent="0.3">
      <c r="A1855" s="282" t="s">
        <v>6355</v>
      </c>
      <c r="B1855" s="283" t="s">
        <v>3366</v>
      </c>
      <c r="C1855" s="283" t="s">
        <v>3346</v>
      </c>
      <c r="D1855" s="284" t="s">
        <v>6356</v>
      </c>
    </row>
    <row r="1856" spans="1:4" x14ac:dyDescent="0.3">
      <c r="A1856" s="282" t="s">
        <v>6357</v>
      </c>
      <c r="B1856" s="283" t="s">
        <v>4503</v>
      </c>
      <c r="C1856" s="283" t="s">
        <v>3281</v>
      </c>
      <c r="D1856" s="284" t="s">
        <v>6358</v>
      </c>
    </row>
    <row r="1857" spans="1:4" x14ac:dyDescent="0.3">
      <c r="A1857" s="282" t="s">
        <v>6359</v>
      </c>
      <c r="B1857" s="283" t="s">
        <v>6360</v>
      </c>
      <c r="C1857" s="283" t="s">
        <v>3281</v>
      </c>
      <c r="D1857" s="284" t="s">
        <v>6361</v>
      </c>
    </row>
    <row r="1858" spans="1:4" x14ac:dyDescent="0.3">
      <c r="A1858" s="282" t="s">
        <v>6362</v>
      </c>
      <c r="B1858" s="283" t="s">
        <v>6143</v>
      </c>
      <c r="C1858" s="283" t="s">
        <v>3281</v>
      </c>
      <c r="D1858" s="284" t="s">
        <v>6363</v>
      </c>
    </row>
    <row r="1859" spans="1:4" x14ac:dyDescent="0.3">
      <c r="A1859" s="282" t="s">
        <v>6364</v>
      </c>
      <c r="B1859" s="283" t="s">
        <v>6365</v>
      </c>
      <c r="C1859" s="283" t="s">
        <v>3281</v>
      </c>
      <c r="D1859" s="284" t="s">
        <v>6366</v>
      </c>
    </row>
    <row r="1860" spans="1:4" x14ac:dyDescent="0.3">
      <c r="A1860" s="282" t="s">
        <v>6367</v>
      </c>
      <c r="B1860" s="283" t="s">
        <v>2708</v>
      </c>
      <c r="C1860" s="283" t="s">
        <v>2846</v>
      </c>
      <c r="D1860" s="284" t="s">
        <v>6368</v>
      </c>
    </row>
    <row r="1861" spans="1:4" x14ac:dyDescent="0.3">
      <c r="A1861" s="282" t="s">
        <v>6369</v>
      </c>
      <c r="B1861" s="283" t="s">
        <v>6370</v>
      </c>
      <c r="C1861" s="283" t="s">
        <v>3906</v>
      </c>
      <c r="D1861" s="284" t="s">
        <v>6371</v>
      </c>
    </row>
    <row r="1862" spans="1:4" x14ac:dyDescent="0.3">
      <c r="A1862" s="282" t="s">
        <v>6372</v>
      </c>
      <c r="B1862" s="283" t="s">
        <v>6373</v>
      </c>
      <c r="C1862" s="283" t="s">
        <v>3906</v>
      </c>
      <c r="D1862" s="284" t="s">
        <v>6374</v>
      </c>
    </row>
    <row r="1863" spans="1:4" x14ac:dyDescent="0.3">
      <c r="A1863" s="282" t="s">
        <v>6375</v>
      </c>
      <c r="B1863" s="283" t="s">
        <v>2708</v>
      </c>
      <c r="C1863" s="283" t="s">
        <v>3906</v>
      </c>
      <c r="D1863" s="284" t="s">
        <v>6376</v>
      </c>
    </row>
    <row r="1864" spans="1:4" x14ac:dyDescent="0.3">
      <c r="A1864" s="282" t="s">
        <v>6377</v>
      </c>
      <c r="B1864" s="283" t="s">
        <v>6378</v>
      </c>
      <c r="C1864" s="283" t="s">
        <v>6379</v>
      </c>
      <c r="D1864" s="284" t="s">
        <v>6380</v>
      </c>
    </row>
    <row r="1865" spans="1:4" x14ac:dyDescent="0.3">
      <c r="A1865" s="282" t="s">
        <v>6381</v>
      </c>
      <c r="B1865" s="283" t="s">
        <v>6378</v>
      </c>
      <c r="C1865" s="283" t="s">
        <v>6379</v>
      </c>
      <c r="D1865" s="284" t="s">
        <v>6382</v>
      </c>
    </row>
    <row r="1866" spans="1:4" x14ac:dyDescent="0.3">
      <c r="A1866" s="282" t="s">
        <v>6383</v>
      </c>
      <c r="B1866" s="283" t="s">
        <v>6378</v>
      </c>
      <c r="C1866" s="283" t="s">
        <v>6379</v>
      </c>
      <c r="D1866" s="284" t="s">
        <v>6384</v>
      </c>
    </row>
    <row r="1867" spans="1:4" x14ac:dyDescent="0.3">
      <c r="A1867" s="282" t="s">
        <v>6385</v>
      </c>
      <c r="B1867" s="283" t="s">
        <v>6378</v>
      </c>
      <c r="C1867" s="283" t="s">
        <v>6379</v>
      </c>
      <c r="D1867" s="284" t="s">
        <v>6386</v>
      </c>
    </row>
    <row r="1868" spans="1:4" x14ac:dyDescent="0.3">
      <c r="A1868" s="282" t="s">
        <v>6387</v>
      </c>
      <c r="B1868" s="283" t="s">
        <v>6378</v>
      </c>
      <c r="C1868" s="283" t="s">
        <v>6379</v>
      </c>
      <c r="D1868" s="284" t="s">
        <v>6388</v>
      </c>
    </row>
    <row r="1869" spans="1:4" x14ac:dyDescent="0.3">
      <c r="A1869" s="282" t="s">
        <v>6389</v>
      </c>
      <c r="B1869" s="283" t="s">
        <v>6378</v>
      </c>
      <c r="C1869" s="283" t="s">
        <v>6379</v>
      </c>
      <c r="D1869" s="284" t="s">
        <v>6390</v>
      </c>
    </row>
    <row r="1870" spans="1:4" x14ac:dyDescent="0.3">
      <c r="A1870" s="282" t="s">
        <v>6391</v>
      </c>
      <c r="B1870" s="283" t="s">
        <v>6378</v>
      </c>
      <c r="C1870" s="283" t="s">
        <v>6379</v>
      </c>
      <c r="D1870" s="284" t="s">
        <v>6392</v>
      </c>
    </row>
    <row r="1871" spans="1:4" x14ac:dyDescent="0.3">
      <c r="A1871" s="282" t="s">
        <v>6393</v>
      </c>
      <c r="B1871" s="283" t="s">
        <v>6378</v>
      </c>
      <c r="C1871" s="283" t="s">
        <v>6379</v>
      </c>
      <c r="D1871" s="284" t="s">
        <v>6394</v>
      </c>
    </row>
    <row r="1872" spans="1:4" x14ac:dyDescent="0.3">
      <c r="A1872" s="282" t="s">
        <v>6395</v>
      </c>
      <c r="B1872" s="283" t="s">
        <v>6378</v>
      </c>
      <c r="C1872" s="283" t="s">
        <v>6379</v>
      </c>
      <c r="D1872" s="284" t="s">
        <v>6396</v>
      </c>
    </row>
    <row r="1873" spans="1:4" x14ac:dyDescent="0.3">
      <c r="A1873" s="282" t="s">
        <v>6397</v>
      </c>
      <c r="B1873" s="283" t="s">
        <v>6378</v>
      </c>
      <c r="C1873" s="283" t="s">
        <v>6379</v>
      </c>
      <c r="D1873" s="284" t="s">
        <v>6398</v>
      </c>
    </row>
    <row r="1874" spans="1:4" x14ac:dyDescent="0.3">
      <c r="A1874" s="282" t="s">
        <v>6399</v>
      </c>
      <c r="B1874" s="283" t="s">
        <v>3715</v>
      </c>
      <c r="C1874" s="283" t="s">
        <v>6379</v>
      </c>
      <c r="D1874" s="284" t="s">
        <v>6400</v>
      </c>
    </row>
    <row r="1875" spans="1:4" x14ac:dyDescent="0.3">
      <c r="A1875" s="282" t="s">
        <v>6401</v>
      </c>
      <c r="B1875" s="283" t="s">
        <v>3715</v>
      </c>
      <c r="C1875" s="283" t="s">
        <v>6379</v>
      </c>
      <c r="D1875" s="284" t="s">
        <v>6402</v>
      </c>
    </row>
    <row r="1876" spans="1:4" x14ac:dyDescent="0.3">
      <c r="A1876" s="282" t="s">
        <v>6403</v>
      </c>
      <c r="B1876" s="283" t="s">
        <v>3715</v>
      </c>
      <c r="C1876" s="283" t="s">
        <v>6379</v>
      </c>
      <c r="D1876" s="284" t="s">
        <v>6404</v>
      </c>
    </row>
    <row r="1877" spans="1:4" x14ac:dyDescent="0.3">
      <c r="A1877" s="282" t="s">
        <v>6405</v>
      </c>
      <c r="B1877" s="283" t="s">
        <v>3715</v>
      </c>
      <c r="C1877" s="283" t="s">
        <v>6379</v>
      </c>
      <c r="D1877" s="284" t="s">
        <v>6406</v>
      </c>
    </row>
    <row r="1878" spans="1:4" x14ac:dyDescent="0.3">
      <c r="A1878" s="282" t="s">
        <v>6407</v>
      </c>
      <c r="B1878" s="283" t="s">
        <v>3715</v>
      </c>
      <c r="C1878" s="283" t="s">
        <v>6379</v>
      </c>
      <c r="D1878" s="284" t="s">
        <v>6408</v>
      </c>
    </row>
    <row r="1879" spans="1:4" x14ac:dyDescent="0.3">
      <c r="A1879" s="282" t="s">
        <v>6409</v>
      </c>
      <c r="B1879" s="283" t="s">
        <v>3715</v>
      </c>
      <c r="C1879" s="283" t="s">
        <v>6379</v>
      </c>
      <c r="D1879" s="284" t="s">
        <v>6410</v>
      </c>
    </row>
    <row r="1880" spans="1:4" x14ac:dyDescent="0.3">
      <c r="A1880" s="282" t="s">
        <v>6411</v>
      </c>
      <c r="B1880" s="283" t="s">
        <v>3715</v>
      </c>
      <c r="C1880" s="283" t="s">
        <v>6379</v>
      </c>
      <c r="D1880" s="284" t="s">
        <v>6412</v>
      </c>
    </row>
    <row r="1881" spans="1:4" x14ac:dyDescent="0.3">
      <c r="A1881" s="282" t="s">
        <v>6413</v>
      </c>
      <c r="B1881" s="283" t="s">
        <v>3715</v>
      </c>
      <c r="C1881" s="283" t="s">
        <v>6379</v>
      </c>
      <c r="D1881" s="284" t="s">
        <v>6414</v>
      </c>
    </row>
    <row r="1882" spans="1:4" x14ac:dyDescent="0.3">
      <c r="A1882" s="282" t="s">
        <v>6415</v>
      </c>
      <c r="B1882" s="283" t="s">
        <v>6378</v>
      </c>
      <c r="C1882" s="283" t="s">
        <v>6379</v>
      </c>
      <c r="D1882" s="284" t="s">
        <v>6416</v>
      </c>
    </row>
    <row r="1883" spans="1:4" x14ac:dyDescent="0.3">
      <c r="A1883" s="282" t="s">
        <v>6417</v>
      </c>
      <c r="B1883" s="283" t="s">
        <v>6378</v>
      </c>
      <c r="C1883" s="283" t="s">
        <v>6379</v>
      </c>
      <c r="D1883" s="284" t="s">
        <v>6418</v>
      </c>
    </row>
    <row r="1884" spans="1:4" x14ac:dyDescent="0.3">
      <c r="A1884" s="282" t="s">
        <v>6419</v>
      </c>
      <c r="B1884" s="283" t="s">
        <v>3715</v>
      </c>
      <c r="C1884" s="283" t="s">
        <v>3906</v>
      </c>
      <c r="D1884" s="284" t="s">
        <v>6420</v>
      </c>
    </row>
    <row r="1885" spans="1:4" x14ac:dyDescent="0.3">
      <c r="A1885" s="282" t="s">
        <v>6421</v>
      </c>
      <c r="B1885" s="283" t="s">
        <v>6422</v>
      </c>
      <c r="C1885" s="283" t="s">
        <v>3277</v>
      </c>
      <c r="D1885" s="284" t="s">
        <v>6423</v>
      </c>
    </row>
    <row r="1886" spans="1:4" x14ac:dyDescent="0.3">
      <c r="A1886" s="282" t="s">
        <v>6424</v>
      </c>
      <c r="B1886" s="283" t="s">
        <v>6425</v>
      </c>
      <c r="C1886" s="283" t="s">
        <v>3277</v>
      </c>
      <c r="D1886" s="284" t="s">
        <v>6426</v>
      </c>
    </row>
    <row r="1887" spans="1:4" x14ac:dyDescent="0.3">
      <c r="A1887" s="282" t="s">
        <v>6427</v>
      </c>
      <c r="B1887" s="283" t="s">
        <v>4096</v>
      </c>
      <c r="C1887" s="283" t="s">
        <v>3277</v>
      </c>
      <c r="D1887" s="284" t="s">
        <v>6428</v>
      </c>
    </row>
    <row r="1888" spans="1:4" x14ac:dyDescent="0.3">
      <c r="A1888" s="282" t="s">
        <v>6429</v>
      </c>
      <c r="B1888" s="283" t="s">
        <v>6289</v>
      </c>
      <c r="C1888" s="283" t="s">
        <v>3277</v>
      </c>
      <c r="D1888" s="284" t="s">
        <v>6430</v>
      </c>
    </row>
    <row r="1889" spans="1:4" x14ac:dyDescent="0.3">
      <c r="A1889" s="282" t="s">
        <v>6431</v>
      </c>
      <c r="B1889" s="283" t="s">
        <v>3893</v>
      </c>
      <c r="C1889" s="283" t="s">
        <v>3776</v>
      </c>
      <c r="D1889" s="284" t="s">
        <v>6432</v>
      </c>
    </row>
    <row r="1890" spans="1:4" x14ac:dyDescent="0.3">
      <c r="A1890" s="282" t="s">
        <v>6433</v>
      </c>
      <c r="B1890" s="283" t="s">
        <v>2708</v>
      </c>
      <c r="C1890" s="283" t="s">
        <v>3776</v>
      </c>
      <c r="D1890" s="284" t="s">
        <v>6434</v>
      </c>
    </row>
    <row r="1891" spans="1:4" x14ac:dyDescent="0.3">
      <c r="A1891" s="282" t="s">
        <v>6435</v>
      </c>
      <c r="B1891" s="283" t="s">
        <v>3700</v>
      </c>
      <c r="C1891" s="283" t="s">
        <v>3776</v>
      </c>
      <c r="D1891" s="284" t="s">
        <v>6436</v>
      </c>
    </row>
    <row r="1892" spans="1:4" x14ac:dyDescent="0.3">
      <c r="A1892" s="282" t="s">
        <v>6437</v>
      </c>
      <c r="B1892" s="283" t="s">
        <v>6198</v>
      </c>
      <c r="C1892" s="283" t="s">
        <v>3496</v>
      </c>
      <c r="D1892" s="284" t="s">
        <v>6438</v>
      </c>
    </row>
    <row r="1893" spans="1:4" x14ac:dyDescent="0.3">
      <c r="A1893" s="282" t="s">
        <v>6439</v>
      </c>
      <c r="B1893" s="283" t="s">
        <v>6440</v>
      </c>
      <c r="C1893" s="283" t="s">
        <v>3496</v>
      </c>
      <c r="D1893" s="284" t="s">
        <v>6441</v>
      </c>
    </row>
    <row r="1894" spans="1:4" x14ac:dyDescent="0.3">
      <c r="A1894" s="282" t="s">
        <v>6442</v>
      </c>
      <c r="B1894" s="283" t="s">
        <v>6443</v>
      </c>
      <c r="C1894" s="283" t="s">
        <v>3496</v>
      </c>
      <c r="D1894" s="284" t="s">
        <v>6444</v>
      </c>
    </row>
    <row r="1895" spans="1:4" x14ac:dyDescent="0.3">
      <c r="A1895" s="282" t="s">
        <v>6445</v>
      </c>
      <c r="B1895" s="283" t="s">
        <v>6446</v>
      </c>
      <c r="C1895" s="283" t="s">
        <v>3496</v>
      </c>
      <c r="D1895" s="284" t="s">
        <v>6447</v>
      </c>
    </row>
    <row r="1896" spans="1:4" x14ac:dyDescent="0.3">
      <c r="A1896" s="282" t="s">
        <v>6448</v>
      </c>
      <c r="B1896" s="283" t="s">
        <v>3715</v>
      </c>
      <c r="C1896" s="283" t="s">
        <v>3496</v>
      </c>
      <c r="D1896" s="284" t="s">
        <v>6449</v>
      </c>
    </row>
    <row r="1897" spans="1:4" x14ac:dyDescent="0.3">
      <c r="A1897" s="282" t="s">
        <v>6450</v>
      </c>
      <c r="B1897" s="283" t="s">
        <v>3837</v>
      </c>
      <c r="C1897" s="283" t="s">
        <v>3496</v>
      </c>
      <c r="D1897" s="284" t="s">
        <v>6451</v>
      </c>
    </row>
    <row r="1898" spans="1:4" x14ac:dyDescent="0.3">
      <c r="A1898" s="282" t="s">
        <v>6452</v>
      </c>
      <c r="B1898" s="283" t="s">
        <v>6446</v>
      </c>
      <c r="C1898" s="283" t="s">
        <v>3496</v>
      </c>
      <c r="D1898" s="284" t="s">
        <v>6453</v>
      </c>
    </row>
    <row r="1899" spans="1:4" x14ac:dyDescent="0.3">
      <c r="A1899" s="282" t="s">
        <v>6454</v>
      </c>
      <c r="B1899" s="283" t="s">
        <v>4683</v>
      </c>
      <c r="C1899" s="283" t="s">
        <v>3183</v>
      </c>
      <c r="D1899" s="284" t="s">
        <v>6455</v>
      </c>
    </row>
    <row r="1900" spans="1:4" x14ac:dyDescent="0.3">
      <c r="A1900" s="282" t="s">
        <v>6456</v>
      </c>
      <c r="B1900" s="283" t="s">
        <v>3715</v>
      </c>
      <c r="C1900" s="283" t="s">
        <v>3906</v>
      </c>
      <c r="D1900" s="284" t="s">
        <v>6457</v>
      </c>
    </row>
    <row r="1901" spans="1:4" x14ac:dyDescent="0.3">
      <c r="A1901" s="282" t="s">
        <v>6458</v>
      </c>
      <c r="B1901" s="283" t="s">
        <v>3252</v>
      </c>
      <c r="C1901" s="283" t="s">
        <v>3183</v>
      </c>
      <c r="D1901" s="284" t="s">
        <v>6459</v>
      </c>
    </row>
    <row r="1902" spans="1:4" x14ac:dyDescent="0.3">
      <c r="A1902" s="282" t="s">
        <v>6460</v>
      </c>
      <c r="B1902" s="283" t="s">
        <v>6461</v>
      </c>
      <c r="C1902" s="283" t="s">
        <v>3906</v>
      </c>
      <c r="D1902" s="284" t="s">
        <v>6462</v>
      </c>
    </row>
    <row r="1903" spans="1:4" x14ac:dyDescent="0.3">
      <c r="A1903" s="282" t="s">
        <v>6463</v>
      </c>
      <c r="B1903" s="283" t="s">
        <v>4058</v>
      </c>
      <c r="C1903" s="283" t="s">
        <v>3277</v>
      </c>
      <c r="D1903" s="284" t="s">
        <v>6464</v>
      </c>
    </row>
    <row r="1904" spans="1:4" x14ac:dyDescent="0.3">
      <c r="A1904" s="282" t="s">
        <v>6465</v>
      </c>
      <c r="B1904" s="283" t="s">
        <v>4058</v>
      </c>
      <c r="C1904" s="283" t="s">
        <v>3277</v>
      </c>
      <c r="D1904" s="284" t="s">
        <v>6466</v>
      </c>
    </row>
    <row r="1905" spans="1:4" x14ac:dyDescent="0.3">
      <c r="A1905" s="282" t="s">
        <v>6467</v>
      </c>
      <c r="B1905" s="283" t="s">
        <v>4058</v>
      </c>
      <c r="C1905" s="283" t="s">
        <v>3277</v>
      </c>
      <c r="D1905" s="284" t="s">
        <v>6468</v>
      </c>
    </row>
    <row r="1906" spans="1:4" x14ac:dyDescent="0.3">
      <c r="A1906" s="282" t="s">
        <v>6469</v>
      </c>
      <c r="B1906" s="283" t="s">
        <v>4058</v>
      </c>
      <c r="C1906" s="283" t="s">
        <v>3277</v>
      </c>
      <c r="D1906" s="284" t="s">
        <v>6470</v>
      </c>
    </row>
    <row r="1907" spans="1:4" x14ac:dyDescent="0.3">
      <c r="A1907" s="282" t="s">
        <v>6471</v>
      </c>
      <c r="B1907" s="283" t="s">
        <v>4058</v>
      </c>
      <c r="C1907" s="283" t="s">
        <v>3277</v>
      </c>
      <c r="D1907" s="284" t="s">
        <v>6472</v>
      </c>
    </row>
    <row r="1908" spans="1:4" x14ac:dyDescent="0.3">
      <c r="A1908" s="282" t="s">
        <v>6473</v>
      </c>
      <c r="B1908" s="283" t="s">
        <v>4347</v>
      </c>
      <c r="C1908" s="283" t="s">
        <v>3281</v>
      </c>
      <c r="D1908" s="284" t="s">
        <v>6474</v>
      </c>
    </row>
    <row r="1909" spans="1:4" x14ac:dyDescent="0.3">
      <c r="A1909" s="282" t="s">
        <v>6475</v>
      </c>
      <c r="B1909" s="283" t="s">
        <v>4058</v>
      </c>
      <c r="C1909" s="283" t="s">
        <v>3277</v>
      </c>
      <c r="D1909" s="284" t="s">
        <v>6476</v>
      </c>
    </row>
    <row r="1910" spans="1:4" x14ac:dyDescent="0.3">
      <c r="A1910" s="282" t="s">
        <v>6477</v>
      </c>
      <c r="B1910" s="283" t="s">
        <v>4347</v>
      </c>
      <c r="C1910" s="283" t="s">
        <v>3281</v>
      </c>
      <c r="D1910" s="284" t="s">
        <v>6478</v>
      </c>
    </row>
    <row r="1911" spans="1:4" x14ac:dyDescent="0.3">
      <c r="A1911" s="282" t="s">
        <v>6479</v>
      </c>
      <c r="B1911" s="283" t="s">
        <v>6480</v>
      </c>
      <c r="C1911" s="283" t="s">
        <v>3496</v>
      </c>
      <c r="D1911" s="284" t="s">
        <v>6481</v>
      </c>
    </row>
    <row r="1912" spans="1:4" x14ac:dyDescent="0.3">
      <c r="A1912" s="282" t="s">
        <v>6482</v>
      </c>
      <c r="B1912" s="283" t="s">
        <v>3949</v>
      </c>
      <c r="C1912" s="283" t="s">
        <v>3906</v>
      </c>
      <c r="D1912" s="284" t="s">
        <v>6483</v>
      </c>
    </row>
    <row r="1913" spans="1:4" x14ac:dyDescent="0.3">
      <c r="A1913" s="282" t="s">
        <v>6484</v>
      </c>
      <c r="B1913" s="283" t="s">
        <v>3204</v>
      </c>
      <c r="C1913" s="283" t="s">
        <v>3183</v>
      </c>
      <c r="D1913" s="284" t="s">
        <v>6485</v>
      </c>
    </row>
    <row r="1914" spans="1:4" x14ac:dyDescent="0.3">
      <c r="A1914" s="282" t="s">
        <v>6486</v>
      </c>
      <c r="B1914" s="283" t="s">
        <v>4589</v>
      </c>
      <c r="C1914" s="283" t="s">
        <v>489</v>
      </c>
      <c r="D1914" s="284" t="s">
        <v>6487</v>
      </c>
    </row>
    <row r="1915" spans="1:4" x14ac:dyDescent="0.3">
      <c r="A1915" s="282" t="s">
        <v>6488</v>
      </c>
      <c r="B1915" s="283" t="s">
        <v>4589</v>
      </c>
      <c r="C1915" s="283" t="s">
        <v>489</v>
      </c>
      <c r="D1915" s="284" t="s">
        <v>6489</v>
      </c>
    </row>
    <row r="1916" spans="1:4" x14ac:dyDescent="0.3">
      <c r="A1916" s="282" t="s">
        <v>6490</v>
      </c>
      <c r="B1916" s="283" t="s">
        <v>3204</v>
      </c>
      <c r="C1916" s="283" t="s">
        <v>3183</v>
      </c>
      <c r="D1916" s="284" t="s">
        <v>6491</v>
      </c>
    </row>
    <row r="1917" spans="1:4" x14ac:dyDescent="0.3">
      <c r="A1917" s="282" t="s">
        <v>6492</v>
      </c>
      <c r="B1917" s="283" t="s">
        <v>3204</v>
      </c>
      <c r="C1917" s="283" t="s">
        <v>3183</v>
      </c>
      <c r="D1917" s="284" t="s">
        <v>6493</v>
      </c>
    </row>
    <row r="1918" spans="1:4" x14ac:dyDescent="0.3">
      <c r="A1918" s="282" t="s">
        <v>6494</v>
      </c>
      <c r="B1918" s="283" t="s">
        <v>4058</v>
      </c>
      <c r="C1918" s="283" t="s">
        <v>3277</v>
      </c>
      <c r="D1918" s="284" t="s">
        <v>5624</v>
      </c>
    </row>
    <row r="1919" spans="1:4" x14ac:dyDescent="0.3">
      <c r="A1919" s="282" t="s">
        <v>6495</v>
      </c>
      <c r="B1919" s="283" t="s">
        <v>2593</v>
      </c>
      <c r="C1919" s="283" t="s">
        <v>3183</v>
      </c>
      <c r="D1919" s="284" t="s">
        <v>6496</v>
      </c>
    </row>
    <row r="1920" spans="1:4" x14ac:dyDescent="0.3">
      <c r="A1920" s="282" t="s">
        <v>6497</v>
      </c>
      <c r="B1920" s="283" t="s">
        <v>2593</v>
      </c>
      <c r="C1920" s="283" t="s">
        <v>3183</v>
      </c>
      <c r="D1920" s="284" t="s">
        <v>6498</v>
      </c>
    </row>
    <row r="1921" spans="1:4" x14ac:dyDescent="0.3">
      <c r="A1921" s="282" t="s">
        <v>6499</v>
      </c>
      <c r="B1921" s="283" t="s">
        <v>4683</v>
      </c>
      <c r="C1921" s="283" t="s">
        <v>3183</v>
      </c>
      <c r="D1921" s="284" t="s">
        <v>6500</v>
      </c>
    </row>
    <row r="1922" spans="1:4" x14ac:dyDescent="0.3">
      <c r="A1922" s="282" t="s">
        <v>6501</v>
      </c>
      <c r="B1922" s="283" t="s">
        <v>3186</v>
      </c>
      <c r="C1922" s="283" t="s">
        <v>3183</v>
      </c>
      <c r="D1922" s="284" t="s">
        <v>6502</v>
      </c>
    </row>
    <row r="1923" spans="1:4" x14ac:dyDescent="0.3">
      <c r="A1923" s="282" t="s">
        <v>6503</v>
      </c>
      <c r="B1923" s="283" t="s">
        <v>3215</v>
      </c>
      <c r="C1923" s="283" t="s">
        <v>3183</v>
      </c>
      <c r="D1923" s="284" t="s">
        <v>6504</v>
      </c>
    </row>
    <row r="1924" spans="1:4" x14ac:dyDescent="0.3">
      <c r="A1924" s="282" t="s">
        <v>6505</v>
      </c>
      <c r="B1924" s="283" t="s">
        <v>3204</v>
      </c>
      <c r="C1924" s="283" t="s">
        <v>3183</v>
      </c>
      <c r="D1924" s="284" t="s">
        <v>6506</v>
      </c>
    </row>
    <row r="1925" spans="1:4" x14ac:dyDescent="0.3">
      <c r="A1925" s="282" t="s">
        <v>6507</v>
      </c>
      <c r="B1925" s="283" t="s">
        <v>3298</v>
      </c>
      <c r="C1925" s="283" t="s">
        <v>3183</v>
      </c>
      <c r="D1925" s="284" t="s">
        <v>6508</v>
      </c>
    </row>
    <row r="1926" spans="1:4" x14ac:dyDescent="0.3">
      <c r="A1926" s="282" t="s">
        <v>6509</v>
      </c>
      <c r="B1926" s="283" t="s">
        <v>3186</v>
      </c>
      <c r="C1926" s="283" t="s">
        <v>3183</v>
      </c>
      <c r="D1926" s="284" t="s">
        <v>6510</v>
      </c>
    </row>
    <row r="1927" spans="1:4" x14ac:dyDescent="0.3">
      <c r="A1927" s="282" t="s">
        <v>6511</v>
      </c>
      <c r="B1927" s="283" t="s">
        <v>3186</v>
      </c>
      <c r="C1927" s="283" t="s">
        <v>3183</v>
      </c>
      <c r="D1927" s="284" t="s">
        <v>6512</v>
      </c>
    </row>
    <row r="1928" spans="1:4" x14ac:dyDescent="0.3">
      <c r="A1928" s="282" t="s">
        <v>6513</v>
      </c>
      <c r="B1928" s="283" t="s">
        <v>3357</v>
      </c>
      <c r="C1928" s="283" t="s">
        <v>3346</v>
      </c>
      <c r="D1928" s="284" t="s">
        <v>6514</v>
      </c>
    </row>
    <row r="1929" spans="1:4" x14ac:dyDescent="0.3">
      <c r="A1929" s="282" t="s">
        <v>6515</v>
      </c>
      <c r="B1929" s="283" t="s">
        <v>3715</v>
      </c>
      <c r="C1929" s="283" t="s">
        <v>489</v>
      </c>
      <c r="D1929" s="284" t="s">
        <v>6516</v>
      </c>
    </row>
    <row r="1930" spans="1:4" x14ac:dyDescent="0.3">
      <c r="A1930" s="282" t="s">
        <v>6517</v>
      </c>
      <c r="B1930" s="283" t="s">
        <v>3204</v>
      </c>
      <c r="C1930" s="283" t="s">
        <v>3183</v>
      </c>
      <c r="D1930" s="284" t="s">
        <v>6518</v>
      </c>
    </row>
    <row r="1931" spans="1:4" x14ac:dyDescent="0.3">
      <c r="A1931" s="282" t="s">
        <v>6519</v>
      </c>
      <c r="B1931" s="283" t="s">
        <v>3215</v>
      </c>
      <c r="C1931" s="283" t="s">
        <v>3183</v>
      </c>
      <c r="D1931" s="284" t="s">
        <v>6520</v>
      </c>
    </row>
    <row r="1932" spans="1:4" x14ac:dyDescent="0.3">
      <c r="A1932" s="282" t="s">
        <v>6521</v>
      </c>
      <c r="B1932" s="283" t="s">
        <v>3298</v>
      </c>
      <c r="C1932" s="283" t="s">
        <v>3183</v>
      </c>
      <c r="D1932" s="284" t="s">
        <v>6522</v>
      </c>
    </row>
    <row r="1933" spans="1:4" x14ac:dyDescent="0.3">
      <c r="A1933" s="282" t="s">
        <v>6523</v>
      </c>
      <c r="B1933" s="283" t="s">
        <v>3738</v>
      </c>
      <c r="C1933" s="283" t="s">
        <v>3496</v>
      </c>
      <c r="D1933" s="284" t="s">
        <v>6524</v>
      </c>
    </row>
    <row r="1934" spans="1:4" x14ac:dyDescent="0.3">
      <c r="A1934" s="282" t="s">
        <v>6525</v>
      </c>
      <c r="B1934" s="283" t="s">
        <v>3715</v>
      </c>
      <c r="C1934" s="283" t="s">
        <v>489</v>
      </c>
      <c r="D1934" s="284" t="s">
        <v>6526</v>
      </c>
    </row>
    <row r="1935" spans="1:4" x14ac:dyDescent="0.3">
      <c r="A1935" s="282" t="s">
        <v>6527</v>
      </c>
      <c r="B1935" s="283" t="s">
        <v>4058</v>
      </c>
      <c r="C1935" s="283" t="s">
        <v>3277</v>
      </c>
      <c r="D1935" s="284" t="s">
        <v>6528</v>
      </c>
    </row>
    <row r="1936" spans="1:4" x14ac:dyDescent="0.3">
      <c r="A1936" s="282" t="s">
        <v>6527</v>
      </c>
      <c r="B1936" s="283" t="s">
        <v>4058</v>
      </c>
      <c r="C1936" s="283" t="s">
        <v>3277</v>
      </c>
      <c r="D1936" s="284" t="s">
        <v>6529</v>
      </c>
    </row>
    <row r="1937" spans="1:4" x14ac:dyDescent="0.3">
      <c r="A1937" s="282" t="s">
        <v>6530</v>
      </c>
      <c r="B1937" s="283" t="s">
        <v>3687</v>
      </c>
      <c r="C1937" s="283" t="s">
        <v>3776</v>
      </c>
      <c r="D1937" s="284" t="s">
        <v>6531</v>
      </c>
    </row>
    <row r="1938" spans="1:4" x14ac:dyDescent="0.3">
      <c r="A1938" s="282" t="s">
        <v>6532</v>
      </c>
      <c r="B1938" s="283" t="s">
        <v>3687</v>
      </c>
      <c r="C1938" s="283" t="s">
        <v>2846</v>
      </c>
      <c r="D1938" s="284" t="s">
        <v>6533</v>
      </c>
    </row>
    <row r="1939" spans="1:4" x14ac:dyDescent="0.3">
      <c r="A1939" s="282" t="s">
        <v>6534</v>
      </c>
      <c r="B1939" s="283" t="s">
        <v>5182</v>
      </c>
      <c r="C1939" s="283" t="s">
        <v>2846</v>
      </c>
      <c r="D1939" s="284" t="s">
        <v>6535</v>
      </c>
    </row>
    <row r="1940" spans="1:4" x14ac:dyDescent="0.3">
      <c r="A1940" s="282" t="s">
        <v>6536</v>
      </c>
      <c r="B1940" s="283" t="s">
        <v>3687</v>
      </c>
      <c r="C1940" s="283" t="s">
        <v>2846</v>
      </c>
      <c r="D1940" s="284" t="s">
        <v>6537</v>
      </c>
    </row>
    <row r="1941" spans="1:4" x14ac:dyDescent="0.3">
      <c r="A1941" s="282" t="s">
        <v>6538</v>
      </c>
      <c r="B1941" s="283" t="s">
        <v>3700</v>
      </c>
      <c r="C1941" s="283" t="s">
        <v>2846</v>
      </c>
      <c r="D1941" s="284" t="s">
        <v>6539</v>
      </c>
    </row>
    <row r="1942" spans="1:4" x14ac:dyDescent="0.3">
      <c r="A1942" s="282" t="s">
        <v>6540</v>
      </c>
      <c r="B1942" s="283" t="s">
        <v>3893</v>
      </c>
      <c r="C1942" s="283" t="s">
        <v>2846</v>
      </c>
      <c r="D1942" s="284" t="s">
        <v>6541</v>
      </c>
    </row>
    <row r="1943" spans="1:4" x14ac:dyDescent="0.3">
      <c r="A1943" s="282" t="s">
        <v>6542</v>
      </c>
      <c r="B1943" s="283" t="s">
        <v>3687</v>
      </c>
      <c r="C1943" s="283" t="s">
        <v>2846</v>
      </c>
      <c r="D1943" s="284" t="s">
        <v>6543</v>
      </c>
    </row>
    <row r="1944" spans="1:4" x14ac:dyDescent="0.3">
      <c r="A1944" s="282" t="s">
        <v>6544</v>
      </c>
      <c r="B1944" s="283" t="s">
        <v>3687</v>
      </c>
      <c r="C1944" s="283" t="s">
        <v>2846</v>
      </c>
      <c r="D1944" s="284" t="s">
        <v>6545</v>
      </c>
    </row>
    <row r="1945" spans="1:4" x14ac:dyDescent="0.3">
      <c r="A1945" s="282" t="s">
        <v>6546</v>
      </c>
      <c r="B1945" s="283" t="s">
        <v>3366</v>
      </c>
      <c r="C1945" s="283" t="s">
        <v>3776</v>
      </c>
      <c r="D1945" s="284" t="s">
        <v>6547</v>
      </c>
    </row>
    <row r="1946" spans="1:4" x14ac:dyDescent="0.3">
      <c r="A1946" s="282" t="s">
        <v>6548</v>
      </c>
      <c r="B1946" s="283" t="s">
        <v>5194</v>
      </c>
      <c r="C1946" s="283" t="s">
        <v>3776</v>
      </c>
      <c r="D1946" s="284" t="s">
        <v>6549</v>
      </c>
    </row>
    <row r="1947" spans="1:4" x14ac:dyDescent="0.3">
      <c r="A1947" s="282" t="s">
        <v>6550</v>
      </c>
      <c r="B1947" s="283" t="s">
        <v>3522</v>
      </c>
      <c r="C1947" s="283" t="s">
        <v>3776</v>
      </c>
      <c r="D1947" s="284" t="s">
        <v>6551</v>
      </c>
    </row>
    <row r="1948" spans="1:4" x14ac:dyDescent="0.3">
      <c r="A1948" s="282" t="s">
        <v>6552</v>
      </c>
      <c r="B1948" s="283" t="s">
        <v>3366</v>
      </c>
      <c r="C1948" s="283" t="s">
        <v>3776</v>
      </c>
      <c r="D1948" s="284" t="s">
        <v>6553</v>
      </c>
    </row>
    <row r="1949" spans="1:4" x14ac:dyDescent="0.3">
      <c r="A1949" s="282" t="s">
        <v>6554</v>
      </c>
      <c r="B1949" s="283" t="s">
        <v>5194</v>
      </c>
      <c r="C1949" s="283" t="s">
        <v>3776</v>
      </c>
      <c r="D1949" s="284" t="s">
        <v>6555</v>
      </c>
    </row>
    <row r="1950" spans="1:4" x14ac:dyDescent="0.3">
      <c r="A1950" s="282" t="s">
        <v>6556</v>
      </c>
      <c r="B1950" s="283" t="s">
        <v>3522</v>
      </c>
      <c r="C1950" s="283" t="s">
        <v>3776</v>
      </c>
      <c r="D1950" s="284" t="s">
        <v>6557</v>
      </c>
    </row>
    <row r="1951" spans="1:4" x14ac:dyDescent="0.3">
      <c r="A1951" s="282" t="s">
        <v>6558</v>
      </c>
      <c r="B1951" s="283" t="s">
        <v>3687</v>
      </c>
      <c r="C1951" s="283" t="s">
        <v>3776</v>
      </c>
      <c r="D1951" s="284" t="s">
        <v>6559</v>
      </c>
    </row>
    <row r="1952" spans="1:4" x14ac:dyDescent="0.3">
      <c r="A1952" s="282" t="s">
        <v>6560</v>
      </c>
      <c r="B1952" s="283" t="s">
        <v>3687</v>
      </c>
      <c r="C1952" s="283" t="s">
        <v>3776</v>
      </c>
      <c r="D1952" s="284" t="s">
        <v>6561</v>
      </c>
    </row>
    <row r="1953" spans="1:4" x14ac:dyDescent="0.3">
      <c r="A1953" s="282" t="s">
        <v>6562</v>
      </c>
      <c r="B1953" s="283" t="s">
        <v>3700</v>
      </c>
      <c r="C1953" s="283" t="s">
        <v>3776</v>
      </c>
      <c r="D1953" s="284" t="s">
        <v>6563</v>
      </c>
    </row>
    <row r="1954" spans="1:4" x14ac:dyDescent="0.3">
      <c r="A1954" s="282" t="s">
        <v>6564</v>
      </c>
      <c r="B1954" s="283" t="s">
        <v>3893</v>
      </c>
      <c r="C1954" s="283" t="s">
        <v>3776</v>
      </c>
      <c r="D1954" s="284" t="s">
        <v>6565</v>
      </c>
    </row>
    <row r="1955" spans="1:4" x14ac:dyDescent="0.3">
      <c r="A1955" s="282" t="s">
        <v>6566</v>
      </c>
      <c r="B1955" s="283" t="s">
        <v>3806</v>
      </c>
      <c r="C1955" s="283" t="s">
        <v>3776</v>
      </c>
      <c r="D1955" s="284" t="s">
        <v>6567</v>
      </c>
    </row>
    <row r="1956" spans="1:4" x14ac:dyDescent="0.3">
      <c r="A1956" s="282" t="s">
        <v>6568</v>
      </c>
      <c r="B1956" s="283" t="s">
        <v>3813</v>
      </c>
      <c r="C1956" s="283" t="s">
        <v>3776</v>
      </c>
      <c r="D1956" s="284" t="s">
        <v>6569</v>
      </c>
    </row>
    <row r="1957" spans="1:4" x14ac:dyDescent="0.3">
      <c r="A1957" s="282" t="s">
        <v>6570</v>
      </c>
      <c r="B1957" s="283" t="s">
        <v>3787</v>
      </c>
      <c r="C1957" s="283" t="s">
        <v>3776</v>
      </c>
      <c r="D1957" s="284" t="s">
        <v>6571</v>
      </c>
    </row>
    <row r="1958" spans="1:4" x14ac:dyDescent="0.3">
      <c r="A1958" s="282" t="s">
        <v>6570</v>
      </c>
      <c r="B1958" s="283" t="s">
        <v>3787</v>
      </c>
      <c r="C1958" s="283" t="s">
        <v>3776</v>
      </c>
      <c r="D1958" s="284" t="s">
        <v>6572</v>
      </c>
    </row>
    <row r="1959" spans="1:4" x14ac:dyDescent="0.3">
      <c r="A1959" s="282" t="s">
        <v>6573</v>
      </c>
      <c r="B1959" s="283" t="s">
        <v>3893</v>
      </c>
      <c r="C1959" s="283" t="s">
        <v>3776</v>
      </c>
      <c r="D1959" s="284" t="s">
        <v>6574</v>
      </c>
    </row>
    <row r="1960" spans="1:4" x14ac:dyDescent="0.3">
      <c r="A1960" s="282" t="s">
        <v>6575</v>
      </c>
      <c r="B1960" s="283" t="s">
        <v>3893</v>
      </c>
      <c r="C1960" s="283" t="s">
        <v>3776</v>
      </c>
      <c r="D1960" s="284" t="s">
        <v>6576</v>
      </c>
    </row>
    <row r="1961" spans="1:4" x14ac:dyDescent="0.3">
      <c r="A1961" s="282" t="s">
        <v>6577</v>
      </c>
      <c r="B1961" s="283" t="s">
        <v>6480</v>
      </c>
      <c r="C1961" s="283" t="s">
        <v>3496</v>
      </c>
      <c r="D1961" s="284" t="s">
        <v>6578</v>
      </c>
    </row>
    <row r="1962" spans="1:4" x14ac:dyDescent="0.3">
      <c r="A1962" s="282" t="s">
        <v>6579</v>
      </c>
      <c r="B1962" s="283" t="s">
        <v>3738</v>
      </c>
      <c r="C1962" s="283" t="s">
        <v>3496</v>
      </c>
      <c r="D1962" s="284" t="s">
        <v>6580</v>
      </c>
    </row>
    <row r="1963" spans="1:4" x14ac:dyDescent="0.3">
      <c r="A1963" s="282" t="s">
        <v>6581</v>
      </c>
      <c r="B1963" s="283" t="s">
        <v>3738</v>
      </c>
      <c r="C1963" s="283" t="s">
        <v>3496</v>
      </c>
      <c r="D1963" s="284" t="s">
        <v>6582</v>
      </c>
    </row>
    <row r="1964" spans="1:4" x14ac:dyDescent="0.3">
      <c r="A1964" s="282" t="s">
        <v>6583</v>
      </c>
      <c r="B1964" s="283" t="s">
        <v>3905</v>
      </c>
      <c r="C1964" s="283" t="s">
        <v>3906</v>
      </c>
      <c r="D1964" s="284" t="s">
        <v>6584</v>
      </c>
    </row>
    <row r="1965" spans="1:4" x14ac:dyDescent="0.3">
      <c r="A1965" s="282" t="s">
        <v>6585</v>
      </c>
      <c r="B1965" s="283" t="s">
        <v>3905</v>
      </c>
      <c r="C1965" s="283" t="s">
        <v>3906</v>
      </c>
      <c r="D1965" s="284" t="s">
        <v>6586</v>
      </c>
    </row>
    <row r="1966" spans="1:4" x14ac:dyDescent="0.3">
      <c r="A1966" s="282" t="s">
        <v>6587</v>
      </c>
      <c r="B1966" s="283" t="s">
        <v>3905</v>
      </c>
      <c r="C1966" s="283" t="s">
        <v>3906</v>
      </c>
      <c r="D1966" s="284" t="s">
        <v>6588</v>
      </c>
    </row>
    <row r="1967" spans="1:4" x14ac:dyDescent="0.3">
      <c r="A1967" s="282" t="s">
        <v>6589</v>
      </c>
      <c r="B1967" s="283" t="s">
        <v>3905</v>
      </c>
      <c r="C1967" s="283" t="s">
        <v>3906</v>
      </c>
      <c r="D1967" s="284" t="s">
        <v>6590</v>
      </c>
    </row>
    <row r="1968" spans="1:4" x14ac:dyDescent="0.3">
      <c r="A1968" s="282" t="s">
        <v>6591</v>
      </c>
      <c r="B1968" s="283" t="s">
        <v>3905</v>
      </c>
      <c r="C1968" s="283" t="s">
        <v>3906</v>
      </c>
      <c r="D1968" s="284" t="s">
        <v>6592</v>
      </c>
    </row>
    <row r="1969" spans="1:4" x14ac:dyDescent="0.3">
      <c r="A1969" s="282" t="s">
        <v>6593</v>
      </c>
      <c r="B1969" s="283" t="s">
        <v>3905</v>
      </c>
      <c r="C1969" s="283" t="s">
        <v>3906</v>
      </c>
      <c r="D1969" s="284" t="s">
        <v>6594</v>
      </c>
    </row>
    <row r="1970" spans="1:4" x14ac:dyDescent="0.3">
      <c r="A1970" s="282" t="s">
        <v>6595</v>
      </c>
      <c r="B1970" s="283" t="s">
        <v>3905</v>
      </c>
      <c r="C1970" s="283" t="s">
        <v>3906</v>
      </c>
      <c r="D1970" s="284" t="s">
        <v>6596</v>
      </c>
    </row>
    <row r="1971" spans="1:4" x14ac:dyDescent="0.3">
      <c r="A1971" s="282" t="s">
        <v>6597</v>
      </c>
      <c r="B1971" s="283" t="s">
        <v>3905</v>
      </c>
      <c r="C1971" s="283" t="s">
        <v>3906</v>
      </c>
      <c r="D1971" s="284" t="s">
        <v>6598</v>
      </c>
    </row>
    <row r="1972" spans="1:4" x14ac:dyDescent="0.3">
      <c r="A1972" s="282" t="s">
        <v>6599</v>
      </c>
      <c r="B1972" s="283" t="s">
        <v>3905</v>
      </c>
      <c r="C1972" s="283" t="s">
        <v>3906</v>
      </c>
      <c r="D1972" s="284" t="s">
        <v>6600</v>
      </c>
    </row>
    <row r="1973" spans="1:4" x14ac:dyDescent="0.3">
      <c r="A1973" s="282" t="s">
        <v>6601</v>
      </c>
      <c r="B1973" s="283" t="s">
        <v>3186</v>
      </c>
      <c r="C1973" s="283" t="s">
        <v>3183</v>
      </c>
      <c r="D1973" s="284" t="s">
        <v>6602</v>
      </c>
    </row>
    <row r="1974" spans="1:4" x14ac:dyDescent="0.3">
      <c r="A1974" s="282" t="s">
        <v>6603</v>
      </c>
      <c r="B1974" s="283" t="s">
        <v>3715</v>
      </c>
      <c r="C1974" s="283" t="s">
        <v>2846</v>
      </c>
      <c r="D1974" s="284" t="s">
        <v>6604</v>
      </c>
    </row>
    <row r="1975" spans="1:4" x14ac:dyDescent="0.3">
      <c r="A1975" s="282" t="s">
        <v>6605</v>
      </c>
      <c r="B1975" s="283" t="s">
        <v>3715</v>
      </c>
      <c r="C1975" s="283" t="s">
        <v>2846</v>
      </c>
      <c r="D1975" s="284" t="s">
        <v>6606</v>
      </c>
    </row>
    <row r="1976" spans="1:4" x14ac:dyDescent="0.3">
      <c r="A1976" s="282" t="s">
        <v>6607</v>
      </c>
      <c r="B1976" s="283" t="s">
        <v>3715</v>
      </c>
      <c r="C1976" s="283" t="s">
        <v>2846</v>
      </c>
      <c r="D1976" s="284" t="s">
        <v>6608</v>
      </c>
    </row>
    <row r="1977" spans="1:4" x14ac:dyDescent="0.3">
      <c r="A1977" s="282" t="s">
        <v>6609</v>
      </c>
      <c r="B1977" s="283" t="s">
        <v>3715</v>
      </c>
      <c r="C1977" s="283" t="s">
        <v>2846</v>
      </c>
      <c r="D1977" s="284" t="s">
        <v>6610</v>
      </c>
    </row>
    <row r="1978" spans="1:4" x14ac:dyDescent="0.3">
      <c r="A1978" s="282" t="s">
        <v>6611</v>
      </c>
      <c r="B1978" s="283" t="s">
        <v>3715</v>
      </c>
      <c r="C1978" s="283" t="s">
        <v>2846</v>
      </c>
      <c r="D1978" s="284" t="s">
        <v>6612</v>
      </c>
    </row>
    <row r="1979" spans="1:4" x14ac:dyDescent="0.3">
      <c r="A1979" s="282" t="s">
        <v>6613</v>
      </c>
      <c r="B1979" s="283" t="s">
        <v>3715</v>
      </c>
      <c r="C1979" s="283" t="s">
        <v>2846</v>
      </c>
      <c r="D1979" s="284" t="s">
        <v>6614</v>
      </c>
    </row>
    <row r="1980" spans="1:4" x14ac:dyDescent="0.3">
      <c r="A1980" s="282" t="s">
        <v>6615</v>
      </c>
      <c r="B1980" s="283" t="s">
        <v>3715</v>
      </c>
      <c r="C1980" s="283" t="s">
        <v>2846</v>
      </c>
      <c r="D1980" s="284" t="s">
        <v>6616</v>
      </c>
    </row>
    <row r="1981" spans="1:4" x14ac:dyDescent="0.3">
      <c r="A1981" s="282" t="s">
        <v>6617</v>
      </c>
      <c r="B1981" s="283" t="s">
        <v>3715</v>
      </c>
      <c r="C1981" s="283" t="s">
        <v>2846</v>
      </c>
      <c r="D1981" s="284" t="s">
        <v>6618</v>
      </c>
    </row>
    <row r="1982" spans="1:4" x14ac:dyDescent="0.3">
      <c r="A1982" s="282" t="s">
        <v>6619</v>
      </c>
      <c r="B1982" s="283" t="s">
        <v>3687</v>
      </c>
      <c r="C1982" s="283" t="s">
        <v>2846</v>
      </c>
      <c r="D1982" s="284" t="s">
        <v>6620</v>
      </c>
    </row>
    <row r="1983" spans="1:4" x14ac:dyDescent="0.3">
      <c r="A1983" s="282" t="s">
        <v>6621</v>
      </c>
      <c r="B1983" s="283" t="s">
        <v>3687</v>
      </c>
      <c r="C1983" s="283" t="s">
        <v>2846</v>
      </c>
      <c r="D1983" s="284" t="s">
        <v>6622</v>
      </c>
    </row>
    <row r="1984" spans="1:4" x14ac:dyDescent="0.3">
      <c r="A1984" s="282" t="s">
        <v>6623</v>
      </c>
      <c r="B1984" s="283" t="s">
        <v>3715</v>
      </c>
      <c r="C1984" s="283" t="s">
        <v>2846</v>
      </c>
      <c r="D1984" s="284" t="s">
        <v>6624</v>
      </c>
    </row>
    <row r="1985" spans="1:4" x14ac:dyDescent="0.3">
      <c r="A1985" s="282" t="s">
        <v>6625</v>
      </c>
      <c r="B1985" s="283" t="s">
        <v>3715</v>
      </c>
      <c r="C1985" s="283" t="s">
        <v>2846</v>
      </c>
      <c r="D1985" s="284" t="s">
        <v>6626</v>
      </c>
    </row>
    <row r="1986" spans="1:4" x14ac:dyDescent="0.3">
      <c r="A1986" s="282" t="s">
        <v>6627</v>
      </c>
      <c r="B1986" s="283" t="s">
        <v>3715</v>
      </c>
      <c r="C1986" s="283" t="s">
        <v>2846</v>
      </c>
      <c r="D1986" s="284" t="s">
        <v>6628</v>
      </c>
    </row>
    <row r="1987" spans="1:4" x14ac:dyDescent="0.3">
      <c r="A1987" s="282" t="s">
        <v>6629</v>
      </c>
      <c r="B1987" s="283" t="s">
        <v>3715</v>
      </c>
      <c r="C1987" s="283" t="s">
        <v>2846</v>
      </c>
      <c r="D1987" s="284" t="s">
        <v>6630</v>
      </c>
    </row>
    <row r="1988" spans="1:4" x14ac:dyDescent="0.3">
      <c r="A1988" s="282" t="s">
        <v>6631</v>
      </c>
      <c r="B1988" s="283" t="s">
        <v>3715</v>
      </c>
      <c r="C1988" s="283" t="s">
        <v>2846</v>
      </c>
      <c r="D1988" s="284" t="s">
        <v>6632</v>
      </c>
    </row>
    <row r="1989" spans="1:4" x14ac:dyDescent="0.3">
      <c r="A1989" s="282" t="s">
        <v>6633</v>
      </c>
      <c r="B1989" s="283" t="s">
        <v>3715</v>
      </c>
      <c r="C1989" s="283" t="s">
        <v>2846</v>
      </c>
      <c r="D1989" s="284" t="s">
        <v>6634</v>
      </c>
    </row>
    <row r="1990" spans="1:4" x14ac:dyDescent="0.3">
      <c r="A1990" s="282" t="s">
        <v>6635</v>
      </c>
      <c r="B1990" s="283" t="s">
        <v>3715</v>
      </c>
      <c r="C1990" s="283" t="s">
        <v>2846</v>
      </c>
      <c r="D1990" s="284" t="s">
        <v>6636</v>
      </c>
    </row>
    <row r="1991" spans="1:4" x14ac:dyDescent="0.3">
      <c r="A1991" s="282" t="s">
        <v>6637</v>
      </c>
      <c r="B1991" s="283" t="s">
        <v>3715</v>
      </c>
      <c r="C1991" s="283" t="s">
        <v>2846</v>
      </c>
      <c r="D1991" s="284" t="s">
        <v>6638</v>
      </c>
    </row>
    <row r="1992" spans="1:4" x14ac:dyDescent="0.3">
      <c r="A1992" s="282" t="s">
        <v>6639</v>
      </c>
      <c r="B1992" s="283" t="s">
        <v>3687</v>
      </c>
      <c r="C1992" s="283" t="s">
        <v>2846</v>
      </c>
      <c r="D1992" s="284" t="s">
        <v>6640</v>
      </c>
    </row>
    <row r="1993" spans="1:4" x14ac:dyDescent="0.3">
      <c r="A1993" s="282" t="s">
        <v>6641</v>
      </c>
      <c r="B1993" s="283" t="s">
        <v>3687</v>
      </c>
      <c r="C1993" s="283" t="s">
        <v>2846</v>
      </c>
      <c r="D1993" s="284" t="s">
        <v>6642</v>
      </c>
    </row>
    <row r="1994" spans="1:4" x14ac:dyDescent="0.3">
      <c r="A1994" s="282" t="s">
        <v>6643</v>
      </c>
      <c r="B1994" s="283" t="s">
        <v>3715</v>
      </c>
      <c r="C1994" s="283" t="s">
        <v>2846</v>
      </c>
      <c r="D1994" s="284" t="s">
        <v>6644</v>
      </c>
    </row>
    <row r="1995" spans="1:4" x14ac:dyDescent="0.3">
      <c r="A1995" s="282" t="s">
        <v>6645</v>
      </c>
      <c r="B1995" s="283" t="s">
        <v>3687</v>
      </c>
      <c r="C1995" s="283" t="s">
        <v>2846</v>
      </c>
      <c r="D1995" s="284" t="s">
        <v>6646</v>
      </c>
    </row>
    <row r="1996" spans="1:4" x14ac:dyDescent="0.3">
      <c r="A1996" s="282" t="s">
        <v>6647</v>
      </c>
      <c r="B1996" s="283" t="s">
        <v>4058</v>
      </c>
      <c r="C1996" s="283" t="s">
        <v>3277</v>
      </c>
      <c r="D1996" s="284" t="s">
        <v>6648</v>
      </c>
    </row>
    <row r="1997" spans="1:4" x14ac:dyDescent="0.3">
      <c r="A1997" s="282" t="s">
        <v>6649</v>
      </c>
      <c r="B1997" s="283" t="s">
        <v>4347</v>
      </c>
      <c r="C1997" s="283" t="s">
        <v>3281</v>
      </c>
      <c r="D1997" s="284" t="s">
        <v>6650</v>
      </c>
    </row>
    <row r="1998" spans="1:4" x14ac:dyDescent="0.3">
      <c r="A1998" s="282" t="s">
        <v>6651</v>
      </c>
      <c r="B1998" s="283" t="s">
        <v>4589</v>
      </c>
      <c r="C1998" s="283" t="s">
        <v>489</v>
      </c>
      <c r="D1998" s="284" t="s">
        <v>6652</v>
      </c>
    </row>
    <row r="1999" spans="1:4" x14ac:dyDescent="0.3">
      <c r="A1999" s="282" t="s">
        <v>6653</v>
      </c>
      <c r="B1999" s="283" t="s">
        <v>4143</v>
      </c>
      <c r="C1999" s="283" t="s">
        <v>3277</v>
      </c>
      <c r="D1999" s="284" t="s">
        <v>6654</v>
      </c>
    </row>
    <row r="2000" spans="1:4" x14ac:dyDescent="0.3">
      <c r="A2000" s="282" t="s">
        <v>6655</v>
      </c>
      <c r="B2000" s="283" t="s">
        <v>3905</v>
      </c>
      <c r="C2000" s="283" t="s">
        <v>3906</v>
      </c>
      <c r="D2000" s="284" t="s">
        <v>6656</v>
      </c>
    </row>
    <row r="2001" spans="1:4" x14ac:dyDescent="0.3">
      <c r="A2001" s="282" t="s">
        <v>6657</v>
      </c>
      <c r="B2001" s="283" t="s">
        <v>5194</v>
      </c>
      <c r="C2001" s="283" t="s">
        <v>3346</v>
      </c>
      <c r="D2001" s="284" t="s">
        <v>6658</v>
      </c>
    </row>
    <row r="2002" spans="1:4" x14ac:dyDescent="0.3">
      <c r="A2002" s="282" t="s">
        <v>6659</v>
      </c>
      <c r="B2002" s="283" t="s">
        <v>4058</v>
      </c>
      <c r="C2002" s="283" t="s">
        <v>3277</v>
      </c>
      <c r="D2002" s="284" t="s">
        <v>6660</v>
      </c>
    </row>
    <row r="2003" spans="1:4" x14ac:dyDescent="0.3">
      <c r="A2003" s="282" t="s">
        <v>6661</v>
      </c>
      <c r="B2003" s="283" t="s">
        <v>4385</v>
      </c>
      <c r="C2003" s="283" t="s">
        <v>3277</v>
      </c>
      <c r="D2003" s="284" t="s">
        <v>6662</v>
      </c>
    </row>
    <row r="2004" spans="1:4" x14ac:dyDescent="0.3">
      <c r="A2004" s="282" t="s">
        <v>6663</v>
      </c>
      <c r="B2004" s="283" t="s">
        <v>3715</v>
      </c>
      <c r="C2004" s="283" t="s">
        <v>2846</v>
      </c>
      <c r="D2004" s="284" t="s">
        <v>6664</v>
      </c>
    </row>
    <row r="2005" spans="1:4" x14ac:dyDescent="0.3">
      <c r="A2005" s="282" t="s">
        <v>6665</v>
      </c>
      <c r="B2005" s="283" t="s">
        <v>3204</v>
      </c>
      <c r="C2005" s="283" t="s">
        <v>3183</v>
      </c>
      <c r="D2005" s="284" t="s">
        <v>6666</v>
      </c>
    </row>
    <row r="2006" spans="1:4" x14ac:dyDescent="0.3">
      <c r="A2006" s="282" t="s">
        <v>6667</v>
      </c>
      <c r="B2006" s="283" t="s">
        <v>4347</v>
      </c>
      <c r="C2006" s="283" t="s">
        <v>3281</v>
      </c>
      <c r="D2006" s="284" t="s">
        <v>6668</v>
      </c>
    </row>
    <row r="2007" spans="1:4" x14ac:dyDescent="0.3">
      <c r="A2007" s="282" t="s">
        <v>6669</v>
      </c>
      <c r="B2007" s="283" t="s">
        <v>4162</v>
      </c>
      <c r="C2007" s="283" t="s">
        <v>3776</v>
      </c>
      <c r="D2007" s="284" t="s">
        <v>6670</v>
      </c>
    </row>
    <row r="2008" spans="1:4" x14ac:dyDescent="0.3">
      <c r="A2008" s="282" t="s">
        <v>6671</v>
      </c>
      <c r="B2008" s="283" t="s">
        <v>3715</v>
      </c>
      <c r="C2008" s="283" t="s">
        <v>3776</v>
      </c>
      <c r="D2008" s="284" t="s">
        <v>6672</v>
      </c>
    </row>
    <row r="2009" spans="1:4" x14ac:dyDescent="0.3">
      <c r="A2009" s="282" t="s">
        <v>6673</v>
      </c>
      <c r="B2009" s="283" t="s">
        <v>3366</v>
      </c>
      <c r="C2009" s="283" t="s">
        <v>3346</v>
      </c>
      <c r="D2009" s="284" t="s">
        <v>6674</v>
      </c>
    </row>
    <row r="2010" spans="1:4" x14ac:dyDescent="0.3">
      <c r="A2010" s="282" t="s">
        <v>6675</v>
      </c>
      <c r="B2010" s="283" t="s">
        <v>6676</v>
      </c>
      <c r="C2010" s="283" t="s">
        <v>489</v>
      </c>
      <c r="D2010" s="284" t="s">
        <v>6677</v>
      </c>
    </row>
    <row r="2011" spans="1:4" x14ac:dyDescent="0.3">
      <c r="A2011" s="282" t="s">
        <v>6675</v>
      </c>
      <c r="B2011" s="283" t="s">
        <v>6676</v>
      </c>
      <c r="C2011" s="283" t="s">
        <v>489</v>
      </c>
      <c r="D2011" s="284" t="s">
        <v>6678</v>
      </c>
    </row>
    <row r="2012" spans="1:4" x14ac:dyDescent="0.3">
      <c r="A2012" s="282" t="s">
        <v>6679</v>
      </c>
      <c r="B2012" s="283" t="s">
        <v>4347</v>
      </c>
      <c r="C2012" s="283" t="s">
        <v>3281</v>
      </c>
      <c r="D2012" s="284" t="s">
        <v>6680</v>
      </c>
    </row>
    <row r="2013" spans="1:4" x14ac:dyDescent="0.3">
      <c r="A2013" s="282" t="s">
        <v>6681</v>
      </c>
      <c r="B2013" s="283" t="s">
        <v>4347</v>
      </c>
      <c r="C2013" s="283" t="s">
        <v>3281</v>
      </c>
      <c r="D2013" s="284" t="s">
        <v>6682</v>
      </c>
    </row>
    <row r="2014" spans="1:4" x14ac:dyDescent="0.3">
      <c r="A2014" s="282" t="s">
        <v>6683</v>
      </c>
      <c r="B2014" s="283" t="s">
        <v>4347</v>
      </c>
      <c r="C2014" s="283" t="s">
        <v>3281</v>
      </c>
      <c r="D2014" s="284" t="s">
        <v>6684</v>
      </c>
    </row>
    <row r="2015" spans="1:4" x14ac:dyDescent="0.3">
      <c r="A2015" s="282" t="s">
        <v>6685</v>
      </c>
      <c r="B2015" s="283" t="s">
        <v>4347</v>
      </c>
      <c r="C2015" s="283" t="s">
        <v>3281</v>
      </c>
      <c r="D2015" s="284" t="s">
        <v>6686</v>
      </c>
    </row>
    <row r="2016" spans="1:4" x14ac:dyDescent="0.3">
      <c r="A2016" s="282" t="s">
        <v>6687</v>
      </c>
      <c r="B2016" s="283" t="s">
        <v>4347</v>
      </c>
      <c r="C2016" s="283" t="s">
        <v>3281</v>
      </c>
      <c r="D2016" s="284" t="s">
        <v>6688</v>
      </c>
    </row>
    <row r="2017" spans="1:4" x14ac:dyDescent="0.3">
      <c r="A2017" s="282" t="s">
        <v>6689</v>
      </c>
      <c r="B2017" s="283" t="s">
        <v>4347</v>
      </c>
      <c r="C2017" s="283" t="s">
        <v>3281</v>
      </c>
      <c r="D2017" s="284" t="s">
        <v>6690</v>
      </c>
    </row>
    <row r="2018" spans="1:4" x14ac:dyDescent="0.3">
      <c r="A2018" s="282" t="s">
        <v>6691</v>
      </c>
      <c r="B2018" s="283" t="s">
        <v>4347</v>
      </c>
      <c r="C2018" s="283" t="s">
        <v>3281</v>
      </c>
      <c r="D2018" s="284" t="s">
        <v>6692</v>
      </c>
    </row>
    <row r="2019" spans="1:4" x14ac:dyDescent="0.3">
      <c r="A2019" s="282" t="s">
        <v>6691</v>
      </c>
      <c r="B2019" s="283" t="s">
        <v>4347</v>
      </c>
      <c r="C2019" s="283" t="s">
        <v>3281</v>
      </c>
      <c r="D2019" s="284" t="s">
        <v>6693</v>
      </c>
    </row>
    <row r="2020" spans="1:4" x14ac:dyDescent="0.3">
      <c r="A2020" s="282" t="s">
        <v>6694</v>
      </c>
      <c r="B2020" s="283" t="s">
        <v>4347</v>
      </c>
      <c r="C2020" s="283" t="s">
        <v>3281</v>
      </c>
      <c r="D2020" s="284" t="s">
        <v>6695</v>
      </c>
    </row>
    <row r="2021" spans="1:4" x14ac:dyDescent="0.3">
      <c r="A2021" s="282" t="s">
        <v>6696</v>
      </c>
      <c r="B2021" s="283" t="s">
        <v>4347</v>
      </c>
      <c r="C2021" s="283" t="s">
        <v>3281</v>
      </c>
      <c r="D2021" s="284" t="s">
        <v>6697</v>
      </c>
    </row>
    <row r="2022" spans="1:4" x14ac:dyDescent="0.3">
      <c r="A2022" s="282" t="s">
        <v>6698</v>
      </c>
      <c r="B2022" s="283" t="s">
        <v>4347</v>
      </c>
      <c r="C2022" s="283" t="s">
        <v>3281</v>
      </c>
      <c r="D2022" s="284" t="s">
        <v>6699</v>
      </c>
    </row>
    <row r="2023" spans="1:4" x14ac:dyDescent="0.3">
      <c r="A2023" s="282" t="s">
        <v>6700</v>
      </c>
      <c r="B2023" s="283" t="s">
        <v>3715</v>
      </c>
      <c r="C2023" s="283" t="s">
        <v>489</v>
      </c>
      <c r="D2023" s="284" t="s">
        <v>6701</v>
      </c>
    </row>
    <row r="2024" spans="1:4" x14ac:dyDescent="0.3">
      <c r="A2024" s="282" t="s">
        <v>6702</v>
      </c>
      <c r="B2024" s="283" t="s">
        <v>3715</v>
      </c>
      <c r="C2024" s="283" t="s">
        <v>3346</v>
      </c>
      <c r="D2024" s="284" t="s">
        <v>6703</v>
      </c>
    </row>
    <row r="2025" spans="1:4" x14ac:dyDescent="0.3">
      <c r="A2025" s="282" t="s">
        <v>6704</v>
      </c>
      <c r="B2025" s="283" t="s">
        <v>3715</v>
      </c>
      <c r="C2025" s="283" t="s">
        <v>2846</v>
      </c>
      <c r="D2025" s="284" t="s">
        <v>6705</v>
      </c>
    </row>
    <row r="2026" spans="1:4" x14ac:dyDescent="0.3">
      <c r="A2026" s="282" t="s">
        <v>6706</v>
      </c>
      <c r="B2026" s="283" t="s">
        <v>3366</v>
      </c>
      <c r="C2026" s="283" t="s">
        <v>3346</v>
      </c>
      <c r="D2026" s="284" t="s">
        <v>6707</v>
      </c>
    </row>
    <row r="2027" spans="1:4" x14ac:dyDescent="0.3">
      <c r="A2027" s="282" t="s">
        <v>6708</v>
      </c>
      <c r="B2027" s="283" t="s">
        <v>3366</v>
      </c>
      <c r="C2027" s="283" t="s">
        <v>3346</v>
      </c>
      <c r="D2027" s="284" t="s">
        <v>6709</v>
      </c>
    </row>
    <row r="2028" spans="1:4" x14ac:dyDescent="0.3">
      <c r="A2028" s="282" t="s">
        <v>6710</v>
      </c>
      <c r="B2028" s="283" t="s">
        <v>3357</v>
      </c>
      <c r="C2028" s="283" t="s">
        <v>3346</v>
      </c>
      <c r="D2028" s="284" t="s">
        <v>6711</v>
      </c>
    </row>
    <row r="2029" spans="1:4" x14ac:dyDescent="0.3">
      <c r="A2029" s="282" t="s">
        <v>6712</v>
      </c>
      <c r="B2029" s="283" t="s">
        <v>3395</v>
      </c>
      <c r="C2029" s="283" t="s">
        <v>3346</v>
      </c>
      <c r="D2029" s="284" t="s">
        <v>6713</v>
      </c>
    </row>
    <row r="2030" spans="1:4" x14ac:dyDescent="0.3">
      <c r="A2030" s="282" t="s">
        <v>6714</v>
      </c>
      <c r="B2030" s="283" t="s">
        <v>2595</v>
      </c>
      <c r="C2030" s="283" t="s">
        <v>3277</v>
      </c>
      <c r="D2030" s="284" t="s">
        <v>6715</v>
      </c>
    </row>
    <row r="2031" spans="1:4" x14ac:dyDescent="0.3">
      <c r="A2031" s="282" t="s">
        <v>6716</v>
      </c>
      <c r="B2031" s="283" t="s">
        <v>4058</v>
      </c>
      <c r="C2031" s="283" t="s">
        <v>3277</v>
      </c>
      <c r="D2031" s="284" t="s">
        <v>6717</v>
      </c>
    </row>
    <row r="2032" spans="1:4" x14ac:dyDescent="0.3">
      <c r="A2032" s="282" t="s">
        <v>6718</v>
      </c>
      <c r="B2032" s="283" t="s">
        <v>4385</v>
      </c>
      <c r="C2032" s="283" t="s">
        <v>3277</v>
      </c>
      <c r="D2032" s="284" t="s">
        <v>6719</v>
      </c>
    </row>
    <row r="2033" spans="1:4" x14ac:dyDescent="0.3">
      <c r="A2033" s="282" t="s">
        <v>6720</v>
      </c>
      <c r="B2033" s="283" t="s">
        <v>4058</v>
      </c>
      <c r="C2033" s="283" t="s">
        <v>3277</v>
      </c>
      <c r="D2033" s="284" t="s">
        <v>6721</v>
      </c>
    </row>
    <row r="2034" spans="1:4" x14ac:dyDescent="0.3">
      <c r="A2034" s="282" t="s">
        <v>6720</v>
      </c>
      <c r="B2034" s="283" t="s">
        <v>4058</v>
      </c>
      <c r="C2034" s="283" t="s">
        <v>3277</v>
      </c>
      <c r="D2034" s="284" t="s">
        <v>6722</v>
      </c>
    </row>
    <row r="2035" spans="1:4" x14ac:dyDescent="0.3">
      <c r="A2035" s="282" t="s">
        <v>6723</v>
      </c>
      <c r="B2035" s="283" t="s">
        <v>2595</v>
      </c>
      <c r="C2035" s="283" t="s">
        <v>3277</v>
      </c>
      <c r="D2035" s="284" t="s">
        <v>6724</v>
      </c>
    </row>
    <row r="2036" spans="1:4" x14ac:dyDescent="0.3">
      <c r="A2036" s="282" t="s">
        <v>6725</v>
      </c>
      <c r="B2036" s="283" t="s">
        <v>4058</v>
      </c>
      <c r="C2036" s="283" t="s">
        <v>3277</v>
      </c>
      <c r="D2036" s="284" t="s">
        <v>6726</v>
      </c>
    </row>
    <row r="2037" spans="1:4" x14ac:dyDescent="0.3">
      <c r="A2037" s="282" t="s">
        <v>6727</v>
      </c>
      <c r="B2037" s="283" t="s">
        <v>4058</v>
      </c>
      <c r="C2037" s="283" t="s">
        <v>3277</v>
      </c>
      <c r="D2037" s="284" t="s">
        <v>6728</v>
      </c>
    </row>
    <row r="2038" spans="1:4" x14ac:dyDescent="0.3">
      <c r="A2038" s="282" t="s">
        <v>6727</v>
      </c>
      <c r="B2038" s="283" t="s">
        <v>4058</v>
      </c>
      <c r="C2038" s="283" t="s">
        <v>3277</v>
      </c>
      <c r="D2038" s="284" t="s">
        <v>6729</v>
      </c>
    </row>
    <row r="2039" spans="1:4" x14ac:dyDescent="0.3">
      <c r="A2039" s="282" t="s">
        <v>6730</v>
      </c>
      <c r="B2039" s="283" t="s">
        <v>4058</v>
      </c>
      <c r="C2039" s="283" t="s">
        <v>3277</v>
      </c>
      <c r="D2039" s="284" t="s">
        <v>6731</v>
      </c>
    </row>
    <row r="2040" spans="1:4" x14ac:dyDescent="0.3">
      <c r="A2040" s="282" t="s">
        <v>6730</v>
      </c>
      <c r="B2040" s="283" t="s">
        <v>4058</v>
      </c>
      <c r="C2040" s="283" t="s">
        <v>3277</v>
      </c>
      <c r="D2040" s="284" t="s">
        <v>6732</v>
      </c>
    </row>
    <row r="2041" spans="1:4" x14ac:dyDescent="0.3">
      <c r="A2041" s="282" t="s">
        <v>6733</v>
      </c>
      <c r="B2041" s="283" t="s">
        <v>4058</v>
      </c>
      <c r="C2041" s="283" t="s">
        <v>3277</v>
      </c>
      <c r="D2041" s="284" t="s">
        <v>6734</v>
      </c>
    </row>
    <row r="2042" spans="1:4" x14ac:dyDescent="0.3">
      <c r="A2042" s="282" t="s">
        <v>6735</v>
      </c>
      <c r="B2042" s="283" t="s">
        <v>4058</v>
      </c>
      <c r="C2042" s="283" t="s">
        <v>3277</v>
      </c>
      <c r="D2042" s="284" t="s">
        <v>6736</v>
      </c>
    </row>
    <row r="2043" spans="1:4" x14ac:dyDescent="0.3">
      <c r="A2043" s="282" t="s">
        <v>6737</v>
      </c>
      <c r="B2043" s="283" t="s">
        <v>4058</v>
      </c>
      <c r="C2043" s="283" t="s">
        <v>3277</v>
      </c>
      <c r="D2043" s="284" t="s">
        <v>6738</v>
      </c>
    </row>
    <row r="2044" spans="1:4" x14ac:dyDescent="0.3">
      <c r="A2044" s="282" t="s">
        <v>6739</v>
      </c>
      <c r="B2044" s="283" t="s">
        <v>6740</v>
      </c>
      <c r="C2044" s="283" t="s">
        <v>3346</v>
      </c>
      <c r="D2044" s="284" t="s">
        <v>6741</v>
      </c>
    </row>
    <row r="2045" spans="1:4" x14ac:dyDescent="0.3">
      <c r="A2045" s="282" t="s">
        <v>6742</v>
      </c>
      <c r="B2045" s="283" t="s">
        <v>4058</v>
      </c>
      <c r="C2045" s="283" t="s">
        <v>3277</v>
      </c>
      <c r="D2045" s="284" t="s">
        <v>6743</v>
      </c>
    </row>
    <row r="2046" spans="1:4" x14ac:dyDescent="0.3">
      <c r="A2046" s="282" t="s">
        <v>6744</v>
      </c>
      <c r="B2046" s="283" t="s">
        <v>4058</v>
      </c>
      <c r="C2046" s="283" t="s">
        <v>3277</v>
      </c>
      <c r="D2046" s="284" t="s">
        <v>6745</v>
      </c>
    </row>
    <row r="2047" spans="1:4" x14ac:dyDescent="0.3">
      <c r="A2047" s="282" t="s">
        <v>6746</v>
      </c>
      <c r="B2047" s="283" t="s">
        <v>4385</v>
      </c>
      <c r="C2047" s="283" t="s">
        <v>3277</v>
      </c>
      <c r="D2047" s="284" t="s">
        <v>6747</v>
      </c>
    </row>
    <row r="2048" spans="1:4" x14ac:dyDescent="0.3">
      <c r="A2048" s="282" t="s">
        <v>6748</v>
      </c>
      <c r="B2048" s="283" t="s">
        <v>4385</v>
      </c>
      <c r="C2048" s="283" t="s">
        <v>3277</v>
      </c>
      <c r="D2048" s="284" t="s">
        <v>6749</v>
      </c>
    </row>
    <row r="2049" spans="1:4" x14ac:dyDescent="0.3">
      <c r="A2049" s="282" t="s">
        <v>6750</v>
      </c>
      <c r="B2049" s="283" t="s">
        <v>6000</v>
      </c>
      <c r="C2049" s="283" t="s">
        <v>5998</v>
      </c>
      <c r="D2049" s="284" t="s">
        <v>6751</v>
      </c>
    </row>
    <row r="2050" spans="1:4" x14ac:dyDescent="0.3">
      <c r="A2050" s="282" t="s">
        <v>6752</v>
      </c>
      <c r="B2050" s="283" t="s">
        <v>3715</v>
      </c>
      <c r="C2050" s="283" t="s">
        <v>3496</v>
      </c>
      <c r="D2050" s="284" t="s">
        <v>6753</v>
      </c>
    </row>
    <row r="2051" spans="1:4" x14ac:dyDescent="0.3">
      <c r="A2051" s="282" t="s">
        <v>6754</v>
      </c>
      <c r="B2051" s="283" t="s">
        <v>4058</v>
      </c>
      <c r="C2051" s="283" t="s">
        <v>3277</v>
      </c>
      <c r="D2051" s="284" t="s">
        <v>6755</v>
      </c>
    </row>
    <row r="2052" spans="1:4" x14ac:dyDescent="0.3">
      <c r="A2052" s="282" t="s">
        <v>6756</v>
      </c>
      <c r="B2052" s="283" t="s">
        <v>3276</v>
      </c>
      <c r="C2052" s="283" t="s">
        <v>3277</v>
      </c>
      <c r="D2052" s="284" t="s">
        <v>6757</v>
      </c>
    </row>
    <row r="2053" spans="1:4" x14ac:dyDescent="0.3">
      <c r="A2053" s="282" t="s">
        <v>6758</v>
      </c>
      <c r="B2053" s="283" t="s">
        <v>3345</v>
      </c>
      <c r="C2053" s="283" t="s">
        <v>3346</v>
      </c>
      <c r="D2053" s="284" t="s">
        <v>6759</v>
      </c>
    </row>
    <row r="2054" spans="1:4" x14ac:dyDescent="0.3">
      <c r="A2054" s="282" t="s">
        <v>6758</v>
      </c>
      <c r="B2054" s="283" t="s">
        <v>3345</v>
      </c>
      <c r="C2054" s="283" t="s">
        <v>3346</v>
      </c>
      <c r="D2054" s="284" t="s">
        <v>6760</v>
      </c>
    </row>
    <row r="2055" spans="1:4" x14ac:dyDescent="0.3">
      <c r="A2055" s="282" t="s">
        <v>6758</v>
      </c>
      <c r="B2055" s="283" t="s">
        <v>3345</v>
      </c>
      <c r="C2055" s="283" t="s">
        <v>3346</v>
      </c>
      <c r="D2055" s="284" t="s">
        <v>6761</v>
      </c>
    </row>
    <row r="2056" spans="1:4" x14ac:dyDescent="0.3">
      <c r="A2056" s="282" t="s">
        <v>6758</v>
      </c>
      <c r="B2056" s="283" t="s">
        <v>3366</v>
      </c>
      <c r="C2056" s="283" t="s">
        <v>3346</v>
      </c>
      <c r="D2056" s="284" t="s">
        <v>6762</v>
      </c>
    </row>
    <row r="2057" spans="1:4" x14ac:dyDescent="0.3">
      <c r="A2057" s="282" t="s">
        <v>6763</v>
      </c>
      <c r="B2057" s="283" t="s">
        <v>3186</v>
      </c>
      <c r="C2057" s="283" t="s">
        <v>3183</v>
      </c>
      <c r="D2057" s="284" t="s">
        <v>6764</v>
      </c>
    </row>
    <row r="2058" spans="1:4" x14ac:dyDescent="0.3">
      <c r="A2058" s="282" t="s">
        <v>6765</v>
      </c>
      <c r="B2058" s="283" t="s">
        <v>3186</v>
      </c>
      <c r="C2058" s="283" t="s">
        <v>3183</v>
      </c>
      <c r="D2058" s="284" t="s">
        <v>6766</v>
      </c>
    </row>
    <row r="2059" spans="1:4" x14ac:dyDescent="0.3">
      <c r="A2059" s="282" t="s">
        <v>6767</v>
      </c>
      <c r="B2059" s="283" t="s">
        <v>3186</v>
      </c>
      <c r="C2059" s="283" t="s">
        <v>3183</v>
      </c>
      <c r="D2059" s="284" t="s">
        <v>6768</v>
      </c>
    </row>
    <row r="2060" spans="1:4" x14ac:dyDescent="0.3">
      <c r="A2060" s="282" t="s">
        <v>6769</v>
      </c>
      <c r="B2060" s="283" t="s">
        <v>3186</v>
      </c>
      <c r="C2060" s="283" t="s">
        <v>3183</v>
      </c>
      <c r="D2060" s="284" t="s">
        <v>6770</v>
      </c>
    </row>
    <row r="2061" spans="1:4" x14ac:dyDescent="0.3">
      <c r="A2061" s="282" t="s">
        <v>6771</v>
      </c>
      <c r="B2061" s="283" t="s">
        <v>3215</v>
      </c>
      <c r="C2061" s="283" t="s">
        <v>3183</v>
      </c>
      <c r="D2061" s="284" t="s">
        <v>6772</v>
      </c>
    </row>
    <row r="2062" spans="1:4" x14ac:dyDescent="0.3">
      <c r="A2062" s="282" t="s">
        <v>6773</v>
      </c>
      <c r="B2062" s="283" t="s">
        <v>6143</v>
      </c>
      <c r="C2062" s="283" t="s">
        <v>3281</v>
      </c>
      <c r="D2062" s="284" t="s">
        <v>6774</v>
      </c>
    </row>
    <row r="2063" spans="1:4" x14ac:dyDescent="0.3">
      <c r="A2063" s="282" t="s">
        <v>6775</v>
      </c>
      <c r="B2063" s="283" t="s">
        <v>4058</v>
      </c>
      <c r="C2063" s="283" t="s">
        <v>3277</v>
      </c>
      <c r="D2063" s="284" t="s">
        <v>6776</v>
      </c>
    </row>
    <row r="2064" spans="1:4" x14ac:dyDescent="0.3">
      <c r="A2064" s="282" t="s">
        <v>6777</v>
      </c>
      <c r="B2064" s="283" t="s">
        <v>3218</v>
      </c>
      <c r="C2064" s="283" t="s">
        <v>3183</v>
      </c>
      <c r="D2064" s="284" t="s">
        <v>6778</v>
      </c>
    </row>
    <row r="2065" spans="1:4" x14ac:dyDescent="0.3">
      <c r="A2065" s="282" t="s">
        <v>6779</v>
      </c>
      <c r="B2065" s="283" t="s">
        <v>3192</v>
      </c>
      <c r="C2065" s="283" t="s">
        <v>3183</v>
      </c>
      <c r="D2065" s="284" t="s">
        <v>6780</v>
      </c>
    </row>
    <row r="2066" spans="1:4" x14ac:dyDescent="0.3">
      <c r="A2066" s="282" t="s">
        <v>6781</v>
      </c>
      <c r="B2066" s="283" t="s">
        <v>3215</v>
      </c>
      <c r="C2066" s="283" t="s">
        <v>3183</v>
      </c>
      <c r="D2066" s="284" t="s">
        <v>6782</v>
      </c>
    </row>
    <row r="2067" spans="1:4" x14ac:dyDescent="0.3">
      <c r="A2067" s="282" t="s">
        <v>6783</v>
      </c>
      <c r="B2067" s="283" t="s">
        <v>3218</v>
      </c>
      <c r="C2067" s="283" t="s">
        <v>3183</v>
      </c>
      <c r="D2067" s="284" t="s">
        <v>6784</v>
      </c>
    </row>
    <row r="2068" spans="1:4" x14ac:dyDescent="0.3">
      <c r="A2068" s="282" t="s">
        <v>6785</v>
      </c>
      <c r="B2068" s="283" t="s">
        <v>3218</v>
      </c>
      <c r="C2068" s="283" t="s">
        <v>3183</v>
      </c>
      <c r="D2068" s="284" t="s">
        <v>6786</v>
      </c>
    </row>
    <row r="2069" spans="1:4" x14ac:dyDescent="0.3">
      <c r="A2069" s="282" t="s">
        <v>6787</v>
      </c>
      <c r="B2069" s="283" t="s">
        <v>3192</v>
      </c>
      <c r="C2069" s="283" t="s">
        <v>3183</v>
      </c>
      <c r="D2069" s="284" t="s">
        <v>6788</v>
      </c>
    </row>
    <row r="2070" spans="1:4" x14ac:dyDescent="0.3">
      <c r="A2070" s="282" t="s">
        <v>6789</v>
      </c>
      <c r="B2070" s="283" t="s">
        <v>3215</v>
      </c>
      <c r="C2070" s="283" t="s">
        <v>3183</v>
      </c>
      <c r="D2070" s="284" t="s">
        <v>6790</v>
      </c>
    </row>
    <row r="2071" spans="1:4" x14ac:dyDescent="0.3">
      <c r="A2071" s="282" t="s">
        <v>6791</v>
      </c>
      <c r="B2071" s="283" t="s">
        <v>3218</v>
      </c>
      <c r="C2071" s="283" t="s">
        <v>3183</v>
      </c>
      <c r="D2071" s="284" t="s">
        <v>6792</v>
      </c>
    </row>
    <row r="2072" spans="1:4" x14ac:dyDescent="0.3">
      <c r="A2072" s="282" t="s">
        <v>6793</v>
      </c>
      <c r="B2072" s="283" t="s">
        <v>3189</v>
      </c>
      <c r="C2072" s="283" t="s">
        <v>3183</v>
      </c>
      <c r="D2072" s="284" t="s">
        <v>6794</v>
      </c>
    </row>
    <row r="2073" spans="1:4" x14ac:dyDescent="0.3">
      <c r="A2073" s="282" t="s">
        <v>6795</v>
      </c>
      <c r="B2073" s="283" t="s">
        <v>3252</v>
      </c>
      <c r="C2073" s="283" t="s">
        <v>3183</v>
      </c>
      <c r="D2073" s="284" t="s">
        <v>6796</v>
      </c>
    </row>
    <row r="2074" spans="1:4" x14ac:dyDescent="0.3">
      <c r="A2074" s="282" t="s">
        <v>6797</v>
      </c>
      <c r="B2074" s="283" t="s">
        <v>3687</v>
      </c>
      <c r="C2074" s="283" t="s">
        <v>3776</v>
      </c>
      <c r="D2074" s="284" t="s">
        <v>6798</v>
      </c>
    </row>
    <row r="2075" spans="1:4" x14ac:dyDescent="0.3">
      <c r="A2075" s="282" t="s">
        <v>6799</v>
      </c>
      <c r="B2075" s="283" t="s">
        <v>4589</v>
      </c>
      <c r="C2075" s="283" t="s">
        <v>489</v>
      </c>
      <c r="D2075" s="284" t="s">
        <v>6800</v>
      </c>
    </row>
    <row r="2076" spans="1:4" x14ac:dyDescent="0.3">
      <c r="A2076" s="282" t="s">
        <v>6801</v>
      </c>
      <c r="B2076" s="283" t="s">
        <v>2708</v>
      </c>
      <c r="C2076" s="283" t="s">
        <v>3277</v>
      </c>
      <c r="D2076" s="284" t="s">
        <v>6802</v>
      </c>
    </row>
    <row r="2077" spans="1:4" x14ac:dyDescent="0.3">
      <c r="A2077" s="282" t="s">
        <v>6803</v>
      </c>
      <c r="B2077" s="283" t="s">
        <v>2708</v>
      </c>
      <c r="C2077" s="283" t="s">
        <v>489</v>
      </c>
      <c r="D2077" s="284" t="s">
        <v>6804</v>
      </c>
    </row>
    <row r="2078" spans="1:4" x14ac:dyDescent="0.3">
      <c r="A2078" s="282" t="s">
        <v>6805</v>
      </c>
      <c r="B2078" s="283" t="s">
        <v>2708</v>
      </c>
      <c r="C2078" s="283" t="s">
        <v>2846</v>
      </c>
      <c r="D2078" s="284" t="s">
        <v>6806</v>
      </c>
    </row>
    <row r="2079" spans="1:4" x14ac:dyDescent="0.3">
      <c r="A2079" s="282" t="s">
        <v>6807</v>
      </c>
      <c r="B2079" s="283" t="s">
        <v>3192</v>
      </c>
      <c r="C2079" s="283" t="s">
        <v>3183</v>
      </c>
      <c r="D2079" s="284" t="s">
        <v>6808</v>
      </c>
    </row>
    <row r="2080" spans="1:4" x14ac:dyDescent="0.3">
      <c r="A2080" s="282" t="s">
        <v>6809</v>
      </c>
      <c r="B2080" s="283" t="s">
        <v>3715</v>
      </c>
      <c r="C2080" s="283" t="s">
        <v>2846</v>
      </c>
      <c r="D2080" s="284" t="s">
        <v>6810</v>
      </c>
    </row>
    <row r="2081" spans="1:4" x14ac:dyDescent="0.3">
      <c r="A2081" s="282" t="s">
        <v>6811</v>
      </c>
      <c r="B2081" s="283" t="s">
        <v>4347</v>
      </c>
      <c r="C2081" s="283" t="s">
        <v>3281</v>
      </c>
      <c r="D2081" s="284" t="s">
        <v>6812</v>
      </c>
    </row>
    <row r="2082" spans="1:4" x14ac:dyDescent="0.3">
      <c r="A2082" s="282" t="s">
        <v>6813</v>
      </c>
      <c r="B2082" s="283" t="s">
        <v>6118</v>
      </c>
      <c r="C2082" s="283" t="s">
        <v>486</v>
      </c>
      <c r="D2082" s="284" t="s">
        <v>6814</v>
      </c>
    </row>
    <row r="2083" spans="1:4" x14ac:dyDescent="0.3">
      <c r="A2083" s="282" t="s">
        <v>6815</v>
      </c>
      <c r="B2083" s="283" t="s">
        <v>6118</v>
      </c>
      <c r="C2083" s="283" t="s">
        <v>486</v>
      </c>
      <c r="D2083" s="284" t="s">
        <v>6816</v>
      </c>
    </row>
    <row r="2084" spans="1:4" x14ac:dyDescent="0.3">
      <c r="A2084" s="282" t="s">
        <v>6817</v>
      </c>
      <c r="B2084" s="283" t="s">
        <v>6118</v>
      </c>
      <c r="C2084" s="283" t="s">
        <v>486</v>
      </c>
      <c r="D2084" s="284" t="s">
        <v>6818</v>
      </c>
    </row>
    <row r="2085" spans="1:4" x14ac:dyDescent="0.3">
      <c r="A2085" s="282" t="s">
        <v>6819</v>
      </c>
      <c r="B2085" s="283" t="s">
        <v>6118</v>
      </c>
      <c r="C2085" s="283" t="s">
        <v>486</v>
      </c>
      <c r="D2085" s="284" t="s">
        <v>6820</v>
      </c>
    </row>
    <row r="2086" spans="1:4" x14ac:dyDescent="0.3">
      <c r="A2086" s="282" t="s">
        <v>6821</v>
      </c>
      <c r="B2086" s="283" t="s">
        <v>6118</v>
      </c>
      <c r="C2086" s="283" t="s">
        <v>486</v>
      </c>
      <c r="D2086" s="284" t="s">
        <v>6822</v>
      </c>
    </row>
    <row r="2087" spans="1:4" x14ac:dyDescent="0.3">
      <c r="A2087" s="282" t="s">
        <v>6823</v>
      </c>
      <c r="B2087" s="283" t="s">
        <v>6118</v>
      </c>
      <c r="C2087" s="283" t="s">
        <v>486</v>
      </c>
      <c r="D2087" s="284" t="s">
        <v>6824</v>
      </c>
    </row>
    <row r="2088" spans="1:4" x14ac:dyDescent="0.3">
      <c r="A2088" s="282" t="s">
        <v>6825</v>
      </c>
      <c r="B2088" s="283" t="s">
        <v>6118</v>
      </c>
      <c r="C2088" s="283" t="s">
        <v>486</v>
      </c>
      <c r="D2088" s="284" t="s">
        <v>6826</v>
      </c>
    </row>
    <row r="2089" spans="1:4" x14ac:dyDescent="0.3">
      <c r="A2089" s="282" t="s">
        <v>6827</v>
      </c>
      <c r="B2089" s="283" t="s">
        <v>6118</v>
      </c>
      <c r="C2089" s="283" t="s">
        <v>486</v>
      </c>
      <c r="D2089" s="284" t="s">
        <v>6828</v>
      </c>
    </row>
    <row r="2090" spans="1:4" x14ac:dyDescent="0.3">
      <c r="A2090" s="282" t="s">
        <v>6829</v>
      </c>
      <c r="B2090" s="283" t="s">
        <v>6830</v>
      </c>
      <c r="C2090" s="283" t="s">
        <v>486</v>
      </c>
      <c r="D2090" s="284" t="s">
        <v>6831</v>
      </c>
    </row>
    <row r="2091" spans="1:4" x14ac:dyDescent="0.3">
      <c r="A2091" s="282" t="s">
        <v>6832</v>
      </c>
      <c r="B2091" s="283" t="s">
        <v>6118</v>
      </c>
      <c r="C2091" s="283" t="s">
        <v>486</v>
      </c>
      <c r="D2091" s="284" t="s">
        <v>6833</v>
      </c>
    </row>
    <row r="2092" spans="1:4" x14ac:dyDescent="0.3">
      <c r="A2092" s="282" t="s">
        <v>6834</v>
      </c>
      <c r="B2092" s="283" t="s">
        <v>6118</v>
      </c>
      <c r="C2092" s="283" t="s">
        <v>486</v>
      </c>
      <c r="D2092" s="284" t="s">
        <v>6835</v>
      </c>
    </row>
    <row r="2093" spans="1:4" x14ac:dyDescent="0.3">
      <c r="A2093" s="282" t="s">
        <v>6836</v>
      </c>
      <c r="B2093" s="283" t="s">
        <v>6118</v>
      </c>
      <c r="C2093" s="283" t="s">
        <v>486</v>
      </c>
      <c r="D2093" s="284" t="s">
        <v>6837</v>
      </c>
    </row>
    <row r="2094" spans="1:4" x14ac:dyDescent="0.3">
      <c r="A2094" s="282" t="s">
        <v>6838</v>
      </c>
      <c r="B2094" s="283" t="s">
        <v>6118</v>
      </c>
      <c r="C2094" s="283" t="s">
        <v>486</v>
      </c>
      <c r="D2094" s="284" t="s">
        <v>6839</v>
      </c>
    </row>
    <row r="2095" spans="1:4" x14ac:dyDescent="0.3">
      <c r="A2095" s="282" t="s">
        <v>6840</v>
      </c>
      <c r="B2095" s="283" t="s">
        <v>3715</v>
      </c>
      <c r="C2095" s="283" t="s">
        <v>489</v>
      </c>
      <c r="D2095" s="284" t="s">
        <v>6841</v>
      </c>
    </row>
    <row r="2096" spans="1:4" x14ac:dyDescent="0.3">
      <c r="A2096" s="282" t="s">
        <v>6842</v>
      </c>
      <c r="B2096" s="283" t="s">
        <v>3715</v>
      </c>
      <c r="C2096" s="283" t="s">
        <v>489</v>
      </c>
      <c r="D2096" s="284" t="s">
        <v>6843</v>
      </c>
    </row>
    <row r="2097" spans="1:4" x14ac:dyDescent="0.3">
      <c r="A2097" s="282" t="s">
        <v>6844</v>
      </c>
      <c r="B2097" s="283" t="s">
        <v>3366</v>
      </c>
      <c r="C2097" s="283" t="s">
        <v>3346</v>
      </c>
      <c r="D2097" s="284" t="s">
        <v>6845</v>
      </c>
    </row>
    <row r="2098" spans="1:4" x14ac:dyDescent="0.3">
      <c r="A2098" s="282" t="s">
        <v>6844</v>
      </c>
      <c r="B2098" s="283" t="s">
        <v>3345</v>
      </c>
      <c r="C2098" s="283" t="s">
        <v>3346</v>
      </c>
      <c r="D2098" s="284" t="s">
        <v>6846</v>
      </c>
    </row>
    <row r="2099" spans="1:4" x14ac:dyDescent="0.3">
      <c r="A2099" s="282" t="s">
        <v>6847</v>
      </c>
      <c r="B2099" s="283" t="s">
        <v>3186</v>
      </c>
      <c r="C2099" s="283" t="s">
        <v>3183</v>
      </c>
      <c r="D2099" s="284" t="s">
        <v>6848</v>
      </c>
    </row>
    <row r="2100" spans="1:4" x14ac:dyDescent="0.3">
      <c r="A2100" s="282" t="s">
        <v>6849</v>
      </c>
      <c r="B2100" s="283" t="s">
        <v>3186</v>
      </c>
      <c r="C2100" s="283" t="s">
        <v>3183</v>
      </c>
      <c r="D2100" s="284" t="s">
        <v>6850</v>
      </c>
    </row>
    <row r="2101" spans="1:4" x14ac:dyDescent="0.3">
      <c r="A2101" s="282" t="s">
        <v>6851</v>
      </c>
      <c r="B2101" s="283" t="s">
        <v>3186</v>
      </c>
      <c r="C2101" s="283" t="s">
        <v>3183</v>
      </c>
      <c r="D2101" s="284" t="s">
        <v>6852</v>
      </c>
    </row>
    <row r="2102" spans="1:4" x14ac:dyDescent="0.3">
      <c r="A2102" s="282" t="s">
        <v>6853</v>
      </c>
      <c r="B2102" s="283" t="s">
        <v>3186</v>
      </c>
      <c r="C2102" s="283" t="s">
        <v>3183</v>
      </c>
      <c r="D2102" s="284" t="s">
        <v>6854</v>
      </c>
    </row>
    <row r="2103" spans="1:4" x14ac:dyDescent="0.3">
      <c r="A2103" s="282" t="s">
        <v>6855</v>
      </c>
      <c r="B2103" s="283" t="s">
        <v>3687</v>
      </c>
      <c r="C2103" s="283" t="s">
        <v>2846</v>
      </c>
      <c r="D2103" s="284" t="s">
        <v>6856</v>
      </c>
    </row>
    <row r="2104" spans="1:4" x14ac:dyDescent="0.3">
      <c r="A2104" s="282" t="s">
        <v>6857</v>
      </c>
      <c r="B2104" s="283" t="s">
        <v>3687</v>
      </c>
      <c r="C2104" s="283" t="s">
        <v>3776</v>
      </c>
      <c r="D2104" s="284" t="s">
        <v>6858</v>
      </c>
    </row>
    <row r="2105" spans="1:4" x14ac:dyDescent="0.3">
      <c r="A2105" s="282" t="s">
        <v>6859</v>
      </c>
      <c r="B2105" s="283" t="s">
        <v>3715</v>
      </c>
      <c r="C2105" s="283" t="s">
        <v>3346</v>
      </c>
      <c r="D2105" s="284" t="s">
        <v>6860</v>
      </c>
    </row>
    <row r="2106" spans="1:4" x14ac:dyDescent="0.3">
      <c r="A2106" s="282" t="s">
        <v>6861</v>
      </c>
      <c r="B2106" s="283" t="s">
        <v>3715</v>
      </c>
      <c r="C2106" s="283" t="s">
        <v>2846</v>
      </c>
      <c r="D2106" s="284" t="s">
        <v>6862</v>
      </c>
    </row>
    <row r="2107" spans="1:4" x14ac:dyDescent="0.3">
      <c r="A2107" s="282" t="s">
        <v>6863</v>
      </c>
      <c r="B2107" s="283" t="s">
        <v>4058</v>
      </c>
      <c r="C2107" s="283" t="s">
        <v>3277</v>
      </c>
      <c r="D2107" s="284" t="s">
        <v>6864</v>
      </c>
    </row>
    <row r="2108" spans="1:4" x14ac:dyDescent="0.3">
      <c r="A2108" s="282" t="s">
        <v>6865</v>
      </c>
      <c r="B2108" s="283" t="s">
        <v>3357</v>
      </c>
      <c r="C2108" s="283" t="s">
        <v>3346</v>
      </c>
      <c r="D2108" s="284" t="s">
        <v>6866</v>
      </c>
    </row>
    <row r="2109" spans="1:4" x14ac:dyDescent="0.3">
      <c r="A2109" s="282" t="s">
        <v>6867</v>
      </c>
      <c r="B2109" s="283" t="s">
        <v>2595</v>
      </c>
      <c r="C2109" s="283" t="s">
        <v>3277</v>
      </c>
      <c r="D2109" s="284" t="s">
        <v>6868</v>
      </c>
    </row>
    <row r="2110" spans="1:4" x14ac:dyDescent="0.3">
      <c r="A2110" s="282" t="s">
        <v>6869</v>
      </c>
      <c r="B2110" s="283" t="s">
        <v>4058</v>
      </c>
      <c r="C2110" s="283" t="s">
        <v>3277</v>
      </c>
      <c r="D2110" s="284" t="s">
        <v>6870</v>
      </c>
    </row>
    <row r="2111" spans="1:4" x14ac:dyDescent="0.3">
      <c r="A2111" s="282" t="s">
        <v>6871</v>
      </c>
      <c r="B2111" s="283" t="s">
        <v>4058</v>
      </c>
      <c r="C2111" s="283" t="s">
        <v>3277</v>
      </c>
      <c r="D2111" s="284" t="s">
        <v>6872</v>
      </c>
    </row>
    <row r="2112" spans="1:4" x14ac:dyDescent="0.3">
      <c r="A2112" s="282" t="s">
        <v>6873</v>
      </c>
      <c r="B2112" s="283" t="s">
        <v>3357</v>
      </c>
      <c r="C2112" s="283" t="s">
        <v>3346</v>
      </c>
      <c r="D2112" s="284" t="s">
        <v>6874</v>
      </c>
    </row>
    <row r="2113" spans="1:4" x14ac:dyDescent="0.3">
      <c r="A2113" s="282" t="s">
        <v>6875</v>
      </c>
      <c r="B2113" s="283" t="s">
        <v>2595</v>
      </c>
      <c r="C2113" s="283" t="s">
        <v>3277</v>
      </c>
      <c r="D2113" s="284" t="s">
        <v>6876</v>
      </c>
    </row>
    <row r="2114" spans="1:4" x14ac:dyDescent="0.3">
      <c r="A2114" s="282" t="s">
        <v>6877</v>
      </c>
      <c r="B2114" s="283" t="s">
        <v>4058</v>
      </c>
      <c r="C2114" s="283" t="s">
        <v>3277</v>
      </c>
      <c r="D2114" s="284" t="s">
        <v>6878</v>
      </c>
    </row>
    <row r="2115" spans="1:4" x14ac:dyDescent="0.3">
      <c r="A2115" s="282" t="s">
        <v>6879</v>
      </c>
      <c r="B2115" s="283" t="s">
        <v>3715</v>
      </c>
      <c r="C2115" s="283" t="s">
        <v>3183</v>
      </c>
      <c r="D2115" s="284" t="s">
        <v>6880</v>
      </c>
    </row>
    <row r="2116" spans="1:4" x14ac:dyDescent="0.3">
      <c r="A2116" s="282" t="s">
        <v>6881</v>
      </c>
      <c r="B2116" s="283" t="s">
        <v>3204</v>
      </c>
      <c r="C2116" s="283" t="s">
        <v>3183</v>
      </c>
      <c r="D2116" s="284" t="s">
        <v>6882</v>
      </c>
    </row>
    <row r="2117" spans="1:4" x14ac:dyDescent="0.3">
      <c r="A2117" s="282" t="s">
        <v>6883</v>
      </c>
      <c r="B2117" s="283" t="s">
        <v>3215</v>
      </c>
      <c r="C2117" s="283" t="s">
        <v>3183</v>
      </c>
      <c r="D2117" s="284" t="s">
        <v>6884</v>
      </c>
    </row>
    <row r="2118" spans="1:4" x14ac:dyDescent="0.3">
      <c r="A2118" s="282" t="s">
        <v>6885</v>
      </c>
      <c r="B2118" s="283" t="s">
        <v>3715</v>
      </c>
      <c r="C2118" s="283" t="s">
        <v>3906</v>
      </c>
      <c r="D2118" s="284" t="s">
        <v>6886</v>
      </c>
    </row>
    <row r="2119" spans="1:4" x14ac:dyDescent="0.3">
      <c r="A2119" s="282" t="s">
        <v>6887</v>
      </c>
      <c r="B2119" s="283" t="s">
        <v>3715</v>
      </c>
      <c r="C2119" s="283" t="s">
        <v>3346</v>
      </c>
      <c r="D2119" s="284" t="s">
        <v>6888</v>
      </c>
    </row>
    <row r="2120" spans="1:4" x14ac:dyDescent="0.3">
      <c r="A2120" s="282" t="s">
        <v>6889</v>
      </c>
      <c r="B2120" s="283" t="s">
        <v>3715</v>
      </c>
      <c r="C2120" s="283" t="s">
        <v>3183</v>
      </c>
      <c r="D2120" s="284" t="s">
        <v>6890</v>
      </c>
    </row>
    <row r="2121" spans="1:4" x14ac:dyDescent="0.3">
      <c r="A2121" s="282" t="s">
        <v>6891</v>
      </c>
      <c r="B2121" s="283" t="s">
        <v>3715</v>
      </c>
      <c r="C2121" s="283" t="s">
        <v>489</v>
      </c>
      <c r="D2121" s="284" t="s">
        <v>6892</v>
      </c>
    </row>
    <row r="2122" spans="1:4" x14ac:dyDescent="0.3">
      <c r="A2122" s="282" t="s">
        <v>6893</v>
      </c>
      <c r="B2122" s="283" t="s">
        <v>3715</v>
      </c>
      <c r="C2122" s="283" t="s">
        <v>2846</v>
      </c>
      <c r="D2122" s="284" t="s">
        <v>6894</v>
      </c>
    </row>
    <row r="2123" spans="1:4" x14ac:dyDescent="0.3">
      <c r="A2123" s="282" t="s">
        <v>6895</v>
      </c>
      <c r="B2123" s="283" t="s">
        <v>4385</v>
      </c>
      <c r="C2123" s="283" t="s">
        <v>3277</v>
      </c>
      <c r="D2123" s="284" t="s">
        <v>6896</v>
      </c>
    </row>
    <row r="2124" spans="1:4" x14ac:dyDescent="0.3">
      <c r="A2124" s="282" t="s">
        <v>6897</v>
      </c>
      <c r="B2124" s="283" t="s">
        <v>5880</v>
      </c>
      <c r="C2124" s="283" t="s">
        <v>3277</v>
      </c>
      <c r="D2124" s="284" t="s">
        <v>6898</v>
      </c>
    </row>
    <row r="2125" spans="1:4" x14ac:dyDescent="0.3">
      <c r="A2125" s="282" t="s">
        <v>6899</v>
      </c>
      <c r="B2125" s="283" t="s">
        <v>3715</v>
      </c>
      <c r="C2125" s="283" t="s">
        <v>489</v>
      </c>
      <c r="D2125" s="284" t="s">
        <v>6900</v>
      </c>
    </row>
    <row r="2126" spans="1:4" x14ac:dyDescent="0.3">
      <c r="A2126" s="282" t="s">
        <v>6901</v>
      </c>
      <c r="B2126" s="283" t="s">
        <v>3715</v>
      </c>
      <c r="C2126" s="283" t="s">
        <v>2846</v>
      </c>
      <c r="D2126" s="284" t="s">
        <v>6902</v>
      </c>
    </row>
    <row r="2127" spans="1:4" x14ac:dyDescent="0.3">
      <c r="A2127" s="282" t="s">
        <v>6903</v>
      </c>
      <c r="B2127" s="283" t="s">
        <v>3715</v>
      </c>
      <c r="C2127" s="283" t="s">
        <v>2846</v>
      </c>
      <c r="D2127" s="284" t="s">
        <v>6904</v>
      </c>
    </row>
    <row r="2128" spans="1:4" x14ac:dyDescent="0.3">
      <c r="A2128" s="282" t="s">
        <v>6905</v>
      </c>
      <c r="B2128" s="283" t="s">
        <v>3715</v>
      </c>
      <c r="C2128" s="283" t="s">
        <v>2846</v>
      </c>
      <c r="D2128" s="284" t="s">
        <v>6906</v>
      </c>
    </row>
    <row r="2129" spans="1:4" x14ac:dyDescent="0.3">
      <c r="A2129" s="282" t="s">
        <v>6907</v>
      </c>
      <c r="B2129" s="283" t="s">
        <v>3715</v>
      </c>
      <c r="C2129" s="283" t="s">
        <v>2846</v>
      </c>
      <c r="D2129" s="284" t="s">
        <v>6908</v>
      </c>
    </row>
    <row r="2130" spans="1:4" x14ac:dyDescent="0.3">
      <c r="A2130" s="282" t="s">
        <v>6909</v>
      </c>
      <c r="B2130" s="283" t="s">
        <v>3715</v>
      </c>
      <c r="C2130" s="283" t="s">
        <v>2846</v>
      </c>
      <c r="D2130" s="284" t="s">
        <v>6910</v>
      </c>
    </row>
    <row r="2131" spans="1:4" x14ac:dyDescent="0.3">
      <c r="A2131" s="282" t="s">
        <v>6911</v>
      </c>
      <c r="B2131" s="283" t="s">
        <v>3715</v>
      </c>
      <c r="C2131" s="283" t="s">
        <v>2846</v>
      </c>
      <c r="D2131" s="284" t="s">
        <v>6912</v>
      </c>
    </row>
    <row r="2132" spans="1:4" x14ac:dyDescent="0.3">
      <c r="A2132" s="282" t="s">
        <v>6913</v>
      </c>
      <c r="B2132" s="283" t="s">
        <v>3715</v>
      </c>
      <c r="C2132" s="283" t="s">
        <v>2846</v>
      </c>
      <c r="D2132" s="284" t="s">
        <v>6914</v>
      </c>
    </row>
    <row r="2133" spans="1:4" x14ac:dyDescent="0.3">
      <c r="A2133" s="282" t="s">
        <v>6915</v>
      </c>
      <c r="B2133" s="283" t="s">
        <v>3715</v>
      </c>
      <c r="C2133" s="283" t="s">
        <v>3346</v>
      </c>
      <c r="D2133" s="284" t="s">
        <v>6916</v>
      </c>
    </row>
    <row r="2134" spans="1:4" x14ac:dyDescent="0.3">
      <c r="A2134" s="282" t="s">
        <v>6917</v>
      </c>
      <c r="B2134" s="283" t="s">
        <v>3715</v>
      </c>
      <c r="C2134" s="283" t="s">
        <v>5998</v>
      </c>
      <c r="D2134" s="284" t="s">
        <v>6918</v>
      </c>
    </row>
    <row r="2135" spans="1:4" x14ac:dyDescent="0.3">
      <c r="A2135" s="282" t="s">
        <v>6919</v>
      </c>
      <c r="B2135" s="283" t="s">
        <v>6000</v>
      </c>
      <c r="C2135" s="283" t="s">
        <v>5998</v>
      </c>
      <c r="D2135" s="284" t="s">
        <v>6920</v>
      </c>
    </row>
    <row r="2136" spans="1:4" x14ac:dyDescent="0.3">
      <c r="A2136" s="282" t="s">
        <v>6921</v>
      </c>
      <c r="B2136" s="283" t="s">
        <v>3715</v>
      </c>
      <c r="C2136" s="283" t="s">
        <v>3245</v>
      </c>
      <c r="D2136" s="284" t="s">
        <v>6922</v>
      </c>
    </row>
    <row r="2137" spans="1:4" x14ac:dyDescent="0.3">
      <c r="A2137" s="282" t="s">
        <v>6923</v>
      </c>
      <c r="B2137" s="283" t="s">
        <v>3905</v>
      </c>
      <c r="C2137" s="283" t="s">
        <v>3906</v>
      </c>
      <c r="D2137" s="284" t="s">
        <v>6924</v>
      </c>
    </row>
    <row r="2138" spans="1:4" x14ac:dyDescent="0.3">
      <c r="A2138" s="282" t="s">
        <v>6923</v>
      </c>
      <c r="B2138" s="283" t="s">
        <v>3905</v>
      </c>
      <c r="C2138" s="283" t="s">
        <v>3906</v>
      </c>
      <c r="D2138" s="284" t="s">
        <v>6925</v>
      </c>
    </row>
    <row r="2139" spans="1:4" x14ac:dyDescent="0.3">
      <c r="A2139" s="282" t="s">
        <v>6923</v>
      </c>
      <c r="B2139" s="283" t="s">
        <v>3905</v>
      </c>
      <c r="C2139" s="283" t="s">
        <v>3906</v>
      </c>
      <c r="D2139" s="284" t="s">
        <v>6926</v>
      </c>
    </row>
    <row r="2140" spans="1:4" x14ac:dyDescent="0.3">
      <c r="A2140" s="282" t="s">
        <v>6923</v>
      </c>
      <c r="B2140" s="283" t="s">
        <v>3905</v>
      </c>
      <c r="C2140" s="283" t="s">
        <v>3906</v>
      </c>
      <c r="D2140" s="284" t="s">
        <v>6927</v>
      </c>
    </row>
    <row r="2141" spans="1:4" x14ac:dyDescent="0.3">
      <c r="A2141" s="282" t="s">
        <v>6923</v>
      </c>
      <c r="B2141" s="283" t="s">
        <v>3905</v>
      </c>
      <c r="C2141" s="283" t="s">
        <v>3906</v>
      </c>
      <c r="D2141" s="284" t="s">
        <v>6928</v>
      </c>
    </row>
    <row r="2142" spans="1:4" x14ac:dyDescent="0.3">
      <c r="A2142" s="282" t="s">
        <v>6923</v>
      </c>
      <c r="B2142" s="283" t="s">
        <v>3905</v>
      </c>
      <c r="C2142" s="283" t="s">
        <v>3906</v>
      </c>
      <c r="D2142" s="284" t="s">
        <v>6929</v>
      </c>
    </row>
    <row r="2143" spans="1:4" x14ac:dyDescent="0.3">
      <c r="A2143" s="282" t="s">
        <v>6930</v>
      </c>
      <c r="B2143" s="283" t="s">
        <v>3715</v>
      </c>
      <c r="C2143" s="283" t="s">
        <v>2846</v>
      </c>
      <c r="D2143" s="284" t="s">
        <v>6931</v>
      </c>
    </row>
    <row r="2144" spans="1:4" x14ac:dyDescent="0.3">
      <c r="A2144" s="282" t="s">
        <v>6932</v>
      </c>
      <c r="B2144" s="283" t="s">
        <v>3905</v>
      </c>
      <c r="C2144" s="283" t="s">
        <v>3906</v>
      </c>
      <c r="D2144" s="284" t="s">
        <v>6933</v>
      </c>
    </row>
    <row r="2145" spans="1:4" x14ac:dyDescent="0.3">
      <c r="A2145" s="282" t="s">
        <v>6934</v>
      </c>
      <c r="B2145" s="283" t="s">
        <v>3905</v>
      </c>
      <c r="C2145" s="283" t="s">
        <v>3906</v>
      </c>
      <c r="D2145" s="284" t="s">
        <v>6935</v>
      </c>
    </row>
    <row r="2146" spans="1:4" x14ac:dyDescent="0.3">
      <c r="A2146" s="282" t="s">
        <v>6936</v>
      </c>
      <c r="B2146" s="283" t="s">
        <v>3715</v>
      </c>
      <c r="C2146" s="283" t="s">
        <v>3346</v>
      </c>
      <c r="D2146" s="284" t="s">
        <v>6937</v>
      </c>
    </row>
    <row r="2147" spans="1:4" x14ac:dyDescent="0.3">
      <c r="A2147" s="282" t="s">
        <v>6938</v>
      </c>
      <c r="B2147" s="283" t="s">
        <v>3715</v>
      </c>
      <c r="C2147" s="283" t="s">
        <v>2846</v>
      </c>
      <c r="D2147" s="284" t="s">
        <v>6939</v>
      </c>
    </row>
    <row r="2148" spans="1:4" x14ac:dyDescent="0.3">
      <c r="A2148" s="282" t="s">
        <v>6940</v>
      </c>
      <c r="B2148" s="283" t="s">
        <v>4070</v>
      </c>
      <c r="C2148" s="283" t="s">
        <v>3277</v>
      </c>
      <c r="D2148" s="284" t="s">
        <v>6941</v>
      </c>
    </row>
    <row r="2149" spans="1:4" x14ac:dyDescent="0.3">
      <c r="A2149" s="282" t="s">
        <v>6942</v>
      </c>
      <c r="B2149" s="283" t="s">
        <v>4070</v>
      </c>
      <c r="C2149" s="283" t="s">
        <v>3277</v>
      </c>
      <c r="D2149" s="284" t="s">
        <v>6941</v>
      </c>
    </row>
    <row r="2150" spans="1:4" x14ac:dyDescent="0.3">
      <c r="A2150" s="282" t="s">
        <v>6943</v>
      </c>
      <c r="B2150" s="283" t="s">
        <v>3276</v>
      </c>
      <c r="C2150" s="283" t="s">
        <v>3277</v>
      </c>
      <c r="D2150" s="284" t="s">
        <v>6944</v>
      </c>
    </row>
    <row r="2151" spans="1:4" x14ac:dyDescent="0.3">
      <c r="A2151" s="282" t="s">
        <v>6945</v>
      </c>
      <c r="B2151" s="283" t="s">
        <v>3276</v>
      </c>
      <c r="C2151" s="283" t="s">
        <v>3277</v>
      </c>
      <c r="D2151" s="284" t="s">
        <v>6946</v>
      </c>
    </row>
    <row r="2152" spans="1:4" x14ac:dyDescent="0.3">
      <c r="A2152" s="282" t="s">
        <v>6947</v>
      </c>
      <c r="B2152" s="283" t="s">
        <v>6425</v>
      </c>
      <c r="C2152" s="283" t="s">
        <v>3277</v>
      </c>
      <c r="D2152" s="284" t="s">
        <v>6948</v>
      </c>
    </row>
    <row r="2153" spans="1:4" x14ac:dyDescent="0.3">
      <c r="A2153" s="282" t="s">
        <v>6949</v>
      </c>
      <c r="B2153" s="283" t="s">
        <v>6425</v>
      </c>
      <c r="C2153" s="283" t="s">
        <v>3277</v>
      </c>
      <c r="D2153" s="284" t="s">
        <v>6950</v>
      </c>
    </row>
    <row r="2154" spans="1:4" x14ac:dyDescent="0.3">
      <c r="A2154" s="282" t="s">
        <v>6951</v>
      </c>
      <c r="B2154" s="283" t="s">
        <v>6952</v>
      </c>
      <c r="C2154" s="283" t="s">
        <v>3277</v>
      </c>
      <c r="D2154" s="284" t="s">
        <v>6953</v>
      </c>
    </row>
    <row r="2155" spans="1:4" x14ac:dyDescent="0.3">
      <c r="A2155" s="282" t="s">
        <v>6954</v>
      </c>
      <c r="B2155" s="283" t="s">
        <v>6952</v>
      </c>
      <c r="C2155" s="283" t="s">
        <v>3277</v>
      </c>
      <c r="D2155" s="284" t="s">
        <v>6953</v>
      </c>
    </row>
    <row r="2156" spans="1:4" x14ac:dyDescent="0.3">
      <c r="A2156" s="282" t="s">
        <v>6955</v>
      </c>
      <c r="B2156" s="283" t="s">
        <v>4143</v>
      </c>
      <c r="C2156" s="283" t="s">
        <v>3277</v>
      </c>
      <c r="D2156" s="284" t="s">
        <v>6956</v>
      </c>
    </row>
    <row r="2157" spans="1:4" x14ac:dyDescent="0.3">
      <c r="A2157" s="282" t="s">
        <v>6957</v>
      </c>
      <c r="B2157" s="283" t="s">
        <v>4143</v>
      </c>
      <c r="C2157" s="283" t="s">
        <v>3277</v>
      </c>
      <c r="D2157" s="284" t="s">
        <v>6956</v>
      </c>
    </row>
    <row r="2158" spans="1:4" x14ac:dyDescent="0.3">
      <c r="A2158" s="282" t="s">
        <v>6958</v>
      </c>
      <c r="B2158" s="283" t="s">
        <v>3806</v>
      </c>
      <c r="C2158" s="283" t="s">
        <v>3776</v>
      </c>
      <c r="D2158" s="284" t="s">
        <v>6959</v>
      </c>
    </row>
    <row r="2159" spans="1:4" x14ac:dyDescent="0.3">
      <c r="A2159" s="282" t="s">
        <v>6960</v>
      </c>
      <c r="B2159" s="283" t="s">
        <v>3806</v>
      </c>
      <c r="C2159" s="283" t="s">
        <v>3776</v>
      </c>
      <c r="D2159" s="284" t="s">
        <v>6961</v>
      </c>
    </row>
    <row r="2160" spans="1:4" x14ac:dyDescent="0.3">
      <c r="A2160" s="282" t="s">
        <v>6962</v>
      </c>
      <c r="B2160" s="283" t="s">
        <v>3787</v>
      </c>
      <c r="C2160" s="283" t="s">
        <v>3776</v>
      </c>
      <c r="D2160" s="284" t="s">
        <v>6963</v>
      </c>
    </row>
    <row r="2161" spans="1:4" x14ac:dyDescent="0.3">
      <c r="A2161" s="282" t="s">
        <v>6964</v>
      </c>
      <c r="B2161" s="283" t="s">
        <v>3787</v>
      </c>
      <c r="C2161" s="283" t="s">
        <v>3776</v>
      </c>
      <c r="D2161" s="284" t="s">
        <v>6965</v>
      </c>
    </row>
    <row r="2162" spans="1:4" x14ac:dyDescent="0.3">
      <c r="A2162" s="282" t="s">
        <v>6964</v>
      </c>
      <c r="B2162" s="283" t="s">
        <v>3787</v>
      </c>
      <c r="C2162" s="283" t="s">
        <v>3776</v>
      </c>
      <c r="D2162" s="284" t="s">
        <v>6966</v>
      </c>
    </row>
    <row r="2163" spans="1:4" x14ac:dyDescent="0.3">
      <c r="A2163" s="282" t="s">
        <v>6967</v>
      </c>
      <c r="B2163" s="283" t="s">
        <v>3824</v>
      </c>
      <c r="C2163" s="283" t="s">
        <v>3496</v>
      </c>
      <c r="D2163" s="284" t="s">
        <v>6968</v>
      </c>
    </row>
    <row r="2164" spans="1:4" x14ac:dyDescent="0.3">
      <c r="A2164" s="282" t="s">
        <v>6967</v>
      </c>
      <c r="B2164" s="283" t="s">
        <v>3824</v>
      </c>
      <c r="C2164" s="283" t="s">
        <v>3496</v>
      </c>
      <c r="D2164" s="284" t="s">
        <v>6969</v>
      </c>
    </row>
    <row r="2165" spans="1:4" x14ac:dyDescent="0.3">
      <c r="A2165" s="282" t="s">
        <v>6967</v>
      </c>
      <c r="B2165" s="283" t="s">
        <v>3824</v>
      </c>
      <c r="C2165" s="283" t="s">
        <v>3496</v>
      </c>
      <c r="D2165" s="284" t="s">
        <v>6970</v>
      </c>
    </row>
    <row r="2166" spans="1:4" x14ac:dyDescent="0.3">
      <c r="A2166" s="282" t="s">
        <v>6967</v>
      </c>
      <c r="B2166" s="283" t="s">
        <v>3824</v>
      </c>
      <c r="C2166" s="283" t="s">
        <v>3496</v>
      </c>
      <c r="D2166" s="284" t="s">
        <v>6971</v>
      </c>
    </row>
    <row r="2167" spans="1:4" x14ac:dyDescent="0.3">
      <c r="A2167" s="282" t="s">
        <v>6967</v>
      </c>
      <c r="B2167" s="283" t="s">
        <v>3824</v>
      </c>
      <c r="C2167" s="283" t="s">
        <v>3496</v>
      </c>
      <c r="D2167" s="284" t="s">
        <v>6972</v>
      </c>
    </row>
    <row r="2168" spans="1:4" x14ac:dyDescent="0.3">
      <c r="A2168" s="282" t="s">
        <v>6967</v>
      </c>
      <c r="B2168" s="283" t="s">
        <v>3824</v>
      </c>
      <c r="C2168" s="283" t="s">
        <v>3496</v>
      </c>
      <c r="D2168" s="284" t="s">
        <v>6973</v>
      </c>
    </row>
    <row r="2169" spans="1:4" x14ac:dyDescent="0.3">
      <c r="A2169" s="282" t="s">
        <v>6974</v>
      </c>
      <c r="B2169" s="283" t="s">
        <v>3824</v>
      </c>
      <c r="C2169" s="283" t="s">
        <v>3496</v>
      </c>
      <c r="D2169" s="284" t="s">
        <v>6975</v>
      </c>
    </row>
    <row r="2170" spans="1:4" x14ac:dyDescent="0.3">
      <c r="A2170" s="282" t="s">
        <v>6976</v>
      </c>
      <c r="B2170" s="283" t="s">
        <v>3824</v>
      </c>
      <c r="C2170" s="283" t="s">
        <v>3496</v>
      </c>
      <c r="D2170" s="284" t="s">
        <v>6977</v>
      </c>
    </row>
    <row r="2171" spans="1:4" x14ac:dyDescent="0.3">
      <c r="A2171" s="282" t="s">
        <v>6978</v>
      </c>
      <c r="B2171" s="283" t="s">
        <v>4706</v>
      </c>
      <c r="C2171" s="283" t="s">
        <v>3496</v>
      </c>
      <c r="D2171" s="284" t="s">
        <v>6979</v>
      </c>
    </row>
    <row r="2172" spans="1:4" x14ac:dyDescent="0.3">
      <c r="A2172" s="282" t="s">
        <v>6980</v>
      </c>
      <c r="B2172" s="283" t="s">
        <v>4706</v>
      </c>
      <c r="C2172" s="283" t="s">
        <v>3496</v>
      </c>
      <c r="D2172" s="284" t="s">
        <v>6981</v>
      </c>
    </row>
    <row r="2173" spans="1:4" x14ac:dyDescent="0.3">
      <c r="A2173" s="282" t="s">
        <v>6980</v>
      </c>
      <c r="B2173" s="283" t="s">
        <v>4706</v>
      </c>
      <c r="C2173" s="283" t="s">
        <v>3496</v>
      </c>
      <c r="D2173" s="284" t="s">
        <v>6982</v>
      </c>
    </row>
    <row r="2174" spans="1:4" x14ac:dyDescent="0.3">
      <c r="A2174" s="282" t="s">
        <v>6980</v>
      </c>
      <c r="B2174" s="283" t="s">
        <v>4706</v>
      </c>
      <c r="C2174" s="283" t="s">
        <v>3496</v>
      </c>
      <c r="D2174" s="284" t="s">
        <v>6983</v>
      </c>
    </row>
    <row r="2175" spans="1:4" x14ac:dyDescent="0.3">
      <c r="A2175" s="282" t="s">
        <v>6984</v>
      </c>
      <c r="B2175" s="283" t="s">
        <v>3687</v>
      </c>
      <c r="C2175" s="283" t="s">
        <v>3776</v>
      </c>
      <c r="D2175" s="284" t="s">
        <v>6985</v>
      </c>
    </row>
    <row r="2176" spans="1:4" x14ac:dyDescent="0.3">
      <c r="A2176" s="282" t="s">
        <v>6984</v>
      </c>
      <c r="B2176" s="283" t="s">
        <v>3687</v>
      </c>
      <c r="C2176" s="283" t="s">
        <v>3776</v>
      </c>
      <c r="D2176" s="284" t="s">
        <v>6986</v>
      </c>
    </row>
    <row r="2177" spans="1:4" x14ac:dyDescent="0.3">
      <c r="A2177" s="282" t="s">
        <v>6987</v>
      </c>
      <c r="B2177" s="283" t="s">
        <v>3824</v>
      </c>
      <c r="C2177" s="283" t="s">
        <v>3496</v>
      </c>
      <c r="D2177" s="284" t="s">
        <v>6988</v>
      </c>
    </row>
    <row r="2178" spans="1:4" x14ac:dyDescent="0.3">
      <c r="A2178" s="282" t="s">
        <v>6987</v>
      </c>
      <c r="B2178" s="283" t="s">
        <v>3824</v>
      </c>
      <c r="C2178" s="283" t="s">
        <v>3496</v>
      </c>
      <c r="D2178" s="284" t="s">
        <v>6989</v>
      </c>
    </row>
    <row r="2179" spans="1:4" x14ac:dyDescent="0.3">
      <c r="A2179" s="282" t="s">
        <v>6990</v>
      </c>
      <c r="B2179" s="283" t="s">
        <v>3824</v>
      </c>
      <c r="C2179" s="283" t="s">
        <v>3496</v>
      </c>
      <c r="D2179" s="284" t="s">
        <v>6991</v>
      </c>
    </row>
    <row r="2180" spans="1:4" x14ac:dyDescent="0.3">
      <c r="A2180" s="282" t="s">
        <v>6992</v>
      </c>
      <c r="B2180" s="283" t="s">
        <v>3824</v>
      </c>
      <c r="C2180" s="283" t="s">
        <v>3496</v>
      </c>
      <c r="D2180" s="284" t="s">
        <v>6993</v>
      </c>
    </row>
    <row r="2181" spans="1:4" x14ac:dyDescent="0.3">
      <c r="A2181" s="282" t="s">
        <v>6992</v>
      </c>
      <c r="B2181" s="283" t="s">
        <v>3824</v>
      </c>
      <c r="C2181" s="283" t="s">
        <v>3496</v>
      </c>
      <c r="D2181" s="284" t="s">
        <v>6994</v>
      </c>
    </row>
    <row r="2182" spans="1:4" x14ac:dyDescent="0.3">
      <c r="A2182" s="282" t="s">
        <v>6995</v>
      </c>
      <c r="B2182" s="283" t="s">
        <v>3824</v>
      </c>
      <c r="C2182" s="283" t="s">
        <v>3496</v>
      </c>
      <c r="D2182" s="284" t="s">
        <v>6996</v>
      </c>
    </row>
    <row r="2183" spans="1:4" x14ac:dyDescent="0.3">
      <c r="A2183" s="282" t="s">
        <v>6997</v>
      </c>
      <c r="B2183" s="283" t="s">
        <v>3914</v>
      </c>
      <c r="C2183" s="283" t="s">
        <v>3906</v>
      </c>
      <c r="D2183" s="284" t="s">
        <v>6998</v>
      </c>
    </row>
    <row r="2184" spans="1:4" x14ac:dyDescent="0.3">
      <c r="A2184" s="282" t="s">
        <v>6999</v>
      </c>
      <c r="B2184" s="283" t="s">
        <v>3914</v>
      </c>
      <c r="C2184" s="283" t="s">
        <v>3906</v>
      </c>
      <c r="D2184" s="284" t="s">
        <v>7000</v>
      </c>
    </row>
    <row r="2185" spans="1:4" x14ac:dyDescent="0.3">
      <c r="A2185" s="282" t="s">
        <v>7001</v>
      </c>
      <c r="B2185" s="283" t="s">
        <v>3905</v>
      </c>
      <c r="C2185" s="283" t="s">
        <v>3906</v>
      </c>
      <c r="D2185" s="284" t="s">
        <v>7002</v>
      </c>
    </row>
    <row r="2186" spans="1:4" x14ac:dyDescent="0.3">
      <c r="A2186" s="282" t="s">
        <v>7003</v>
      </c>
      <c r="B2186" s="283" t="s">
        <v>3914</v>
      </c>
      <c r="C2186" s="283" t="s">
        <v>3906</v>
      </c>
      <c r="D2186" s="284" t="s">
        <v>7004</v>
      </c>
    </row>
    <row r="2187" spans="1:4" x14ac:dyDescent="0.3">
      <c r="A2187" s="282" t="s">
        <v>7005</v>
      </c>
      <c r="B2187" s="283" t="s">
        <v>4058</v>
      </c>
      <c r="C2187" s="283" t="s">
        <v>3277</v>
      </c>
      <c r="D2187" s="284" t="s">
        <v>7006</v>
      </c>
    </row>
    <row r="2188" spans="1:4" x14ac:dyDescent="0.3">
      <c r="A2188" s="282" t="s">
        <v>7007</v>
      </c>
      <c r="B2188" s="283" t="s">
        <v>4058</v>
      </c>
      <c r="C2188" s="283" t="s">
        <v>3277</v>
      </c>
      <c r="D2188" s="284" t="s">
        <v>7008</v>
      </c>
    </row>
    <row r="2189" spans="1:4" x14ac:dyDescent="0.3">
      <c r="A2189" s="282" t="s">
        <v>7009</v>
      </c>
      <c r="B2189" s="283" t="s">
        <v>4058</v>
      </c>
      <c r="C2189" s="283" t="s">
        <v>3277</v>
      </c>
      <c r="D2189" s="284" t="s">
        <v>7010</v>
      </c>
    </row>
    <row r="2190" spans="1:4" x14ac:dyDescent="0.3">
      <c r="A2190" s="282" t="s">
        <v>7011</v>
      </c>
      <c r="B2190" s="283" t="s">
        <v>4070</v>
      </c>
      <c r="C2190" s="283" t="s">
        <v>3277</v>
      </c>
      <c r="D2190" s="284" t="s">
        <v>7012</v>
      </c>
    </row>
    <row r="2191" spans="1:4" x14ac:dyDescent="0.3">
      <c r="A2191" s="282" t="s">
        <v>7011</v>
      </c>
      <c r="B2191" s="283" t="s">
        <v>4058</v>
      </c>
      <c r="C2191" s="283" t="s">
        <v>3277</v>
      </c>
      <c r="D2191" s="284" t="s">
        <v>7013</v>
      </c>
    </row>
    <row r="2192" spans="1:4" x14ac:dyDescent="0.3">
      <c r="A2192" s="282" t="s">
        <v>7014</v>
      </c>
      <c r="B2192" s="283" t="s">
        <v>4070</v>
      </c>
      <c r="C2192" s="283" t="s">
        <v>3277</v>
      </c>
      <c r="D2192" s="284" t="s">
        <v>7015</v>
      </c>
    </row>
    <row r="2193" spans="1:4" x14ac:dyDescent="0.3">
      <c r="A2193" s="282" t="s">
        <v>7014</v>
      </c>
      <c r="B2193" s="283" t="s">
        <v>4058</v>
      </c>
      <c r="C2193" s="283" t="s">
        <v>3277</v>
      </c>
      <c r="D2193" s="284" t="s">
        <v>7016</v>
      </c>
    </row>
    <row r="2194" spans="1:4" x14ac:dyDescent="0.3">
      <c r="A2194" s="282" t="s">
        <v>7017</v>
      </c>
      <c r="B2194" s="283" t="s">
        <v>4058</v>
      </c>
      <c r="C2194" s="283" t="s">
        <v>3277</v>
      </c>
      <c r="D2194" s="284" t="s">
        <v>7018</v>
      </c>
    </row>
    <row r="2195" spans="1:4" x14ac:dyDescent="0.3">
      <c r="A2195" s="282" t="s">
        <v>7019</v>
      </c>
      <c r="B2195" s="283" t="s">
        <v>4058</v>
      </c>
      <c r="C2195" s="283" t="s">
        <v>3277</v>
      </c>
      <c r="D2195" s="284" t="s">
        <v>7020</v>
      </c>
    </row>
    <row r="2196" spans="1:4" x14ac:dyDescent="0.3">
      <c r="A2196" s="282" t="s">
        <v>7021</v>
      </c>
      <c r="B2196" s="283" t="s">
        <v>4058</v>
      </c>
      <c r="C2196" s="283" t="s">
        <v>3277</v>
      </c>
      <c r="D2196" s="284" t="s">
        <v>7022</v>
      </c>
    </row>
    <row r="2197" spans="1:4" x14ac:dyDescent="0.3">
      <c r="A2197" s="282" t="s">
        <v>7023</v>
      </c>
      <c r="B2197" s="283" t="s">
        <v>4058</v>
      </c>
      <c r="C2197" s="283" t="s">
        <v>3277</v>
      </c>
      <c r="D2197" s="284" t="s">
        <v>7024</v>
      </c>
    </row>
    <row r="2198" spans="1:4" x14ac:dyDescent="0.3">
      <c r="A2198" s="282" t="s">
        <v>7025</v>
      </c>
      <c r="B2198" s="283" t="s">
        <v>4347</v>
      </c>
      <c r="C2198" s="283" t="s">
        <v>3281</v>
      </c>
      <c r="D2198" s="284" t="s">
        <v>7026</v>
      </c>
    </row>
    <row r="2199" spans="1:4" x14ac:dyDescent="0.3">
      <c r="A2199" s="282" t="s">
        <v>7027</v>
      </c>
      <c r="B2199" s="283" t="s">
        <v>4347</v>
      </c>
      <c r="C2199" s="283" t="s">
        <v>3281</v>
      </c>
      <c r="D2199" s="284" t="s">
        <v>7028</v>
      </c>
    </row>
    <row r="2200" spans="1:4" x14ac:dyDescent="0.3">
      <c r="A2200" s="282" t="s">
        <v>7029</v>
      </c>
      <c r="B2200" s="283" t="s">
        <v>4378</v>
      </c>
      <c r="C2200" s="283" t="s">
        <v>3281</v>
      </c>
      <c r="D2200" s="284" t="s">
        <v>7030</v>
      </c>
    </row>
    <row r="2201" spans="1:4" x14ac:dyDescent="0.3">
      <c r="A2201" s="282" t="s">
        <v>7031</v>
      </c>
      <c r="B2201" s="283" t="s">
        <v>4058</v>
      </c>
      <c r="C2201" s="283" t="s">
        <v>3277</v>
      </c>
      <c r="D2201" s="284" t="s">
        <v>7032</v>
      </c>
    </row>
    <row r="2202" spans="1:4" x14ac:dyDescent="0.3">
      <c r="A2202" s="282" t="s">
        <v>7033</v>
      </c>
      <c r="B2202" s="283" t="s">
        <v>4347</v>
      </c>
      <c r="C2202" s="283" t="s">
        <v>3281</v>
      </c>
      <c r="D2202" s="284" t="s">
        <v>7034</v>
      </c>
    </row>
    <row r="2203" spans="1:4" x14ac:dyDescent="0.3">
      <c r="A2203" s="282" t="s">
        <v>7035</v>
      </c>
      <c r="B2203" s="283" t="s">
        <v>4058</v>
      </c>
      <c r="C2203" s="283" t="s">
        <v>3277</v>
      </c>
      <c r="D2203" s="284" t="s">
        <v>7036</v>
      </c>
    </row>
    <row r="2204" spans="1:4" x14ac:dyDescent="0.3">
      <c r="A2204" s="282" t="s">
        <v>7037</v>
      </c>
      <c r="B2204" s="283" t="s">
        <v>4347</v>
      </c>
      <c r="C2204" s="283" t="s">
        <v>3281</v>
      </c>
      <c r="D2204" s="284" t="s">
        <v>7038</v>
      </c>
    </row>
    <row r="2205" spans="1:4" x14ac:dyDescent="0.3">
      <c r="A2205" s="282" t="s">
        <v>7039</v>
      </c>
      <c r="B2205" s="283" t="s">
        <v>4058</v>
      </c>
      <c r="C2205" s="283" t="s">
        <v>3277</v>
      </c>
      <c r="D2205" s="284" t="s">
        <v>7040</v>
      </c>
    </row>
    <row r="2206" spans="1:4" x14ac:dyDescent="0.3">
      <c r="A2206" s="282" t="s">
        <v>7041</v>
      </c>
      <c r="B2206" s="283" t="s">
        <v>4058</v>
      </c>
      <c r="C2206" s="283" t="s">
        <v>3277</v>
      </c>
      <c r="D2206" s="284" t="s">
        <v>7042</v>
      </c>
    </row>
    <row r="2207" spans="1:4" x14ac:dyDescent="0.3">
      <c r="A2207" s="282" t="s">
        <v>7043</v>
      </c>
      <c r="B2207" s="283" t="s">
        <v>4058</v>
      </c>
      <c r="C2207" s="283" t="s">
        <v>3277</v>
      </c>
      <c r="D2207" s="284" t="s">
        <v>7044</v>
      </c>
    </row>
    <row r="2208" spans="1:4" x14ac:dyDescent="0.3">
      <c r="A2208" s="282" t="s">
        <v>7045</v>
      </c>
      <c r="B2208" s="283" t="s">
        <v>4058</v>
      </c>
      <c r="C2208" s="283" t="s">
        <v>3277</v>
      </c>
      <c r="D2208" s="284" t="s">
        <v>7046</v>
      </c>
    </row>
    <row r="2209" spans="1:4" x14ac:dyDescent="0.3">
      <c r="A2209" s="282" t="s">
        <v>7047</v>
      </c>
      <c r="B2209" s="283" t="s">
        <v>4058</v>
      </c>
      <c r="C2209" s="283" t="s">
        <v>3277</v>
      </c>
      <c r="D2209" s="284" t="s">
        <v>7048</v>
      </c>
    </row>
    <row r="2210" spans="1:4" x14ac:dyDescent="0.3">
      <c r="A2210" s="282" t="s">
        <v>7049</v>
      </c>
      <c r="B2210" s="283" t="s">
        <v>4058</v>
      </c>
      <c r="C2210" s="283" t="s">
        <v>3277</v>
      </c>
      <c r="D2210" s="284" t="s">
        <v>7050</v>
      </c>
    </row>
    <row r="2211" spans="1:4" x14ac:dyDescent="0.3">
      <c r="A2211" s="282" t="s">
        <v>7051</v>
      </c>
      <c r="B2211" s="283" t="s">
        <v>4589</v>
      </c>
      <c r="C2211" s="283" t="s">
        <v>489</v>
      </c>
      <c r="D2211" s="284" t="s">
        <v>7052</v>
      </c>
    </row>
    <row r="2212" spans="1:4" x14ac:dyDescent="0.3">
      <c r="A2212" s="282" t="s">
        <v>7051</v>
      </c>
      <c r="B2212" s="283" t="s">
        <v>4589</v>
      </c>
      <c r="C2212" s="283" t="s">
        <v>489</v>
      </c>
      <c r="D2212" s="284" t="s">
        <v>7053</v>
      </c>
    </row>
    <row r="2213" spans="1:4" x14ac:dyDescent="0.3">
      <c r="A2213" s="282" t="s">
        <v>7054</v>
      </c>
      <c r="B2213" s="283" t="s">
        <v>3787</v>
      </c>
      <c r="C2213" s="283" t="s">
        <v>3776</v>
      </c>
      <c r="D2213" s="284" t="s">
        <v>7055</v>
      </c>
    </row>
    <row r="2214" spans="1:4" x14ac:dyDescent="0.3">
      <c r="A2214" s="282" t="s">
        <v>7056</v>
      </c>
      <c r="B2214" s="283" t="s">
        <v>4058</v>
      </c>
      <c r="C2214" s="283" t="s">
        <v>3277</v>
      </c>
      <c r="D2214" s="284" t="s">
        <v>7057</v>
      </c>
    </row>
    <row r="2215" spans="1:4" x14ac:dyDescent="0.3">
      <c r="A2215" s="282" t="s">
        <v>7058</v>
      </c>
      <c r="B2215" s="283" t="s">
        <v>4058</v>
      </c>
      <c r="C2215" s="283" t="s">
        <v>3277</v>
      </c>
      <c r="D2215" s="284" t="s">
        <v>7059</v>
      </c>
    </row>
    <row r="2216" spans="1:4" x14ac:dyDescent="0.3">
      <c r="A2216" s="282" t="s">
        <v>7060</v>
      </c>
      <c r="B2216" s="283" t="s">
        <v>4058</v>
      </c>
      <c r="C2216" s="283" t="s">
        <v>3277</v>
      </c>
      <c r="D2216" s="284" t="s">
        <v>7061</v>
      </c>
    </row>
    <row r="2217" spans="1:4" x14ac:dyDescent="0.3">
      <c r="A2217" s="282" t="s">
        <v>7062</v>
      </c>
      <c r="B2217" s="283" t="s">
        <v>4058</v>
      </c>
      <c r="C2217" s="283" t="s">
        <v>3277</v>
      </c>
      <c r="D2217" s="284" t="s">
        <v>7063</v>
      </c>
    </row>
    <row r="2218" spans="1:4" x14ac:dyDescent="0.3">
      <c r="A2218" s="282" t="s">
        <v>7064</v>
      </c>
      <c r="B2218" s="283" t="s">
        <v>4058</v>
      </c>
      <c r="C2218" s="283" t="s">
        <v>3277</v>
      </c>
      <c r="D2218" s="284" t="s">
        <v>7065</v>
      </c>
    </row>
    <row r="2219" spans="1:4" x14ac:dyDescent="0.3">
      <c r="A2219" s="282" t="s">
        <v>7066</v>
      </c>
      <c r="B2219" s="283" t="s">
        <v>4070</v>
      </c>
      <c r="C2219" s="283" t="s">
        <v>3277</v>
      </c>
      <c r="D2219" s="284" t="s">
        <v>7067</v>
      </c>
    </row>
    <row r="2220" spans="1:4" x14ac:dyDescent="0.3">
      <c r="A2220" s="282" t="s">
        <v>7066</v>
      </c>
      <c r="B2220" s="283" t="s">
        <v>4058</v>
      </c>
      <c r="C2220" s="283" t="s">
        <v>3277</v>
      </c>
      <c r="D2220" s="284" t="s">
        <v>7067</v>
      </c>
    </row>
    <row r="2221" spans="1:4" x14ac:dyDescent="0.3">
      <c r="A2221" s="282" t="s">
        <v>7068</v>
      </c>
      <c r="B2221" s="283" t="s">
        <v>4070</v>
      </c>
      <c r="C2221" s="283" t="s">
        <v>3277</v>
      </c>
      <c r="D2221" s="284" t="s">
        <v>7069</v>
      </c>
    </row>
    <row r="2222" spans="1:4" x14ac:dyDescent="0.3">
      <c r="A2222" s="282" t="s">
        <v>7068</v>
      </c>
      <c r="B2222" s="283" t="s">
        <v>4058</v>
      </c>
      <c r="C2222" s="283" t="s">
        <v>3277</v>
      </c>
      <c r="D2222" s="284" t="s">
        <v>7069</v>
      </c>
    </row>
    <row r="2223" spans="1:4" x14ac:dyDescent="0.3">
      <c r="A2223" s="282" t="s">
        <v>7070</v>
      </c>
      <c r="B2223" s="283" t="s">
        <v>4058</v>
      </c>
      <c r="C2223" s="283" t="s">
        <v>3277</v>
      </c>
      <c r="D2223" s="284" t="s">
        <v>7071</v>
      </c>
    </row>
    <row r="2224" spans="1:4" x14ac:dyDescent="0.3">
      <c r="A2224" s="282" t="s">
        <v>7072</v>
      </c>
      <c r="B2224" s="283" t="s">
        <v>4058</v>
      </c>
      <c r="C2224" s="283" t="s">
        <v>3277</v>
      </c>
      <c r="D2224" s="284" t="s">
        <v>7073</v>
      </c>
    </row>
    <row r="2225" spans="1:4" x14ac:dyDescent="0.3">
      <c r="A2225" s="282" t="s">
        <v>7074</v>
      </c>
      <c r="B2225" s="283" t="s">
        <v>4058</v>
      </c>
      <c r="C2225" s="283" t="s">
        <v>3277</v>
      </c>
      <c r="D2225" s="284" t="s">
        <v>7075</v>
      </c>
    </row>
    <row r="2226" spans="1:4" x14ac:dyDescent="0.3">
      <c r="A2226" s="282" t="s">
        <v>7076</v>
      </c>
      <c r="B2226" s="283" t="s">
        <v>4058</v>
      </c>
      <c r="C2226" s="283" t="s">
        <v>3277</v>
      </c>
      <c r="D2226" s="284" t="s">
        <v>7077</v>
      </c>
    </row>
    <row r="2227" spans="1:4" x14ac:dyDescent="0.3">
      <c r="A2227" s="282" t="s">
        <v>7078</v>
      </c>
      <c r="B2227" s="283" t="s">
        <v>4058</v>
      </c>
      <c r="C2227" s="283" t="s">
        <v>3277</v>
      </c>
      <c r="D2227" s="284" t="s">
        <v>7079</v>
      </c>
    </row>
    <row r="2228" spans="1:4" x14ac:dyDescent="0.3">
      <c r="A2228" s="282" t="s">
        <v>7080</v>
      </c>
      <c r="B2228" s="283" t="s">
        <v>4058</v>
      </c>
      <c r="C2228" s="283" t="s">
        <v>3277</v>
      </c>
      <c r="D2228" s="284" t="s">
        <v>7081</v>
      </c>
    </row>
    <row r="2229" spans="1:4" x14ac:dyDescent="0.3">
      <c r="A2229" s="282" t="s">
        <v>7082</v>
      </c>
      <c r="B2229" s="283" t="s">
        <v>4058</v>
      </c>
      <c r="C2229" s="283" t="s">
        <v>3277</v>
      </c>
      <c r="D2229" s="284" t="s">
        <v>7083</v>
      </c>
    </row>
    <row r="2230" spans="1:4" x14ac:dyDescent="0.3">
      <c r="A2230" s="282" t="s">
        <v>7084</v>
      </c>
      <c r="B2230" s="283" t="s">
        <v>4070</v>
      </c>
      <c r="C2230" s="283" t="s">
        <v>3277</v>
      </c>
      <c r="D2230" s="284" t="s">
        <v>7085</v>
      </c>
    </row>
    <row r="2231" spans="1:4" x14ac:dyDescent="0.3">
      <c r="A2231" s="282" t="s">
        <v>7084</v>
      </c>
      <c r="B2231" s="283" t="s">
        <v>4058</v>
      </c>
      <c r="C2231" s="283" t="s">
        <v>3277</v>
      </c>
      <c r="D2231" s="284" t="s">
        <v>7086</v>
      </c>
    </row>
    <row r="2232" spans="1:4" x14ac:dyDescent="0.3">
      <c r="A2232" s="282" t="s">
        <v>7087</v>
      </c>
      <c r="B2232" s="283" t="s">
        <v>4070</v>
      </c>
      <c r="C2232" s="283" t="s">
        <v>3277</v>
      </c>
      <c r="D2232" s="284" t="s">
        <v>7088</v>
      </c>
    </row>
    <row r="2233" spans="1:4" x14ac:dyDescent="0.3">
      <c r="A2233" s="282" t="s">
        <v>7089</v>
      </c>
      <c r="B2233" s="283" t="s">
        <v>4070</v>
      </c>
      <c r="C2233" s="283" t="s">
        <v>3277</v>
      </c>
      <c r="D2233" s="284" t="s">
        <v>7090</v>
      </c>
    </row>
    <row r="2234" spans="1:4" x14ac:dyDescent="0.3">
      <c r="A2234" s="282" t="s">
        <v>7091</v>
      </c>
      <c r="B2234" s="283" t="s">
        <v>4058</v>
      </c>
      <c r="C2234" s="283" t="s">
        <v>3277</v>
      </c>
      <c r="D2234" s="284" t="s">
        <v>7092</v>
      </c>
    </row>
    <row r="2235" spans="1:4" x14ac:dyDescent="0.3">
      <c r="A2235" s="282" t="s">
        <v>7093</v>
      </c>
      <c r="B2235" s="283" t="s">
        <v>4058</v>
      </c>
      <c r="C2235" s="283" t="s">
        <v>3277</v>
      </c>
      <c r="D2235" s="284" t="s">
        <v>7094</v>
      </c>
    </row>
    <row r="2236" spans="1:4" x14ac:dyDescent="0.3">
      <c r="A2236" s="282" t="s">
        <v>7095</v>
      </c>
      <c r="B2236" s="283" t="s">
        <v>4347</v>
      </c>
      <c r="C2236" s="283" t="s">
        <v>3281</v>
      </c>
      <c r="D2236" s="284" t="s">
        <v>7096</v>
      </c>
    </row>
    <row r="2237" spans="1:4" x14ac:dyDescent="0.3">
      <c r="A2237" s="282" t="s">
        <v>7097</v>
      </c>
      <c r="B2237" s="283" t="s">
        <v>4058</v>
      </c>
      <c r="C2237" s="283" t="s">
        <v>3277</v>
      </c>
      <c r="D2237" s="284" t="s">
        <v>7098</v>
      </c>
    </row>
    <row r="2238" spans="1:4" x14ac:dyDescent="0.3">
      <c r="A2238" s="282" t="s">
        <v>7099</v>
      </c>
      <c r="B2238" s="283" t="s">
        <v>4385</v>
      </c>
      <c r="C2238" s="283" t="s">
        <v>3277</v>
      </c>
      <c r="D2238" s="284" t="s">
        <v>7100</v>
      </c>
    </row>
    <row r="2239" spans="1:4" x14ac:dyDescent="0.3">
      <c r="A2239" s="282" t="s">
        <v>7101</v>
      </c>
      <c r="B2239" s="283" t="s">
        <v>4369</v>
      </c>
      <c r="C2239" s="283" t="s">
        <v>3281</v>
      </c>
      <c r="D2239" s="284" t="s">
        <v>7102</v>
      </c>
    </row>
    <row r="2240" spans="1:4" x14ac:dyDescent="0.3">
      <c r="A2240" s="282" t="s">
        <v>7103</v>
      </c>
      <c r="B2240" s="283" t="s">
        <v>4058</v>
      </c>
      <c r="C2240" s="283" t="s">
        <v>3277</v>
      </c>
      <c r="D2240" s="284" t="s">
        <v>7104</v>
      </c>
    </row>
    <row r="2241" spans="1:4" x14ac:dyDescent="0.3">
      <c r="A2241" s="282" t="s">
        <v>7105</v>
      </c>
      <c r="B2241" s="283" t="s">
        <v>4058</v>
      </c>
      <c r="C2241" s="283" t="s">
        <v>3277</v>
      </c>
      <c r="D2241" s="284" t="s">
        <v>7106</v>
      </c>
    </row>
    <row r="2242" spans="1:4" x14ac:dyDescent="0.3">
      <c r="A2242" s="282" t="s">
        <v>7107</v>
      </c>
      <c r="B2242" s="283" t="s">
        <v>4058</v>
      </c>
      <c r="C2242" s="283" t="s">
        <v>3277</v>
      </c>
      <c r="D2242" s="284" t="s">
        <v>7108</v>
      </c>
    </row>
    <row r="2243" spans="1:4" x14ac:dyDescent="0.3">
      <c r="A2243" s="282" t="s">
        <v>7109</v>
      </c>
      <c r="B2243" s="283" t="s">
        <v>4058</v>
      </c>
      <c r="C2243" s="283" t="s">
        <v>3277</v>
      </c>
      <c r="D2243" s="284" t="s">
        <v>7110</v>
      </c>
    </row>
    <row r="2244" spans="1:4" x14ac:dyDescent="0.3">
      <c r="A2244" s="282" t="s">
        <v>7111</v>
      </c>
      <c r="B2244" s="283" t="s">
        <v>3787</v>
      </c>
      <c r="C2244" s="283" t="s">
        <v>3776</v>
      </c>
      <c r="D2244" s="284" t="s">
        <v>7112</v>
      </c>
    </row>
    <row r="2245" spans="1:4" x14ac:dyDescent="0.3">
      <c r="A2245" s="282" t="s">
        <v>7113</v>
      </c>
      <c r="B2245" s="283" t="s">
        <v>4070</v>
      </c>
      <c r="C2245" s="283" t="s">
        <v>3277</v>
      </c>
      <c r="D2245" s="284" t="s">
        <v>6529</v>
      </c>
    </row>
    <row r="2246" spans="1:4" x14ac:dyDescent="0.3">
      <c r="A2246" s="282" t="s">
        <v>7113</v>
      </c>
      <c r="B2246" s="283" t="s">
        <v>4058</v>
      </c>
      <c r="C2246" s="283" t="s">
        <v>3277</v>
      </c>
      <c r="D2246" s="284" t="s">
        <v>6529</v>
      </c>
    </row>
    <row r="2247" spans="1:4" x14ac:dyDescent="0.3">
      <c r="A2247" s="282" t="s">
        <v>7114</v>
      </c>
      <c r="B2247" s="283" t="s">
        <v>4162</v>
      </c>
      <c r="C2247" s="283" t="s">
        <v>3281</v>
      </c>
      <c r="D2247" s="284" t="s">
        <v>7115</v>
      </c>
    </row>
    <row r="2248" spans="1:4" x14ac:dyDescent="0.3">
      <c r="A2248" s="282" t="s">
        <v>7116</v>
      </c>
      <c r="B2248" s="283" t="s">
        <v>4070</v>
      </c>
      <c r="C2248" s="283" t="s">
        <v>3277</v>
      </c>
      <c r="D2248" s="284" t="s">
        <v>7117</v>
      </c>
    </row>
    <row r="2249" spans="1:4" x14ac:dyDescent="0.3">
      <c r="A2249" s="282" t="s">
        <v>7116</v>
      </c>
      <c r="B2249" s="283" t="s">
        <v>4058</v>
      </c>
      <c r="C2249" s="283" t="s">
        <v>3277</v>
      </c>
      <c r="D2249" s="284" t="s">
        <v>6722</v>
      </c>
    </row>
    <row r="2250" spans="1:4" x14ac:dyDescent="0.3">
      <c r="A2250" s="282" t="s">
        <v>7118</v>
      </c>
      <c r="B2250" s="283" t="s">
        <v>4070</v>
      </c>
      <c r="C2250" s="283" t="s">
        <v>3277</v>
      </c>
      <c r="D2250" s="284" t="s">
        <v>7119</v>
      </c>
    </row>
    <row r="2251" spans="1:4" x14ac:dyDescent="0.3">
      <c r="A2251" s="282" t="s">
        <v>7118</v>
      </c>
      <c r="B2251" s="283" t="s">
        <v>4058</v>
      </c>
      <c r="C2251" s="283" t="s">
        <v>3277</v>
      </c>
      <c r="D2251" s="284" t="s">
        <v>7119</v>
      </c>
    </row>
    <row r="2252" spans="1:4" x14ac:dyDescent="0.3">
      <c r="A2252" s="282" t="s">
        <v>7120</v>
      </c>
      <c r="B2252" s="283" t="s">
        <v>4070</v>
      </c>
      <c r="C2252" s="283" t="s">
        <v>3277</v>
      </c>
      <c r="D2252" s="284" t="s">
        <v>6729</v>
      </c>
    </row>
    <row r="2253" spans="1:4" x14ac:dyDescent="0.3">
      <c r="A2253" s="282" t="s">
        <v>7120</v>
      </c>
      <c r="B2253" s="283" t="s">
        <v>4058</v>
      </c>
      <c r="C2253" s="283" t="s">
        <v>3277</v>
      </c>
      <c r="D2253" s="284" t="s">
        <v>6729</v>
      </c>
    </row>
    <row r="2254" spans="1:4" x14ac:dyDescent="0.3">
      <c r="A2254" s="282" t="s">
        <v>7121</v>
      </c>
      <c r="B2254" s="283" t="s">
        <v>4070</v>
      </c>
      <c r="C2254" s="283" t="s">
        <v>3277</v>
      </c>
      <c r="D2254" s="284" t="s">
        <v>7122</v>
      </c>
    </row>
    <row r="2255" spans="1:4" x14ac:dyDescent="0.3">
      <c r="A2255" s="282" t="s">
        <v>7121</v>
      </c>
      <c r="B2255" s="283" t="s">
        <v>4058</v>
      </c>
      <c r="C2255" s="283" t="s">
        <v>3277</v>
      </c>
      <c r="D2255" s="284" t="s">
        <v>7122</v>
      </c>
    </row>
    <row r="2256" spans="1:4" x14ac:dyDescent="0.3">
      <c r="A2256" s="282" t="s">
        <v>7123</v>
      </c>
      <c r="B2256" s="283" t="s">
        <v>3204</v>
      </c>
      <c r="C2256" s="283" t="s">
        <v>3245</v>
      </c>
      <c r="D2256" s="284" t="s">
        <v>7124</v>
      </c>
    </row>
    <row r="2257" spans="1:4" x14ac:dyDescent="0.3">
      <c r="A2257" s="282" t="s">
        <v>7125</v>
      </c>
      <c r="B2257" s="283" t="s">
        <v>3395</v>
      </c>
      <c r="C2257" s="283" t="s">
        <v>3346</v>
      </c>
      <c r="D2257" s="284" t="s">
        <v>7126</v>
      </c>
    </row>
    <row r="2258" spans="1:4" x14ac:dyDescent="0.3">
      <c r="A2258" s="282" t="s">
        <v>7127</v>
      </c>
      <c r="B2258" s="283" t="s">
        <v>4162</v>
      </c>
      <c r="C2258" s="283" t="s">
        <v>3281</v>
      </c>
      <c r="D2258" s="284" t="s">
        <v>7128</v>
      </c>
    </row>
    <row r="2259" spans="1:4" x14ac:dyDescent="0.3">
      <c r="A2259" s="282" t="s">
        <v>7129</v>
      </c>
      <c r="B2259" s="283" t="s">
        <v>4378</v>
      </c>
      <c r="C2259" s="283" t="s">
        <v>3281</v>
      </c>
      <c r="D2259" s="284" t="s">
        <v>7130</v>
      </c>
    </row>
    <row r="2260" spans="1:4" x14ac:dyDescent="0.3">
      <c r="A2260" s="282" t="s">
        <v>7131</v>
      </c>
      <c r="B2260" s="283" t="s">
        <v>4347</v>
      </c>
      <c r="C2260" s="283" t="s">
        <v>3281</v>
      </c>
      <c r="D2260" s="284" t="s">
        <v>7132</v>
      </c>
    </row>
    <row r="2261" spans="1:4" x14ac:dyDescent="0.3">
      <c r="A2261" s="282" t="s">
        <v>7133</v>
      </c>
      <c r="B2261" s="283" t="s">
        <v>3715</v>
      </c>
      <c r="C2261" s="283" t="s">
        <v>3346</v>
      </c>
      <c r="D2261" s="284" t="s">
        <v>7134</v>
      </c>
    </row>
    <row r="2262" spans="1:4" x14ac:dyDescent="0.3">
      <c r="A2262" s="282" t="s">
        <v>7135</v>
      </c>
      <c r="B2262" s="283" t="s">
        <v>3715</v>
      </c>
      <c r="C2262" s="283" t="s">
        <v>2846</v>
      </c>
      <c r="D2262" s="284" t="s">
        <v>7136</v>
      </c>
    </row>
    <row r="2263" spans="1:4" x14ac:dyDescent="0.3">
      <c r="A2263" s="282" t="s">
        <v>7137</v>
      </c>
      <c r="B2263" s="283" t="s">
        <v>3345</v>
      </c>
      <c r="C2263" s="283" t="s">
        <v>3346</v>
      </c>
      <c r="D2263" s="284" t="s">
        <v>7138</v>
      </c>
    </row>
    <row r="2264" spans="1:4" x14ac:dyDescent="0.3">
      <c r="A2264" s="282" t="s">
        <v>7139</v>
      </c>
      <c r="B2264" s="283" t="s">
        <v>3715</v>
      </c>
      <c r="C2264" s="283" t="s">
        <v>3496</v>
      </c>
      <c r="D2264" s="284" t="s">
        <v>7140</v>
      </c>
    </row>
    <row r="2265" spans="1:4" x14ac:dyDescent="0.3">
      <c r="A2265" s="282" t="s">
        <v>7141</v>
      </c>
      <c r="B2265" s="283" t="s">
        <v>3715</v>
      </c>
      <c r="C2265" s="283" t="s">
        <v>3281</v>
      </c>
      <c r="D2265" s="284" t="s">
        <v>7142</v>
      </c>
    </row>
    <row r="2266" spans="1:4" x14ac:dyDescent="0.3">
      <c r="A2266" s="282" t="s">
        <v>7143</v>
      </c>
      <c r="B2266" s="283" t="s">
        <v>3715</v>
      </c>
      <c r="C2266" s="283" t="s">
        <v>3245</v>
      </c>
      <c r="D2266" s="284" t="s">
        <v>7144</v>
      </c>
    </row>
    <row r="2267" spans="1:4" x14ac:dyDescent="0.3">
      <c r="A2267" s="282" t="s">
        <v>7145</v>
      </c>
      <c r="B2267" s="283" t="s">
        <v>3715</v>
      </c>
      <c r="C2267" s="283" t="s">
        <v>3245</v>
      </c>
      <c r="D2267" s="284" t="s">
        <v>7146</v>
      </c>
    </row>
    <row r="2268" spans="1:4" x14ac:dyDescent="0.3">
      <c r="A2268" s="282" t="s">
        <v>7147</v>
      </c>
      <c r="B2268" s="283" t="s">
        <v>3715</v>
      </c>
      <c r="C2268" s="283" t="s">
        <v>489</v>
      </c>
      <c r="D2268" s="284" t="s">
        <v>7148</v>
      </c>
    </row>
    <row r="2269" spans="1:4" x14ac:dyDescent="0.3">
      <c r="A2269" s="282" t="s">
        <v>7149</v>
      </c>
      <c r="B2269" s="283" t="s">
        <v>3715</v>
      </c>
      <c r="C2269" s="283" t="s">
        <v>489</v>
      </c>
      <c r="D2269" s="284" t="s">
        <v>7150</v>
      </c>
    </row>
    <row r="2270" spans="1:4" x14ac:dyDescent="0.3">
      <c r="A2270" s="282" t="s">
        <v>7151</v>
      </c>
      <c r="B2270" s="283" t="s">
        <v>4706</v>
      </c>
      <c r="C2270" s="283" t="s">
        <v>3496</v>
      </c>
      <c r="D2270" s="284" t="s">
        <v>7152</v>
      </c>
    </row>
    <row r="2271" spans="1:4" x14ac:dyDescent="0.3">
      <c r="A2271" s="282" t="s">
        <v>7153</v>
      </c>
      <c r="B2271" s="283" t="s">
        <v>3276</v>
      </c>
      <c r="C2271" s="283" t="s">
        <v>3277</v>
      </c>
      <c r="D2271" s="284" t="s">
        <v>7154</v>
      </c>
    </row>
    <row r="2272" spans="1:4" x14ac:dyDescent="0.3">
      <c r="A2272" s="282" t="s">
        <v>7155</v>
      </c>
      <c r="B2272" s="283" t="s">
        <v>3280</v>
      </c>
      <c r="C2272" s="283" t="s">
        <v>3281</v>
      </c>
      <c r="D2272" s="284" t="s">
        <v>7156</v>
      </c>
    </row>
    <row r="2273" spans="1:4" x14ac:dyDescent="0.3">
      <c r="A2273" s="282" t="s">
        <v>7157</v>
      </c>
      <c r="B2273" s="283" t="s">
        <v>3949</v>
      </c>
      <c r="C2273" s="283" t="s">
        <v>3906</v>
      </c>
      <c r="D2273" s="284" t="s">
        <v>7158</v>
      </c>
    </row>
    <row r="2274" spans="1:4" x14ac:dyDescent="0.3">
      <c r="A2274" s="282" t="s">
        <v>7159</v>
      </c>
      <c r="B2274" s="283" t="s">
        <v>3905</v>
      </c>
      <c r="C2274" s="283" t="s">
        <v>3906</v>
      </c>
      <c r="D2274" s="284" t="s">
        <v>7160</v>
      </c>
    </row>
    <row r="2275" spans="1:4" x14ac:dyDescent="0.3">
      <c r="A2275" s="282" t="s">
        <v>7161</v>
      </c>
      <c r="B2275" s="283" t="s">
        <v>3905</v>
      </c>
      <c r="C2275" s="283" t="s">
        <v>3906</v>
      </c>
      <c r="D2275" s="284" t="s">
        <v>7162</v>
      </c>
    </row>
    <row r="2276" spans="1:4" x14ac:dyDescent="0.3">
      <c r="A2276" s="282" t="s">
        <v>7163</v>
      </c>
      <c r="B2276" s="283" t="s">
        <v>3276</v>
      </c>
      <c r="C2276" s="283" t="s">
        <v>3277</v>
      </c>
      <c r="D2276" s="284" t="s">
        <v>7164</v>
      </c>
    </row>
    <row r="2277" spans="1:4" x14ac:dyDescent="0.3">
      <c r="A2277" s="282" t="s">
        <v>7165</v>
      </c>
      <c r="B2277" s="283" t="s">
        <v>3276</v>
      </c>
      <c r="C2277" s="283" t="s">
        <v>3277</v>
      </c>
      <c r="D2277" s="284" t="s">
        <v>7166</v>
      </c>
    </row>
    <row r="2278" spans="1:4" x14ac:dyDescent="0.3">
      <c r="A2278" s="282" t="s">
        <v>7167</v>
      </c>
      <c r="B2278" s="283" t="s">
        <v>6425</v>
      </c>
      <c r="C2278" s="283" t="s">
        <v>3277</v>
      </c>
      <c r="D2278" s="284" t="s">
        <v>7168</v>
      </c>
    </row>
    <row r="2279" spans="1:4" x14ac:dyDescent="0.3">
      <c r="A2279" s="282" t="s">
        <v>7169</v>
      </c>
      <c r="B2279" s="283" t="s">
        <v>6425</v>
      </c>
      <c r="C2279" s="283" t="s">
        <v>3277</v>
      </c>
      <c r="D2279" s="284" t="s">
        <v>7170</v>
      </c>
    </row>
    <row r="2280" spans="1:4" x14ac:dyDescent="0.3">
      <c r="A2280" s="282" t="s">
        <v>7171</v>
      </c>
      <c r="B2280" s="283" t="s">
        <v>3565</v>
      </c>
      <c r="C2280" s="283" t="s">
        <v>3277</v>
      </c>
      <c r="D2280" s="284" t="s">
        <v>7172</v>
      </c>
    </row>
    <row r="2281" spans="1:4" x14ac:dyDescent="0.3">
      <c r="A2281" s="282" t="s">
        <v>7173</v>
      </c>
      <c r="B2281" s="283" t="s">
        <v>4378</v>
      </c>
      <c r="C2281" s="283" t="s">
        <v>3281</v>
      </c>
      <c r="D2281" s="284" t="s">
        <v>7174</v>
      </c>
    </row>
    <row r="2282" spans="1:4" x14ac:dyDescent="0.3">
      <c r="A2282" s="282" t="s">
        <v>7175</v>
      </c>
      <c r="B2282" s="283" t="s">
        <v>2708</v>
      </c>
      <c r="C2282" s="283" t="s">
        <v>489</v>
      </c>
      <c r="D2282" s="284" t="s">
        <v>7176</v>
      </c>
    </row>
    <row r="2283" spans="1:4" x14ac:dyDescent="0.3">
      <c r="A2283" s="282" t="s">
        <v>7177</v>
      </c>
      <c r="B2283" s="283" t="s">
        <v>3687</v>
      </c>
      <c r="C2283" s="283" t="s">
        <v>3776</v>
      </c>
      <c r="D2283" s="284" t="s">
        <v>7178</v>
      </c>
    </row>
    <row r="2284" spans="1:4" x14ac:dyDescent="0.3">
      <c r="A2284" s="282" t="s">
        <v>7179</v>
      </c>
      <c r="B2284" s="283" t="s">
        <v>4347</v>
      </c>
      <c r="C2284" s="283" t="s">
        <v>3281</v>
      </c>
      <c r="D2284" s="284" t="s">
        <v>7180</v>
      </c>
    </row>
    <row r="2285" spans="1:4" x14ac:dyDescent="0.3">
      <c r="A2285" s="282" t="s">
        <v>7181</v>
      </c>
      <c r="B2285" s="283" t="s">
        <v>2708</v>
      </c>
      <c r="C2285" s="283" t="s">
        <v>489</v>
      </c>
      <c r="D2285" s="284" t="s">
        <v>7182</v>
      </c>
    </row>
    <row r="2286" spans="1:4" x14ac:dyDescent="0.3">
      <c r="A2286" s="282" t="s">
        <v>7183</v>
      </c>
      <c r="B2286" s="283" t="s">
        <v>3186</v>
      </c>
      <c r="C2286" s="283" t="s">
        <v>3183</v>
      </c>
      <c r="D2286" s="284" t="s">
        <v>7184</v>
      </c>
    </row>
    <row r="2287" spans="1:4" x14ac:dyDescent="0.3">
      <c r="A2287" s="282" t="s">
        <v>7185</v>
      </c>
      <c r="B2287" s="283" t="s">
        <v>3204</v>
      </c>
      <c r="C2287" s="283" t="s">
        <v>3183</v>
      </c>
      <c r="D2287" s="284" t="s">
        <v>7186</v>
      </c>
    </row>
    <row r="2288" spans="1:4" x14ac:dyDescent="0.3">
      <c r="A2288" s="282" t="s">
        <v>7187</v>
      </c>
      <c r="B2288" s="283" t="s">
        <v>3298</v>
      </c>
      <c r="C2288" s="283" t="s">
        <v>3183</v>
      </c>
      <c r="D2288" s="284" t="s">
        <v>7188</v>
      </c>
    </row>
    <row r="2289" spans="1:4" x14ac:dyDescent="0.3">
      <c r="A2289" s="282" t="s">
        <v>7189</v>
      </c>
      <c r="B2289" s="283" t="s">
        <v>4731</v>
      </c>
      <c r="C2289" s="283" t="s">
        <v>3183</v>
      </c>
      <c r="D2289" s="284" t="s">
        <v>7190</v>
      </c>
    </row>
    <row r="2290" spans="1:4" x14ac:dyDescent="0.3">
      <c r="A2290" s="282" t="s">
        <v>7191</v>
      </c>
      <c r="B2290" s="283" t="s">
        <v>3215</v>
      </c>
      <c r="C2290" s="283" t="s">
        <v>3183</v>
      </c>
      <c r="D2290" s="284" t="s">
        <v>7192</v>
      </c>
    </row>
    <row r="2291" spans="1:4" x14ac:dyDescent="0.3">
      <c r="A2291" s="282" t="s">
        <v>7193</v>
      </c>
      <c r="B2291" s="283" t="s">
        <v>4736</v>
      </c>
      <c r="C2291" s="283" t="s">
        <v>3183</v>
      </c>
      <c r="D2291" s="284" t="s">
        <v>7194</v>
      </c>
    </row>
    <row r="2292" spans="1:4" x14ac:dyDescent="0.3">
      <c r="A2292" s="282" t="s">
        <v>7195</v>
      </c>
      <c r="B2292" s="283" t="s">
        <v>2708</v>
      </c>
      <c r="C2292" s="283" t="s">
        <v>3281</v>
      </c>
      <c r="D2292" s="284" t="s">
        <v>7196</v>
      </c>
    </row>
    <row r="2293" spans="1:4" x14ac:dyDescent="0.3">
      <c r="A2293" s="282" t="s">
        <v>7197</v>
      </c>
      <c r="B2293" s="283" t="s">
        <v>2708</v>
      </c>
      <c r="C2293" s="283" t="s">
        <v>3281</v>
      </c>
      <c r="D2293" s="284" t="s">
        <v>7198</v>
      </c>
    </row>
    <row r="2294" spans="1:4" x14ac:dyDescent="0.3">
      <c r="A2294" s="282" t="s">
        <v>7199</v>
      </c>
      <c r="B2294" s="283" t="s">
        <v>2708</v>
      </c>
      <c r="C2294" s="283" t="s">
        <v>489</v>
      </c>
      <c r="D2294" s="284" t="s">
        <v>7200</v>
      </c>
    </row>
    <row r="2295" spans="1:4" x14ac:dyDescent="0.3">
      <c r="A2295" s="282" t="s">
        <v>7201</v>
      </c>
      <c r="B2295" s="283" t="s">
        <v>4589</v>
      </c>
      <c r="C2295" s="283" t="s">
        <v>489</v>
      </c>
      <c r="D2295" s="284" t="s">
        <v>7202</v>
      </c>
    </row>
    <row r="2296" spans="1:4" x14ac:dyDescent="0.3">
      <c r="A2296" s="282" t="s">
        <v>7203</v>
      </c>
      <c r="B2296" s="283" t="s">
        <v>2708</v>
      </c>
      <c r="C2296" s="283" t="s">
        <v>3183</v>
      </c>
      <c r="D2296" s="284" t="s">
        <v>7204</v>
      </c>
    </row>
    <row r="2297" spans="1:4" x14ac:dyDescent="0.3">
      <c r="A2297" s="282" t="s">
        <v>7205</v>
      </c>
      <c r="B2297" s="283" t="s">
        <v>2708</v>
      </c>
      <c r="C2297" s="283" t="s">
        <v>3199</v>
      </c>
      <c r="D2297" s="284" t="s">
        <v>7206</v>
      </c>
    </row>
    <row r="2298" spans="1:4" x14ac:dyDescent="0.3">
      <c r="A2298" s="282" t="s">
        <v>7207</v>
      </c>
      <c r="B2298" s="283" t="s">
        <v>2708</v>
      </c>
      <c r="C2298" s="283" t="s">
        <v>3183</v>
      </c>
      <c r="D2298" s="284" t="s">
        <v>7208</v>
      </c>
    </row>
    <row r="2299" spans="1:4" x14ac:dyDescent="0.3">
      <c r="A2299" s="282" t="s">
        <v>7209</v>
      </c>
      <c r="B2299" s="283" t="s">
        <v>2708</v>
      </c>
      <c r="C2299" s="283" t="s">
        <v>3183</v>
      </c>
      <c r="D2299" s="284" t="s">
        <v>7210</v>
      </c>
    </row>
    <row r="2300" spans="1:4" x14ac:dyDescent="0.3">
      <c r="A2300" s="282" t="s">
        <v>7211</v>
      </c>
      <c r="B2300" s="283" t="s">
        <v>2708</v>
      </c>
      <c r="C2300" s="283" t="s">
        <v>3183</v>
      </c>
      <c r="D2300" s="284" t="s">
        <v>7212</v>
      </c>
    </row>
    <row r="2301" spans="1:4" x14ac:dyDescent="0.3">
      <c r="A2301" s="282" t="s">
        <v>7213</v>
      </c>
      <c r="B2301" s="283" t="s">
        <v>2708</v>
      </c>
      <c r="C2301" s="283" t="s">
        <v>2594</v>
      </c>
      <c r="D2301" s="284" t="s">
        <v>7206</v>
      </c>
    </row>
    <row r="2302" spans="1:4" x14ac:dyDescent="0.3">
      <c r="A2302" s="282" t="s">
        <v>7214</v>
      </c>
      <c r="B2302" s="283" t="s">
        <v>2708</v>
      </c>
      <c r="C2302" s="283" t="s">
        <v>3183</v>
      </c>
      <c r="D2302" s="284" t="s">
        <v>7215</v>
      </c>
    </row>
    <row r="2303" spans="1:4" x14ac:dyDescent="0.3">
      <c r="A2303" s="282" t="s">
        <v>7216</v>
      </c>
      <c r="B2303" s="283" t="s">
        <v>2708</v>
      </c>
      <c r="C2303" s="283" t="s">
        <v>3183</v>
      </c>
      <c r="D2303" s="284" t="s">
        <v>7217</v>
      </c>
    </row>
    <row r="2304" spans="1:4" x14ac:dyDescent="0.3">
      <c r="A2304" s="282" t="s">
        <v>7218</v>
      </c>
      <c r="B2304" s="283" t="s">
        <v>2708</v>
      </c>
      <c r="C2304" s="283" t="s">
        <v>3183</v>
      </c>
      <c r="D2304" s="284" t="s">
        <v>7219</v>
      </c>
    </row>
    <row r="2305" spans="1:4" x14ac:dyDescent="0.3">
      <c r="A2305" s="282" t="s">
        <v>7220</v>
      </c>
      <c r="B2305" s="283" t="s">
        <v>2708</v>
      </c>
      <c r="C2305" s="283" t="s">
        <v>3183</v>
      </c>
      <c r="D2305" s="284" t="s">
        <v>7221</v>
      </c>
    </row>
    <row r="2306" spans="1:4" x14ac:dyDescent="0.3">
      <c r="A2306" s="282" t="s">
        <v>7222</v>
      </c>
      <c r="B2306" s="283" t="s">
        <v>2708</v>
      </c>
      <c r="C2306" s="283" t="s">
        <v>3183</v>
      </c>
      <c r="D2306" s="284" t="s">
        <v>7223</v>
      </c>
    </row>
    <row r="2307" spans="1:4" x14ac:dyDescent="0.3">
      <c r="A2307" s="282" t="s">
        <v>7224</v>
      </c>
      <c r="B2307" s="283" t="s">
        <v>2708</v>
      </c>
      <c r="C2307" s="283" t="s">
        <v>3183</v>
      </c>
      <c r="D2307" s="284" t="s">
        <v>7225</v>
      </c>
    </row>
    <row r="2308" spans="1:4" x14ac:dyDescent="0.3">
      <c r="A2308" s="282" t="s">
        <v>7226</v>
      </c>
      <c r="B2308" s="283" t="s">
        <v>2708</v>
      </c>
      <c r="C2308" s="283" t="s">
        <v>3183</v>
      </c>
      <c r="D2308" s="284" t="s">
        <v>7227</v>
      </c>
    </row>
    <row r="2309" spans="1:4" x14ac:dyDescent="0.3">
      <c r="A2309" s="282" t="s">
        <v>7228</v>
      </c>
      <c r="B2309" s="283" t="s">
        <v>2708</v>
      </c>
      <c r="C2309" s="283" t="s">
        <v>3183</v>
      </c>
      <c r="D2309" s="284" t="s">
        <v>7229</v>
      </c>
    </row>
    <row r="2310" spans="1:4" x14ac:dyDescent="0.3">
      <c r="A2310" s="282" t="s">
        <v>7230</v>
      </c>
      <c r="B2310" s="283" t="s">
        <v>2708</v>
      </c>
      <c r="C2310" s="283" t="s">
        <v>3183</v>
      </c>
      <c r="D2310" s="284" t="s">
        <v>7231</v>
      </c>
    </row>
    <row r="2311" spans="1:4" x14ac:dyDescent="0.3">
      <c r="A2311" s="282" t="s">
        <v>7232</v>
      </c>
      <c r="B2311" s="283" t="s">
        <v>2708</v>
      </c>
      <c r="C2311" s="283" t="s">
        <v>3183</v>
      </c>
      <c r="D2311" s="284" t="s">
        <v>7233</v>
      </c>
    </row>
    <row r="2312" spans="1:4" x14ac:dyDescent="0.3">
      <c r="A2312" s="282" t="s">
        <v>7234</v>
      </c>
      <c r="B2312" s="283" t="s">
        <v>2708</v>
      </c>
      <c r="C2312" s="283" t="s">
        <v>3183</v>
      </c>
      <c r="D2312" s="284" t="s">
        <v>7235</v>
      </c>
    </row>
    <row r="2313" spans="1:4" x14ac:dyDescent="0.3">
      <c r="A2313" s="282" t="s">
        <v>7236</v>
      </c>
      <c r="B2313" s="283" t="s">
        <v>2708</v>
      </c>
      <c r="C2313" s="283" t="s">
        <v>2846</v>
      </c>
      <c r="D2313" s="284" t="s">
        <v>7237</v>
      </c>
    </row>
    <row r="2314" spans="1:4" x14ac:dyDescent="0.3">
      <c r="A2314" s="282" t="s">
        <v>7238</v>
      </c>
      <c r="B2314" s="283" t="s">
        <v>2708</v>
      </c>
      <c r="C2314" s="283" t="s">
        <v>3346</v>
      </c>
      <c r="D2314" s="284" t="s">
        <v>7239</v>
      </c>
    </row>
    <row r="2315" spans="1:4" x14ac:dyDescent="0.3">
      <c r="A2315" s="282" t="s">
        <v>7240</v>
      </c>
      <c r="B2315" s="283" t="s">
        <v>2708</v>
      </c>
      <c r="C2315" s="283" t="s">
        <v>3183</v>
      </c>
      <c r="D2315" s="284" t="s">
        <v>7241</v>
      </c>
    </row>
    <row r="2316" spans="1:4" x14ac:dyDescent="0.3">
      <c r="A2316" s="282" t="s">
        <v>7242</v>
      </c>
      <c r="B2316" s="283" t="s">
        <v>2708</v>
      </c>
      <c r="C2316" s="283" t="s">
        <v>489</v>
      </c>
      <c r="D2316" s="284" t="s">
        <v>7243</v>
      </c>
    </row>
    <row r="2317" spans="1:4" x14ac:dyDescent="0.3">
      <c r="A2317" s="282" t="s">
        <v>7244</v>
      </c>
      <c r="B2317" s="283" t="s">
        <v>2708</v>
      </c>
      <c r="C2317" s="283" t="s">
        <v>2846</v>
      </c>
      <c r="D2317" s="284" t="s">
        <v>7245</v>
      </c>
    </row>
    <row r="2318" spans="1:4" x14ac:dyDescent="0.3">
      <c r="A2318" s="282" t="s">
        <v>7246</v>
      </c>
      <c r="B2318" s="283" t="s">
        <v>2708</v>
      </c>
      <c r="C2318" s="283" t="s">
        <v>2846</v>
      </c>
      <c r="D2318" s="284" t="s">
        <v>7247</v>
      </c>
    </row>
    <row r="2319" spans="1:4" x14ac:dyDescent="0.3">
      <c r="A2319" s="282" t="s">
        <v>7248</v>
      </c>
      <c r="B2319" s="283" t="s">
        <v>2708</v>
      </c>
      <c r="C2319" s="283" t="s">
        <v>2846</v>
      </c>
      <c r="D2319" s="284" t="s">
        <v>7249</v>
      </c>
    </row>
    <row r="2320" spans="1:4" x14ac:dyDescent="0.3">
      <c r="A2320" s="282" t="s">
        <v>7248</v>
      </c>
      <c r="B2320" s="283" t="s">
        <v>2708</v>
      </c>
      <c r="C2320" s="283" t="s">
        <v>2846</v>
      </c>
      <c r="D2320" s="284" t="s">
        <v>7250</v>
      </c>
    </row>
    <row r="2321" spans="1:4" x14ac:dyDescent="0.3">
      <c r="A2321" s="282" t="s">
        <v>7251</v>
      </c>
      <c r="B2321" s="283" t="s">
        <v>2708</v>
      </c>
      <c r="C2321" s="283" t="s">
        <v>2708</v>
      </c>
      <c r="D2321" s="284" t="s">
        <v>7252</v>
      </c>
    </row>
    <row r="2322" spans="1:4" x14ac:dyDescent="0.3">
      <c r="A2322" s="282" t="s">
        <v>7253</v>
      </c>
      <c r="B2322" s="283" t="s">
        <v>2708</v>
      </c>
      <c r="C2322" s="283" t="s">
        <v>7254</v>
      </c>
      <c r="D2322" s="284" t="s">
        <v>7255</v>
      </c>
    </row>
    <row r="2323" spans="1:4" x14ac:dyDescent="0.3">
      <c r="A2323" s="282" t="s">
        <v>7256</v>
      </c>
      <c r="B2323" s="283" t="s">
        <v>2708</v>
      </c>
      <c r="C2323" s="283" t="s">
        <v>3346</v>
      </c>
      <c r="D2323" s="284" t="s">
        <v>7257</v>
      </c>
    </row>
    <row r="2324" spans="1:4" x14ac:dyDescent="0.3">
      <c r="A2324" s="282" t="s">
        <v>7258</v>
      </c>
      <c r="B2324" s="283" t="s">
        <v>2708</v>
      </c>
      <c r="C2324" s="283" t="s">
        <v>3346</v>
      </c>
      <c r="D2324" s="284" t="s">
        <v>7259</v>
      </c>
    </row>
    <row r="2325" spans="1:4" x14ac:dyDescent="0.3">
      <c r="A2325" s="282" t="s">
        <v>7260</v>
      </c>
      <c r="B2325" s="283" t="s">
        <v>2708</v>
      </c>
      <c r="C2325" s="283" t="s">
        <v>489</v>
      </c>
      <c r="D2325" s="284" t="s">
        <v>7261</v>
      </c>
    </row>
    <row r="2326" spans="1:4" x14ac:dyDescent="0.3">
      <c r="A2326" s="282" t="s">
        <v>7262</v>
      </c>
      <c r="B2326" s="283" t="s">
        <v>2708</v>
      </c>
      <c r="C2326" s="283" t="s">
        <v>489</v>
      </c>
      <c r="D2326" s="284" t="s">
        <v>7263</v>
      </c>
    </row>
    <row r="2327" spans="1:4" x14ac:dyDescent="0.3">
      <c r="A2327" s="282" t="s">
        <v>7264</v>
      </c>
      <c r="B2327" s="283" t="s">
        <v>2708</v>
      </c>
      <c r="C2327" s="283" t="s">
        <v>489</v>
      </c>
      <c r="D2327" s="284" t="s">
        <v>7265</v>
      </c>
    </row>
    <row r="2328" spans="1:4" x14ac:dyDescent="0.3">
      <c r="A2328" s="282" t="s">
        <v>7266</v>
      </c>
      <c r="B2328" s="283" t="s">
        <v>2708</v>
      </c>
      <c r="C2328" s="283" t="s">
        <v>489</v>
      </c>
      <c r="D2328" s="284" t="s">
        <v>7267</v>
      </c>
    </row>
  </sheetData>
  <pageMargins left="0.39370078740157483" right="0.39370078740157483" top="0.39370078740157483" bottom="0.39370078740157483" header="0.19685039370078741" footer="0.19685039370078741"/>
  <pageSetup paperSize="9" scale="68" pageOrder="overThenDown" orientation="landscape" r:id="rId1"/>
  <headerFooter>
    <oddFooter>&amp;L&amp;G&amp;R&amp;"Arial,Standard"&amp;9Seite &amp;P /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14</vt:i4>
      </vt:variant>
      <vt:variant>
        <vt:lpstr>Benannte Bereiche</vt:lpstr>
      </vt:variant>
      <vt:variant>
        <vt:i4>57</vt:i4>
      </vt:variant>
    </vt:vector>
  </HeadingPairs>
  <TitlesOfParts>
    <vt:vector size="71" baseType="lpstr">
      <vt:lpstr>Gefahrstoffverzeichnis</vt:lpstr>
      <vt:lpstr>Daten</vt:lpstr>
      <vt:lpstr>Substitution</vt:lpstr>
      <vt:lpstr>GHS</vt:lpstr>
      <vt:lpstr>Lager</vt:lpstr>
      <vt:lpstr>Zusammenlagerung</vt:lpstr>
      <vt:lpstr>H-Sätze</vt:lpstr>
      <vt:lpstr>P-Sätze</vt:lpstr>
      <vt:lpstr>Einatmen</vt:lpstr>
      <vt:lpstr>Haut</vt:lpstr>
      <vt:lpstr>Brand_EX</vt:lpstr>
      <vt:lpstr>Schutzleitfäden</vt:lpstr>
      <vt:lpstr>Entsorgung</vt:lpstr>
      <vt:lpstr>Gefahrgut</vt:lpstr>
      <vt:lpstr>Abteilung</vt:lpstr>
      <vt:lpstr>Ansprechpartner</vt:lpstr>
      <vt:lpstr>Auswahl_Bereich</vt:lpstr>
      <vt:lpstr>Beschränkung</vt:lpstr>
      <vt:lpstr>Brand_EX_Freisetzung1</vt:lpstr>
      <vt:lpstr>Brand_EX_Freisetzung2</vt:lpstr>
      <vt:lpstr>Brand_EX_GG</vt:lpstr>
      <vt:lpstr>Brand_EX_Mengengruppe</vt:lpstr>
      <vt:lpstr>Brand_EX_Mengengruppe2</vt:lpstr>
      <vt:lpstr>CMR</vt:lpstr>
      <vt:lpstr>CMR_H</vt:lpstr>
      <vt:lpstr>Entsorgung!Druckbereich</vt:lpstr>
      <vt:lpstr>Gefahrstoffverzeichnis!Druckbereich</vt:lpstr>
      <vt:lpstr>GHS!Druckbereich</vt:lpstr>
      <vt:lpstr>'H-Sätze'!Druckbereich</vt:lpstr>
      <vt:lpstr>'P-Sätze'!Druckbereich</vt:lpstr>
      <vt:lpstr>Substitution!Druckbereich</vt:lpstr>
      <vt:lpstr>Zusammenlagerung!Druckbereich</vt:lpstr>
      <vt:lpstr>Gefahrstoffverzeichnis!Drucktitel</vt:lpstr>
      <vt:lpstr>Einatmen_Freisetzung1</vt:lpstr>
      <vt:lpstr>Einatmen_Freisetzung2</vt:lpstr>
      <vt:lpstr>Einatmen_Mengengruppe</vt:lpstr>
      <vt:lpstr>Einatmen_Mengengruppe2</vt:lpstr>
      <vt:lpstr>Einheit_TRGS510</vt:lpstr>
      <vt:lpstr>Einstufung_Weitere</vt:lpstr>
      <vt:lpstr>Entsorgung</vt:lpstr>
      <vt:lpstr>Gebindeart</vt:lpstr>
      <vt:lpstr>Gefahrgut</vt:lpstr>
      <vt:lpstr>Gefahrgut_UN</vt:lpstr>
      <vt:lpstr>Gefahrgut_VG</vt:lpstr>
      <vt:lpstr>Gefahrstofflager</vt:lpstr>
      <vt:lpstr>geringe_Gefährdung</vt:lpstr>
      <vt:lpstr>GG_Einatmen</vt:lpstr>
      <vt:lpstr>GG_Haut</vt:lpstr>
      <vt:lpstr>Haut_Wirkdauer</vt:lpstr>
      <vt:lpstr>Haut_Wirkfläche</vt:lpstr>
      <vt:lpstr>Kennzeichnung</vt:lpstr>
      <vt:lpstr>LGK</vt:lpstr>
      <vt:lpstr>Mengeneinheit</vt:lpstr>
      <vt:lpstr>PSA_Atemschutz</vt:lpstr>
      <vt:lpstr>PSA_Augenschutz</vt:lpstr>
      <vt:lpstr>PSA_Handschutz</vt:lpstr>
      <vt:lpstr>PSA_Körperschutz</vt:lpstr>
      <vt:lpstr>Schutzleitfaden_Auswahl</vt:lpstr>
      <vt:lpstr>Standort</vt:lpstr>
      <vt:lpstr>Status</vt:lpstr>
      <vt:lpstr>Stoff_Gemisch</vt:lpstr>
      <vt:lpstr>sub_Anforderungen</vt:lpstr>
      <vt:lpstr>sub_auswahl</vt:lpstr>
      <vt:lpstr>sub_Ergebnis</vt:lpstr>
      <vt:lpstr>sub_Konsequenzen</vt:lpstr>
      <vt:lpstr>sub_Preis</vt:lpstr>
      <vt:lpstr>Verbrauch</vt:lpstr>
      <vt:lpstr>Vorsorge</vt:lpstr>
      <vt:lpstr>WGK</vt:lpstr>
      <vt:lpstr>Zustand</vt:lpstr>
      <vt:lpstr>Zustand_alle</vt:lpstr>
    </vt:vector>
  </TitlesOfParts>
  <Company>KMG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Gefahrstoffverzeichnis</dc:title>
  <dc:creator>Gräfe</dc:creator>
  <cp:lastModifiedBy>Kim Marius Gräfe</cp:lastModifiedBy>
  <cp:lastPrinted>2023-06-30T12:26:45Z</cp:lastPrinted>
  <dcterms:created xsi:type="dcterms:W3CDTF">2017-10-09T08:15:03Z</dcterms:created>
  <dcterms:modified xsi:type="dcterms:W3CDTF">2025-02-26T12:24:25Z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77c177-921f-4c67-aad2-9844fb8189cd_Enabled">
    <vt:lpwstr>true</vt:lpwstr>
  </property>
  <property fmtid="{D5CDD505-2E9C-101B-9397-08002B2CF9AE}" pid="3" name="MSIP_Label_dd77c177-921f-4c67-aad2-9844fb8189cd_SetDate">
    <vt:lpwstr>2023-02-24T13:30:56Z</vt:lpwstr>
  </property>
  <property fmtid="{D5CDD505-2E9C-101B-9397-08002B2CF9AE}" pid="4" name="MSIP_Label_dd77c177-921f-4c67-aad2-9844fb8189cd_Method">
    <vt:lpwstr>Standard</vt:lpwstr>
  </property>
  <property fmtid="{D5CDD505-2E9C-101B-9397-08002B2CF9AE}" pid="5" name="MSIP_Label_dd77c177-921f-4c67-aad2-9844fb8189cd_Name">
    <vt:lpwstr>dd77c177-921f-4c67-aad2-9844fb8189cd</vt:lpwstr>
  </property>
  <property fmtid="{D5CDD505-2E9C-101B-9397-08002B2CF9AE}" pid="6" name="MSIP_Label_dd77c177-921f-4c67-aad2-9844fb8189cd_SiteId">
    <vt:lpwstr>21f195bc-13e5-4339-82ea-ef8b8ecdd0a9</vt:lpwstr>
  </property>
  <property fmtid="{D5CDD505-2E9C-101B-9397-08002B2CF9AE}" pid="7" name="MSIP_Label_dd77c177-921f-4c67-aad2-9844fb8189cd_ActionId">
    <vt:lpwstr>88f9babd-ba04-4c2f-8c9a-5b00563183c1</vt:lpwstr>
  </property>
  <property fmtid="{D5CDD505-2E9C-101B-9397-08002B2CF9AE}" pid="8" name="MSIP_Label_dd77c177-921f-4c67-aad2-9844fb8189cd_ContentBits">
    <vt:lpwstr>2</vt:lpwstr>
  </property>
</Properties>
</file>