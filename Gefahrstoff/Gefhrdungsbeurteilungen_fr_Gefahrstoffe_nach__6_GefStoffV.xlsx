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Kunden\OTH Oberflächentechnik\Gefahrstoff- und Umweltmanagement\GBU\"/>
    </mc:Choice>
  </mc:AlternateContent>
  <xr:revisionPtr revIDLastSave="0" documentId="13_ncr:1_{235E92D0-26A0-42F9-BFCB-13814AE9FDE5}" xr6:coauthVersionLast="47" xr6:coauthVersionMax="47" xr10:uidLastSave="{00000000-0000-0000-0000-000000000000}"/>
  <bookViews>
    <workbookView xWindow="15264" yWindow="0" windowWidth="30912" windowHeight="16776" tabRatio="850" activeTab="5" xr2:uid="{20F7598E-DB9B-4FC9-A639-3CE8EF91623D}"/>
  </bookViews>
  <sheets>
    <sheet name="Übersicht GBU" sheetId="9" r:id="rId1"/>
    <sheet name="Daten" sheetId="6" r:id="rId2"/>
    <sheet name="Maßnahmen" sheetId="10" r:id="rId3"/>
    <sheet name="000" sheetId="13" r:id="rId4"/>
    <sheet name="085" sheetId="106" r:id="rId5"/>
    <sheet name="090" sheetId="107" r:id="rId6"/>
    <sheet name="091" sheetId="108" r:id="rId7"/>
    <sheet name="095" sheetId="109" r:id="rId8"/>
  </sheets>
  <externalReferences>
    <externalReference r:id="rId9"/>
    <externalReference r:id="rId10"/>
  </externalReferences>
  <definedNames>
    <definedName name="_xlnm._FilterDatabase" localSheetId="3" hidden="1">'000'!#REF!</definedName>
    <definedName name="_xlnm._FilterDatabase" localSheetId="4" hidden="1">'085'!#REF!</definedName>
    <definedName name="_xlnm._FilterDatabase" localSheetId="5" hidden="1">'090'!#REF!</definedName>
    <definedName name="_xlnm._FilterDatabase" localSheetId="6" hidden="1">'091'!#REF!</definedName>
    <definedName name="_xlnm._FilterDatabase" localSheetId="7" hidden="1">'095'!#REF!</definedName>
    <definedName name="_xlnm._FilterDatabase" localSheetId="2" hidden="1">Maßnahmen!$A$2:$H$1030</definedName>
    <definedName name="_xlnm._FilterDatabase" localSheetId="0" hidden="1">'Übersicht GBU'!$A$3:$AV$300</definedName>
    <definedName name="Bereich">[1]Daten!$C$2:$C$40</definedName>
    <definedName name="Deckblatt_Kundennr">[2]Start!$B$20:$B$64</definedName>
    <definedName name="_xlnm.Print_Area" localSheetId="3">'000'!$B$1:$G$120</definedName>
    <definedName name="_xlnm.Print_Area" localSheetId="4">'085'!$B$1:$G$121</definedName>
    <definedName name="_xlnm.Print_Area" localSheetId="5">'090'!$B$1:$G$120</definedName>
    <definedName name="_xlnm.Print_Area" localSheetId="6">'091'!$B$1:$G$120</definedName>
    <definedName name="_xlnm.Print_Area" localSheetId="7">'095'!$B$1:$G$120</definedName>
    <definedName name="_xlnm.Print_Area" localSheetId="2">Maßnahmen!$B$1:$H$1030</definedName>
    <definedName name="_xlnm.Print_Area" localSheetId="0">'Übersicht GBU'!$A$1:$AB$35</definedName>
    <definedName name="_xlnm.Print_Titles" localSheetId="3">'000'!$1:$3</definedName>
    <definedName name="_xlnm.Print_Titles" localSheetId="4">'085'!$1:$3</definedName>
    <definedName name="_xlnm.Print_Titles" localSheetId="5">'090'!$1:$3</definedName>
    <definedName name="_xlnm.Print_Titles" localSheetId="6">'091'!$1:$3</definedName>
    <definedName name="_xlnm.Print_Titles" localSheetId="7">'095'!$1:$3</definedName>
    <definedName name="_xlnm.Print_Titles" localSheetId="2">Maßnahmen!$1:$1</definedName>
    <definedName name="_xlnm.Print_Titles" localSheetId="0">'Übersicht GBU'!$1:$3</definedName>
    <definedName name="F_Auswahl">Daten!#REF!</definedName>
    <definedName name="Firma">[1]Daten!$A$2</definedName>
    <definedName name="Firma2">[1]Daten!$A$3</definedName>
    <definedName name="Gefährdungsfaktoren_Nummern">Daten!$A$2:$A$56</definedName>
    <definedName name="Handlungsbedarf">Daten!$I$2:$I$4</definedName>
    <definedName name="Jahr">Daten!#REF!</definedName>
    <definedName name="Kurzbeschreibung_Deckblatt">[2]Start!$B$68:$B$85</definedName>
    <definedName name="P_Auswahl">Daten!#REF!</definedName>
    <definedName name="Realisierung">Daten!#REF!</definedName>
    <definedName name="RLT_Kaeltemittel">[1]Daten!$H$2:$H$15</definedName>
    <definedName name="S_Auswahl">Daten!#REF!</definedName>
    <definedName name="Standort">[1]Daten!$B$2:$B$10</definedName>
    <definedName name="Status">[1]Daten!$G$2:$G$4</definedName>
    <definedName name="STOP">Daten!#REF!</definedName>
    <definedName name="Zuständigkeit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0" i="109" l="1"/>
  <c r="C119" i="109"/>
  <c r="C118" i="109"/>
  <c r="C116" i="109"/>
  <c r="C115" i="109"/>
  <c r="C113" i="109"/>
  <c r="C112" i="109"/>
  <c r="C110" i="109"/>
  <c r="C109" i="109"/>
  <c r="C108" i="109"/>
  <c r="C107" i="109"/>
  <c r="C105" i="109"/>
  <c r="C104" i="109"/>
  <c r="C103" i="109"/>
  <c r="C101" i="109"/>
  <c r="C100" i="109"/>
  <c r="C99" i="109"/>
  <c r="C98" i="109"/>
  <c r="C97" i="109"/>
  <c r="C96" i="109"/>
  <c r="C95" i="109"/>
  <c r="C94" i="109"/>
  <c r="C93" i="109"/>
  <c r="C92" i="109"/>
  <c r="C90" i="109"/>
  <c r="C89" i="109"/>
  <c r="C88" i="109"/>
  <c r="C87" i="109"/>
  <c r="C85" i="109"/>
  <c r="C84" i="109"/>
  <c r="C83" i="109"/>
  <c r="C82" i="109"/>
  <c r="C81" i="109"/>
  <c r="C79" i="109"/>
  <c r="E71" i="109"/>
  <c r="E65" i="109"/>
  <c r="E60" i="109"/>
  <c r="E59" i="109"/>
  <c r="E52" i="109"/>
  <c r="E44" i="109"/>
  <c r="E28" i="109"/>
  <c r="E27" i="109"/>
  <c r="E26" i="109"/>
  <c r="G24" i="109"/>
  <c r="E24" i="109"/>
  <c r="E23" i="109"/>
  <c r="E22" i="109"/>
  <c r="E21" i="109"/>
  <c r="E20" i="109"/>
  <c r="E14" i="109"/>
  <c r="E13" i="109"/>
  <c r="E12" i="109"/>
  <c r="E11" i="109"/>
  <c r="E10" i="109"/>
  <c r="E6" i="109"/>
  <c r="G2" i="109"/>
  <c r="B2" i="109"/>
  <c r="C120" i="108"/>
  <c r="C119" i="108"/>
  <c r="C118" i="108"/>
  <c r="C116" i="108"/>
  <c r="C115" i="108"/>
  <c r="C113" i="108"/>
  <c r="C112" i="108"/>
  <c r="C110" i="108"/>
  <c r="C109" i="108"/>
  <c r="C108" i="108"/>
  <c r="C107" i="108"/>
  <c r="C105" i="108"/>
  <c r="C104" i="108"/>
  <c r="C103" i="108"/>
  <c r="C101" i="108"/>
  <c r="C100" i="108"/>
  <c r="C99" i="108"/>
  <c r="C98" i="108"/>
  <c r="C97" i="108"/>
  <c r="C96" i="108"/>
  <c r="C95" i="108"/>
  <c r="C94" i="108"/>
  <c r="C93" i="108"/>
  <c r="C92" i="108"/>
  <c r="C90" i="108"/>
  <c r="C89" i="108"/>
  <c r="C88" i="108"/>
  <c r="C87" i="108"/>
  <c r="C85" i="108"/>
  <c r="C84" i="108"/>
  <c r="C83" i="108"/>
  <c r="C82" i="108"/>
  <c r="C81" i="108"/>
  <c r="C79" i="108"/>
  <c r="E71" i="108"/>
  <c r="E65" i="108"/>
  <c r="E60" i="108"/>
  <c r="E59" i="108"/>
  <c r="E52" i="108"/>
  <c r="E44" i="108"/>
  <c r="E28" i="108"/>
  <c r="E27" i="108"/>
  <c r="E26" i="108"/>
  <c r="G24" i="108"/>
  <c r="E24" i="108" s="1"/>
  <c r="E23" i="108"/>
  <c r="E22" i="108"/>
  <c r="E21" i="108"/>
  <c r="E20" i="108"/>
  <c r="E14" i="108"/>
  <c r="E13" i="108"/>
  <c r="E12" i="108"/>
  <c r="E11" i="108"/>
  <c r="E10" i="108"/>
  <c r="E6" i="108"/>
  <c r="G2" i="108"/>
  <c r="B2" i="108"/>
  <c r="C120" i="107"/>
  <c r="C119" i="107"/>
  <c r="C118" i="107"/>
  <c r="C116" i="107"/>
  <c r="C115" i="107"/>
  <c r="C113" i="107"/>
  <c r="C112" i="107"/>
  <c r="C110" i="107"/>
  <c r="C109" i="107"/>
  <c r="C108" i="107"/>
  <c r="C107" i="107"/>
  <c r="C105" i="107"/>
  <c r="C104" i="107"/>
  <c r="C103" i="107"/>
  <c r="C101" i="107"/>
  <c r="C100" i="107"/>
  <c r="C99" i="107"/>
  <c r="C98" i="107"/>
  <c r="C97" i="107"/>
  <c r="C96" i="107"/>
  <c r="C95" i="107"/>
  <c r="C94" i="107"/>
  <c r="C93" i="107"/>
  <c r="C92" i="107"/>
  <c r="C90" i="107"/>
  <c r="C89" i="107"/>
  <c r="C88" i="107"/>
  <c r="C87" i="107"/>
  <c r="C85" i="107"/>
  <c r="C84" i="107"/>
  <c r="C83" i="107"/>
  <c r="C82" i="107"/>
  <c r="C81" i="107"/>
  <c r="C79" i="107"/>
  <c r="E71" i="107"/>
  <c r="E65" i="107"/>
  <c r="E60" i="107"/>
  <c r="E59" i="107"/>
  <c r="E52" i="107"/>
  <c r="E44" i="107"/>
  <c r="E28" i="107"/>
  <c r="E27" i="107"/>
  <c r="E26" i="107"/>
  <c r="G24" i="107"/>
  <c r="E24" i="107" s="1"/>
  <c r="E23" i="107"/>
  <c r="E22" i="107"/>
  <c r="E21" i="107"/>
  <c r="E20" i="107"/>
  <c r="E14" i="107"/>
  <c r="E13" i="107"/>
  <c r="E12" i="107"/>
  <c r="E11" i="107"/>
  <c r="E10" i="107"/>
  <c r="E6" i="107"/>
  <c r="G2" i="107"/>
  <c r="B2" i="107"/>
  <c r="C121" i="106"/>
  <c r="C120" i="106"/>
  <c r="C119" i="106"/>
  <c r="C117" i="106"/>
  <c r="C116" i="106"/>
  <c r="C114" i="106"/>
  <c r="C113" i="106"/>
  <c r="C111" i="106"/>
  <c r="C110" i="106"/>
  <c r="C109" i="106"/>
  <c r="C108" i="106"/>
  <c r="C106" i="106"/>
  <c r="C105" i="106"/>
  <c r="C104" i="106"/>
  <c r="C102" i="106"/>
  <c r="C101" i="106"/>
  <c r="C100" i="106"/>
  <c r="C99" i="106"/>
  <c r="C98" i="106"/>
  <c r="C97" i="106"/>
  <c r="C96" i="106"/>
  <c r="C95" i="106"/>
  <c r="C94" i="106"/>
  <c r="C93" i="106"/>
  <c r="C91" i="106"/>
  <c r="C90" i="106"/>
  <c r="C89" i="106"/>
  <c r="C88" i="106"/>
  <c r="C86" i="106"/>
  <c r="C85" i="106"/>
  <c r="C84" i="106"/>
  <c r="C83" i="106"/>
  <c r="C82" i="106"/>
  <c r="C80" i="106"/>
  <c r="E71" i="106"/>
  <c r="E65" i="106"/>
  <c r="E60" i="106"/>
  <c r="E59" i="106"/>
  <c r="E52" i="106"/>
  <c r="E44" i="106"/>
  <c r="E28" i="106"/>
  <c r="E27" i="106"/>
  <c r="E26" i="106"/>
  <c r="G24" i="106"/>
  <c r="E24" i="106" s="1"/>
  <c r="E23" i="106"/>
  <c r="E22" i="106"/>
  <c r="E21" i="106"/>
  <c r="E20" i="106"/>
  <c r="E14" i="106"/>
  <c r="E13" i="106"/>
  <c r="E12" i="106"/>
  <c r="E11" i="106"/>
  <c r="E10" i="106"/>
  <c r="E6" i="106"/>
  <c r="B2" i="106"/>
  <c r="C300" i="9" l="1"/>
  <c r="B300" i="9"/>
  <c r="C299" i="9"/>
  <c r="B299" i="9"/>
  <c r="C298" i="9"/>
  <c r="B298" i="9"/>
  <c r="C297" i="9"/>
  <c r="B297" i="9"/>
  <c r="C296" i="9"/>
  <c r="B296" i="9"/>
  <c r="C295" i="9"/>
  <c r="B295" i="9"/>
  <c r="C294" i="9"/>
  <c r="B294" i="9"/>
  <c r="C293" i="9"/>
  <c r="B293" i="9"/>
  <c r="C292" i="9"/>
  <c r="B292" i="9"/>
  <c r="C291" i="9"/>
  <c r="B291" i="9"/>
  <c r="C290" i="9"/>
  <c r="B290" i="9"/>
  <c r="C289" i="9"/>
  <c r="B289" i="9"/>
  <c r="C288" i="9"/>
  <c r="B288" i="9"/>
  <c r="C287" i="9"/>
  <c r="B287" i="9"/>
  <c r="C286" i="9"/>
  <c r="B286" i="9"/>
  <c r="C285" i="9"/>
  <c r="B285" i="9"/>
  <c r="C284" i="9"/>
  <c r="B284" i="9"/>
  <c r="C283" i="9"/>
  <c r="B283" i="9"/>
  <c r="C282" i="9"/>
  <c r="B282" i="9"/>
  <c r="C281" i="9"/>
  <c r="B281" i="9"/>
  <c r="C280" i="9"/>
  <c r="B280" i="9"/>
  <c r="C279" i="9"/>
  <c r="B279" i="9"/>
  <c r="C278" i="9"/>
  <c r="B278" i="9"/>
  <c r="C277" i="9"/>
  <c r="B277" i="9"/>
  <c r="C276" i="9"/>
  <c r="B276" i="9"/>
  <c r="C275" i="9"/>
  <c r="B275" i="9"/>
  <c r="C274" i="9"/>
  <c r="B274" i="9"/>
  <c r="C273" i="9"/>
  <c r="B273" i="9"/>
  <c r="C272" i="9"/>
  <c r="B272" i="9"/>
  <c r="C271" i="9"/>
  <c r="B271" i="9"/>
  <c r="C270" i="9"/>
  <c r="B270" i="9"/>
  <c r="C269" i="9"/>
  <c r="B269" i="9"/>
  <c r="C268" i="9"/>
  <c r="B268" i="9"/>
  <c r="C267" i="9"/>
  <c r="B267" i="9"/>
  <c r="C266" i="9"/>
  <c r="B266" i="9"/>
  <c r="C265" i="9"/>
  <c r="B265" i="9"/>
  <c r="C264" i="9"/>
  <c r="B264" i="9"/>
  <c r="C263" i="9"/>
  <c r="B263" i="9"/>
  <c r="C262" i="9"/>
  <c r="B262" i="9"/>
  <c r="C261" i="9"/>
  <c r="B261" i="9"/>
  <c r="C260" i="9"/>
  <c r="B260" i="9"/>
  <c r="C259" i="9"/>
  <c r="B259" i="9"/>
  <c r="C258" i="9"/>
  <c r="B258" i="9"/>
  <c r="C257" i="9"/>
  <c r="B257" i="9"/>
  <c r="C256" i="9"/>
  <c r="B256" i="9"/>
  <c r="C255" i="9"/>
  <c r="B255" i="9"/>
  <c r="C254" i="9"/>
  <c r="B254" i="9"/>
  <c r="C253" i="9"/>
  <c r="B253" i="9"/>
  <c r="C252" i="9"/>
  <c r="B252" i="9"/>
  <c r="C251" i="9"/>
  <c r="B251" i="9"/>
  <c r="C250" i="9"/>
  <c r="B250" i="9"/>
  <c r="C249" i="9"/>
  <c r="B249" i="9"/>
  <c r="C248" i="9"/>
  <c r="B248" i="9"/>
  <c r="C247" i="9" l="1"/>
  <c r="B247" i="9"/>
  <c r="C246" i="9"/>
  <c r="B246" i="9"/>
  <c r="C245" i="9"/>
  <c r="B245" i="9"/>
  <c r="C244" i="9"/>
  <c r="B244" i="9"/>
  <c r="C243" i="9"/>
  <c r="B243" i="9"/>
  <c r="C242" i="9"/>
  <c r="B242" i="9"/>
  <c r="C241" i="9"/>
  <c r="B241" i="9"/>
  <c r="C240" i="9"/>
  <c r="B240" i="9"/>
  <c r="C239" i="9"/>
  <c r="B239" i="9"/>
  <c r="C238" i="9"/>
  <c r="B238" i="9"/>
  <c r="C237" i="9"/>
  <c r="B237" i="9"/>
  <c r="C236" i="9"/>
  <c r="B236" i="9"/>
  <c r="C235" i="9"/>
  <c r="B235" i="9"/>
  <c r="C234" i="9"/>
  <c r="B234" i="9"/>
  <c r="C120" i="13" l="1"/>
  <c r="C119" i="13"/>
  <c r="C118" i="13"/>
  <c r="C116" i="13"/>
  <c r="C115" i="13"/>
  <c r="C113" i="13"/>
  <c r="C112" i="13"/>
  <c r="C110" i="13"/>
  <c r="C109" i="13"/>
  <c r="C108" i="13"/>
  <c r="C107" i="13"/>
  <c r="C105" i="13"/>
  <c r="C104" i="13"/>
  <c r="C103" i="13"/>
  <c r="C101" i="13"/>
  <c r="C100" i="13"/>
  <c r="C99" i="13"/>
  <c r="C98" i="13"/>
  <c r="C97" i="13"/>
  <c r="C96" i="13"/>
  <c r="C95" i="13"/>
  <c r="C94" i="13"/>
  <c r="C93" i="13"/>
  <c r="C92" i="13"/>
  <c r="C90" i="13"/>
  <c r="C89" i="13"/>
  <c r="C88" i="13"/>
  <c r="C87" i="13"/>
  <c r="C85" i="13"/>
  <c r="C84" i="13"/>
  <c r="C83" i="13"/>
  <c r="C82" i="13"/>
  <c r="C81" i="13"/>
  <c r="C79" i="13"/>
  <c r="E71" i="13"/>
  <c r="E65" i="13"/>
  <c r="E60" i="13"/>
  <c r="E59" i="13"/>
  <c r="E52" i="13"/>
  <c r="E44" i="13"/>
  <c r="E28" i="13"/>
  <c r="E27" i="13"/>
  <c r="E26" i="13"/>
  <c r="G24" i="13"/>
  <c r="E24" i="13" s="1"/>
  <c r="E23" i="13"/>
  <c r="E22" i="13"/>
  <c r="E21" i="13"/>
  <c r="E20" i="13"/>
  <c r="E14" i="13"/>
  <c r="E13" i="13"/>
  <c r="E12" i="13"/>
  <c r="E11" i="13"/>
  <c r="E10" i="13"/>
  <c r="E6" i="13"/>
  <c r="G2" i="13"/>
  <c r="B2" i="13"/>
  <c r="B4" i="9" l="1"/>
  <c r="C4" i="9"/>
  <c r="B5" i="9"/>
  <c r="C5" i="9"/>
  <c r="B6" i="9"/>
  <c r="C6" i="9"/>
  <c r="B7" i="9"/>
  <c r="C7" i="9"/>
  <c r="B8" i="9"/>
  <c r="C8" i="9"/>
  <c r="B9" i="9"/>
  <c r="C9" i="9"/>
  <c r="B10" i="9"/>
  <c r="C10" i="9"/>
  <c r="B11"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B36" i="9"/>
  <c r="C36" i="9"/>
  <c r="B37" i="9"/>
  <c r="C37" i="9"/>
  <c r="B38" i="9"/>
  <c r="C38" i="9"/>
  <c r="B39" i="9"/>
  <c r="C39" i="9"/>
  <c r="B40" i="9"/>
  <c r="C40" i="9"/>
  <c r="B41" i="9"/>
  <c r="C41" i="9"/>
  <c r="B42" i="9"/>
  <c r="C42" i="9"/>
  <c r="B43" i="9"/>
  <c r="C43" i="9"/>
  <c r="B44" i="9"/>
  <c r="C44" i="9"/>
  <c r="B45" i="9"/>
  <c r="C45" i="9"/>
  <c r="B46" i="9"/>
  <c r="C46" i="9"/>
  <c r="B47" i="9"/>
  <c r="C47" i="9"/>
  <c r="B48" i="9"/>
  <c r="C48" i="9"/>
  <c r="B49" i="9"/>
  <c r="C49" i="9"/>
  <c r="B50" i="9"/>
  <c r="C50" i="9"/>
  <c r="B51" i="9"/>
  <c r="C51" i="9"/>
  <c r="B52" i="9"/>
  <c r="C52" i="9"/>
  <c r="B53" i="9"/>
  <c r="C53" i="9"/>
  <c r="B54" i="9"/>
  <c r="C54" i="9"/>
  <c r="B55" i="9"/>
  <c r="C55" i="9"/>
  <c r="B56" i="9"/>
  <c r="C56" i="9"/>
  <c r="B57" i="9"/>
  <c r="C57" i="9"/>
  <c r="B58" i="9"/>
  <c r="C58" i="9"/>
  <c r="B59" i="9"/>
  <c r="C59" i="9"/>
  <c r="B60" i="9"/>
  <c r="C60" i="9"/>
  <c r="B61" i="9"/>
  <c r="C61" i="9"/>
  <c r="B62" i="9"/>
  <c r="C62" i="9"/>
  <c r="B63" i="9"/>
  <c r="C63" i="9"/>
  <c r="B64" i="9"/>
  <c r="C64" i="9"/>
  <c r="B65" i="9"/>
  <c r="C65" i="9"/>
  <c r="B66" i="9"/>
  <c r="C66" i="9"/>
  <c r="B67" i="9"/>
  <c r="C67" i="9"/>
  <c r="B68" i="9"/>
  <c r="C68" i="9"/>
  <c r="B69" i="9"/>
  <c r="C69" i="9"/>
  <c r="B70" i="9"/>
  <c r="C70" i="9"/>
  <c r="B71" i="9"/>
  <c r="C71" i="9"/>
  <c r="B72" i="9"/>
  <c r="C72" i="9"/>
  <c r="B73" i="9"/>
  <c r="C73" i="9"/>
  <c r="B74" i="9"/>
  <c r="C74" i="9"/>
  <c r="B75" i="9"/>
  <c r="C75" i="9"/>
  <c r="B76" i="9"/>
  <c r="C76" i="9"/>
  <c r="B77" i="9"/>
  <c r="C77" i="9"/>
  <c r="B78" i="9"/>
  <c r="C78" i="9"/>
  <c r="B79" i="9"/>
  <c r="C79" i="9"/>
  <c r="B80" i="9"/>
  <c r="C80" i="9"/>
  <c r="B81" i="9"/>
  <c r="C81" i="9"/>
  <c r="B82" i="9"/>
  <c r="C82" i="9"/>
  <c r="B83" i="9"/>
  <c r="C83" i="9"/>
  <c r="B84" i="9"/>
  <c r="C84" i="9"/>
  <c r="B85" i="9"/>
  <c r="C85" i="9"/>
  <c r="B86" i="9"/>
  <c r="C86" i="9"/>
  <c r="B87" i="9"/>
  <c r="C87" i="9"/>
  <c r="B88" i="9"/>
  <c r="C88" i="9"/>
  <c r="B89" i="9"/>
  <c r="C89" i="9"/>
  <c r="B90" i="9"/>
  <c r="C90" i="9"/>
  <c r="B91" i="9"/>
  <c r="C91" i="9"/>
  <c r="B92" i="9"/>
  <c r="C92" i="9"/>
  <c r="B93" i="9"/>
  <c r="C93" i="9"/>
  <c r="B94" i="9"/>
  <c r="C94" i="9"/>
  <c r="B95" i="9"/>
  <c r="C95" i="9"/>
  <c r="B96" i="9"/>
  <c r="C96" i="9"/>
  <c r="B97" i="9"/>
  <c r="C97" i="9"/>
  <c r="B98" i="9"/>
  <c r="C98" i="9"/>
  <c r="B99" i="9"/>
  <c r="C99" i="9"/>
  <c r="B100" i="9"/>
  <c r="C100" i="9"/>
  <c r="B101" i="9"/>
  <c r="C101" i="9"/>
  <c r="B102" i="9"/>
  <c r="C102" i="9"/>
  <c r="B103" i="9"/>
  <c r="C103" i="9"/>
  <c r="B104" i="9"/>
  <c r="C104" i="9"/>
  <c r="B105" i="9"/>
  <c r="C105" i="9"/>
  <c r="B106" i="9"/>
  <c r="C106" i="9"/>
  <c r="B107" i="9"/>
  <c r="C107" i="9"/>
  <c r="B108" i="9"/>
  <c r="C108" i="9"/>
  <c r="B109" i="9"/>
  <c r="C109" i="9"/>
  <c r="B110" i="9"/>
  <c r="C110" i="9"/>
  <c r="B111" i="9"/>
  <c r="C111" i="9"/>
  <c r="B112" i="9"/>
  <c r="C112" i="9"/>
  <c r="B113" i="9"/>
  <c r="C113" i="9"/>
  <c r="B114" i="9"/>
  <c r="C114" i="9"/>
  <c r="B115" i="9"/>
  <c r="C115" i="9"/>
  <c r="B116" i="9"/>
  <c r="C116" i="9"/>
  <c r="B117" i="9"/>
  <c r="C117" i="9"/>
  <c r="B118" i="9"/>
  <c r="C118" i="9"/>
  <c r="B119" i="9"/>
  <c r="C119" i="9"/>
  <c r="B120" i="9"/>
  <c r="C120" i="9"/>
  <c r="B121" i="9"/>
  <c r="C121" i="9"/>
  <c r="B122" i="9"/>
  <c r="C122" i="9"/>
  <c r="B123" i="9"/>
  <c r="C123" i="9"/>
  <c r="B124" i="9"/>
  <c r="C124" i="9"/>
  <c r="B125" i="9"/>
  <c r="C125" i="9"/>
  <c r="B126" i="9"/>
  <c r="C126" i="9"/>
  <c r="B127" i="9"/>
  <c r="C127" i="9"/>
  <c r="B128" i="9"/>
  <c r="C128" i="9"/>
  <c r="B129" i="9"/>
  <c r="C129" i="9"/>
  <c r="B130" i="9"/>
  <c r="C130" i="9"/>
  <c r="B131" i="9"/>
  <c r="C131" i="9"/>
  <c r="B132" i="9"/>
  <c r="C132" i="9"/>
  <c r="B133" i="9"/>
  <c r="C133" i="9"/>
  <c r="B134" i="9"/>
  <c r="C134" i="9"/>
  <c r="B135" i="9"/>
  <c r="C135" i="9"/>
  <c r="B136" i="9"/>
  <c r="C136" i="9"/>
  <c r="B137" i="9"/>
  <c r="C137" i="9"/>
  <c r="B138" i="9"/>
  <c r="C138" i="9"/>
  <c r="B139" i="9"/>
  <c r="C139" i="9"/>
  <c r="B140" i="9"/>
  <c r="C140" i="9"/>
  <c r="B141" i="9"/>
  <c r="C141" i="9"/>
  <c r="B142" i="9"/>
  <c r="C142" i="9"/>
  <c r="B143" i="9"/>
  <c r="C143" i="9"/>
  <c r="B144" i="9"/>
  <c r="C144" i="9"/>
  <c r="B145" i="9"/>
  <c r="C145" i="9"/>
  <c r="B146" i="9"/>
  <c r="C146" i="9"/>
  <c r="B147" i="9"/>
  <c r="C147" i="9"/>
  <c r="B148" i="9"/>
  <c r="C148" i="9"/>
  <c r="B149" i="9"/>
  <c r="C149" i="9"/>
  <c r="B150" i="9"/>
  <c r="C150" i="9"/>
  <c r="B151" i="9"/>
  <c r="C151" i="9"/>
  <c r="B152" i="9"/>
  <c r="C152" i="9"/>
  <c r="B153" i="9"/>
  <c r="C153" i="9"/>
  <c r="B154" i="9"/>
  <c r="C154" i="9"/>
  <c r="B155" i="9"/>
  <c r="C155" i="9"/>
  <c r="B156" i="9"/>
  <c r="C156" i="9"/>
  <c r="B157" i="9"/>
  <c r="C157" i="9"/>
  <c r="B158" i="9"/>
  <c r="C158" i="9"/>
  <c r="B159" i="9"/>
  <c r="C159" i="9"/>
  <c r="B160" i="9"/>
  <c r="C160" i="9"/>
  <c r="B161" i="9"/>
  <c r="C161" i="9"/>
  <c r="B162" i="9"/>
  <c r="C162" i="9"/>
  <c r="B163" i="9"/>
  <c r="C163" i="9"/>
  <c r="B164" i="9"/>
  <c r="C164" i="9"/>
  <c r="B165" i="9"/>
  <c r="C165" i="9"/>
  <c r="B166" i="9"/>
  <c r="C166" i="9"/>
  <c r="B167" i="9"/>
  <c r="C167" i="9"/>
  <c r="B168" i="9"/>
  <c r="C168" i="9"/>
  <c r="B169" i="9"/>
  <c r="C169" i="9"/>
  <c r="B170" i="9"/>
  <c r="C170" i="9"/>
  <c r="B171" i="9"/>
  <c r="C171" i="9"/>
  <c r="B172" i="9"/>
  <c r="C172" i="9"/>
  <c r="B173" i="9"/>
  <c r="C173" i="9"/>
  <c r="B174" i="9"/>
  <c r="C174" i="9"/>
  <c r="B175" i="9"/>
  <c r="C175" i="9"/>
  <c r="B176" i="9"/>
  <c r="C176" i="9"/>
  <c r="B177" i="9"/>
  <c r="C177" i="9"/>
  <c r="B178" i="9"/>
  <c r="C178" i="9"/>
  <c r="B179" i="9"/>
  <c r="C179" i="9"/>
  <c r="B180" i="9"/>
  <c r="C180" i="9"/>
  <c r="B181" i="9"/>
  <c r="C181" i="9"/>
  <c r="B182" i="9"/>
  <c r="C182" i="9"/>
  <c r="B183" i="9"/>
  <c r="C183" i="9"/>
  <c r="B184" i="9"/>
  <c r="C184" i="9"/>
  <c r="B185" i="9"/>
  <c r="C185" i="9"/>
  <c r="B186" i="9"/>
  <c r="C186" i="9"/>
  <c r="B187" i="9"/>
  <c r="C187" i="9"/>
  <c r="B188" i="9"/>
  <c r="C188" i="9"/>
  <c r="B189" i="9"/>
  <c r="C189" i="9"/>
  <c r="B190" i="9"/>
  <c r="C190" i="9"/>
  <c r="B191" i="9"/>
  <c r="C191" i="9"/>
  <c r="B192" i="9"/>
  <c r="C192" i="9"/>
  <c r="B193" i="9"/>
  <c r="C193" i="9"/>
  <c r="B194" i="9"/>
  <c r="C194" i="9"/>
  <c r="B195" i="9"/>
  <c r="C195" i="9"/>
  <c r="B196" i="9"/>
  <c r="C196" i="9"/>
  <c r="B197" i="9"/>
  <c r="C197" i="9"/>
  <c r="B198" i="9"/>
  <c r="C198" i="9"/>
  <c r="B199" i="9"/>
  <c r="C199" i="9"/>
  <c r="B200" i="9"/>
  <c r="C200" i="9"/>
  <c r="B201" i="9"/>
  <c r="C201" i="9"/>
  <c r="B202" i="9"/>
  <c r="C202" i="9"/>
  <c r="B203" i="9"/>
  <c r="C203" i="9"/>
  <c r="B204" i="9"/>
  <c r="C204" i="9"/>
  <c r="B205" i="9"/>
  <c r="C205" i="9"/>
  <c r="B206" i="9"/>
  <c r="C206" i="9"/>
  <c r="B207" i="9"/>
  <c r="C207" i="9"/>
  <c r="B208" i="9"/>
  <c r="C208" i="9"/>
  <c r="B209" i="9"/>
  <c r="C209" i="9"/>
  <c r="B210" i="9"/>
  <c r="C210" i="9"/>
  <c r="B211" i="9"/>
  <c r="C211" i="9"/>
  <c r="B212" i="9"/>
  <c r="C212" i="9"/>
  <c r="B213" i="9"/>
  <c r="C213" i="9"/>
  <c r="B214" i="9"/>
  <c r="C214" i="9"/>
  <c r="B215" i="9"/>
  <c r="C215" i="9"/>
  <c r="B216" i="9"/>
  <c r="C216" i="9"/>
  <c r="B217" i="9"/>
  <c r="C217" i="9"/>
  <c r="B218" i="9"/>
  <c r="C218" i="9"/>
  <c r="B219" i="9"/>
  <c r="C219" i="9"/>
  <c r="B220" i="9"/>
  <c r="C220" i="9"/>
  <c r="B221" i="9"/>
  <c r="C221" i="9"/>
  <c r="B222" i="9"/>
  <c r="C222" i="9"/>
  <c r="B223" i="9"/>
  <c r="C223" i="9"/>
  <c r="B224" i="9"/>
  <c r="C224" i="9"/>
  <c r="B225" i="9"/>
  <c r="C225" i="9"/>
  <c r="B226" i="9"/>
  <c r="C226" i="9"/>
  <c r="B227" i="9"/>
  <c r="C227" i="9"/>
  <c r="B228" i="9"/>
  <c r="C228" i="9"/>
  <c r="B229" i="9"/>
  <c r="C229" i="9"/>
  <c r="B230" i="9"/>
  <c r="C230" i="9"/>
  <c r="B231" i="9"/>
  <c r="C231" i="9"/>
  <c r="B232" i="9"/>
  <c r="C232" i="9"/>
  <c r="B233" i="9"/>
  <c r="C233" i="9"/>
  <c r="D1030" i="10" l="1"/>
  <c r="D1029" i="10"/>
  <c r="D1028" i="10"/>
  <c r="D1027" i="10"/>
  <c r="D1026" i="10"/>
  <c r="D1025" i="10"/>
  <c r="D1024" i="10"/>
  <c r="D1023" i="10"/>
  <c r="D1022" i="10"/>
  <c r="D1021" i="10"/>
  <c r="D1020" i="10"/>
  <c r="D1019" i="10"/>
  <c r="D1018" i="10"/>
  <c r="D1017" i="10"/>
  <c r="D1016" i="10"/>
  <c r="D1015" i="10"/>
  <c r="D1014" i="10"/>
  <c r="D1013" i="10"/>
  <c r="D1012" i="10"/>
  <c r="D1011" i="10"/>
  <c r="D1010" i="10"/>
  <c r="D1009" i="10"/>
  <c r="D1008" i="10"/>
  <c r="D1007" i="10"/>
  <c r="D1006" i="10"/>
  <c r="D1005" i="10"/>
  <c r="D1004" i="10"/>
  <c r="D1003" i="10"/>
  <c r="D1002" i="10"/>
  <c r="D1001" i="10"/>
  <c r="D1000" i="10"/>
  <c r="D999" i="10"/>
  <c r="D998" i="10"/>
  <c r="D997" i="10"/>
  <c r="E996" i="10"/>
  <c r="F996" i="10" s="1"/>
  <c r="E995" i="10"/>
  <c r="F995" i="10" s="1"/>
  <c r="D994" i="10"/>
  <c r="D993" i="10"/>
  <c r="D992" i="10"/>
  <c r="D991" i="10"/>
  <c r="D990" i="10"/>
  <c r="D989" i="10"/>
  <c r="D988" i="10"/>
  <c r="D987" i="10"/>
  <c r="D986" i="10"/>
  <c r="D985" i="10"/>
  <c r="D984" i="10"/>
  <c r="D983" i="10"/>
  <c r="D982" i="10"/>
  <c r="D981" i="10"/>
  <c r="D980" i="10"/>
  <c r="D979" i="10"/>
  <c r="D978" i="10"/>
  <c r="D977" i="10"/>
  <c r="D976" i="10"/>
  <c r="D975" i="10"/>
  <c r="D974" i="10"/>
  <c r="D973" i="10"/>
  <c r="D972" i="10"/>
  <c r="D971" i="10"/>
  <c r="D970" i="10"/>
  <c r="D969" i="10"/>
  <c r="E968" i="10"/>
  <c r="F968" i="10" s="1"/>
  <c r="D967" i="10"/>
  <c r="D966" i="10"/>
  <c r="D965" i="10"/>
  <c r="D964" i="10"/>
  <c r="D963" i="10"/>
  <c r="D962" i="10"/>
  <c r="D961" i="10"/>
  <c r="D960" i="10"/>
  <c r="D959" i="10"/>
  <c r="D958" i="10"/>
  <c r="D957" i="10"/>
  <c r="D956" i="10"/>
  <c r="D955" i="10"/>
  <c r="D954" i="10"/>
  <c r="D953" i="10"/>
  <c r="D952" i="10"/>
  <c r="D951" i="10"/>
  <c r="D950" i="10"/>
  <c r="D949" i="10"/>
  <c r="D948" i="10"/>
  <c r="D947" i="10"/>
  <c r="E946" i="10"/>
  <c r="F946" i="10" s="1"/>
  <c r="D945" i="10"/>
  <c r="D944" i="10"/>
  <c r="D943" i="10"/>
  <c r="D942" i="10"/>
  <c r="D941" i="10"/>
  <c r="D940" i="10"/>
  <c r="D939" i="10"/>
  <c r="D938" i="10"/>
  <c r="D937" i="10"/>
  <c r="D936" i="10"/>
  <c r="D935" i="10"/>
  <c r="D934" i="10"/>
  <c r="D933" i="10"/>
  <c r="D932" i="10"/>
  <c r="D931" i="10"/>
  <c r="D930" i="10"/>
  <c r="D929" i="10"/>
  <c r="D928" i="10"/>
  <c r="D927" i="10"/>
  <c r="D926" i="10"/>
  <c r="D925" i="10"/>
  <c r="D924" i="10"/>
  <c r="D923" i="10"/>
  <c r="D922" i="10"/>
  <c r="D921" i="10"/>
  <c r="D920" i="10"/>
  <c r="D919" i="10"/>
  <c r="D918" i="10"/>
  <c r="D917" i="10"/>
  <c r="D916" i="10"/>
  <c r="D915" i="10"/>
  <c r="E914" i="10"/>
  <c r="F914" i="10" s="1"/>
  <c r="D913" i="10"/>
  <c r="D912" i="10"/>
  <c r="D911" i="10"/>
  <c r="D910" i="10"/>
  <c r="D909" i="10"/>
  <c r="D908" i="10"/>
  <c r="D907" i="10"/>
  <c r="D906" i="10"/>
  <c r="D905" i="10"/>
  <c r="D904" i="10"/>
  <c r="D903" i="10"/>
  <c r="D902" i="10"/>
  <c r="D901" i="10"/>
  <c r="D900" i="10"/>
  <c r="D899" i="10"/>
  <c r="D898" i="10"/>
  <c r="D897" i="10"/>
  <c r="D896" i="10"/>
  <c r="D895" i="10"/>
  <c r="D894" i="10"/>
  <c r="D893" i="10"/>
  <c r="D892" i="10"/>
  <c r="D891" i="10"/>
  <c r="D890" i="10"/>
  <c r="D889" i="10"/>
  <c r="D888" i="10"/>
  <c r="E887" i="10"/>
  <c r="F887" i="10" s="1"/>
  <c r="D886" i="10"/>
  <c r="D885" i="10"/>
  <c r="D884" i="10"/>
  <c r="D883" i="10"/>
  <c r="D882" i="10"/>
  <c r="D881" i="10"/>
  <c r="D880" i="10"/>
  <c r="D879" i="10"/>
  <c r="D878" i="10"/>
  <c r="D877" i="10"/>
  <c r="D876" i="10"/>
  <c r="D875" i="10"/>
  <c r="D874" i="10"/>
  <c r="D873" i="10"/>
  <c r="D872" i="10"/>
  <c r="D871" i="10"/>
  <c r="D870" i="10"/>
  <c r="D869" i="10"/>
  <c r="D868" i="10"/>
  <c r="D867" i="10"/>
  <c r="D866" i="10"/>
  <c r="D865" i="10"/>
  <c r="D864" i="10"/>
  <c r="D863" i="10"/>
  <c r="D862" i="10"/>
  <c r="D861" i="10"/>
  <c r="D860" i="10"/>
  <c r="D859" i="10"/>
  <c r="E858" i="10"/>
  <c r="F858" i="10" s="1"/>
  <c r="D857" i="10"/>
  <c r="D856" i="10"/>
  <c r="D855" i="10"/>
  <c r="D854" i="10"/>
  <c r="D853" i="10"/>
  <c r="D852" i="10"/>
  <c r="D851" i="10"/>
  <c r="D850" i="10"/>
  <c r="D849" i="10"/>
  <c r="D848" i="10"/>
  <c r="D847" i="10"/>
  <c r="D846" i="10"/>
  <c r="D845" i="10"/>
  <c r="D844" i="10"/>
  <c r="D843" i="10"/>
  <c r="D842" i="10"/>
  <c r="D841" i="10"/>
  <c r="D840" i="10"/>
  <c r="D839" i="10"/>
  <c r="D838" i="10"/>
  <c r="D837" i="10"/>
  <c r="D836" i="10"/>
  <c r="D835" i="10"/>
  <c r="D834" i="10"/>
  <c r="D833" i="10"/>
  <c r="D832" i="10"/>
  <c r="D831" i="10"/>
  <c r="D830" i="10"/>
  <c r="D829" i="10"/>
  <c r="E828" i="10"/>
  <c r="F828" i="10" s="1"/>
  <c r="D827" i="10"/>
  <c r="D826" i="10"/>
  <c r="D825" i="10"/>
  <c r="D824" i="10"/>
  <c r="D823" i="10"/>
  <c r="D822" i="10"/>
  <c r="D821" i="10"/>
  <c r="D820" i="10"/>
  <c r="D819" i="10"/>
  <c r="D818" i="10"/>
  <c r="D817" i="10"/>
  <c r="D816" i="10"/>
  <c r="D815" i="10"/>
  <c r="D814" i="10"/>
  <c r="D813" i="10"/>
  <c r="D812" i="10"/>
  <c r="D811" i="10"/>
  <c r="D810" i="10"/>
  <c r="D809" i="10"/>
  <c r="D808" i="10"/>
  <c r="D807" i="10"/>
  <c r="D806" i="10"/>
  <c r="D805" i="10"/>
  <c r="D804" i="10"/>
  <c r="D803" i="10"/>
  <c r="D802" i="10"/>
  <c r="D801" i="10"/>
  <c r="D800" i="10"/>
  <c r="D799" i="10"/>
  <c r="D798" i="10"/>
  <c r="D797" i="10"/>
  <c r="E796" i="10"/>
  <c r="F796" i="10" s="1"/>
  <c r="D795" i="10"/>
  <c r="D794" i="10"/>
  <c r="D793" i="10"/>
  <c r="D792" i="10"/>
  <c r="D791" i="10"/>
  <c r="D790" i="10"/>
  <c r="D789" i="10"/>
  <c r="D788" i="10"/>
  <c r="D787" i="10"/>
  <c r="D786" i="10"/>
  <c r="D785" i="10"/>
  <c r="D784" i="10"/>
  <c r="D783" i="10"/>
  <c r="D782" i="10"/>
  <c r="D781" i="10"/>
  <c r="D780" i="10"/>
  <c r="D779" i="10"/>
  <c r="D778" i="10"/>
  <c r="D777" i="10"/>
  <c r="D776" i="10"/>
  <c r="D775" i="10"/>
  <c r="D774" i="10"/>
  <c r="D773" i="10"/>
  <c r="D772" i="10"/>
  <c r="D771" i="10"/>
  <c r="D770" i="10"/>
  <c r="D769" i="10"/>
  <c r="E768" i="10"/>
  <c r="F768" i="10" s="1"/>
  <c r="E767" i="10"/>
  <c r="F767" i="10" s="1"/>
  <c r="D766" i="10"/>
  <c r="D765" i="10"/>
  <c r="D764" i="10"/>
  <c r="D763" i="10"/>
  <c r="D762" i="10"/>
  <c r="D761" i="10"/>
  <c r="D760" i="10"/>
  <c r="D759" i="10"/>
  <c r="D758" i="10"/>
  <c r="D757" i="10"/>
  <c r="D756" i="10"/>
  <c r="D755" i="10"/>
  <c r="D754" i="10"/>
  <c r="D753" i="10"/>
  <c r="D752" i="10"/>
  <c r="D751" i="10"/>
  <c r="E750" i="10"/>
  <c r="F750" i="10" s="1"/>
  <c r="D749" i="10"/>
  <c r="D748" i="10"/>
  <c r="D747" i="10"/>
  <c r="D746" i="10"/>
  <c r="D745" i="10"/>
  <c r="D744" i="10"/>
  <c r="D743" i="10"/>
  <c r="D742" i="10"/>
  <c r="D741" i="10"/>
  <c r="D740" i="10"/>
  <c r="D739" i="10"/>
  <c r="D738" i="10"/>
  <c r="D737" i="10"/>
  <c r="D736" i="10"/>
  <c r="D735" i="10"/>
  <c r="D734" i="10"/>
  <c r="D733" i="10"/>
  <c r="D732" i="10"/>
  <c r="D731" i="10"/>
  <c r="D730" i="10"/>
  <c r="D729" i="10"/>
  <c r="D728" i="10"/>
  <c r="D727" i="10"/>
  <c r="D726" i="10"/>
  <c r="E725" i="10"/>
  <c r="F725" i="10" s="1"/>
  <c r="D724" i="10"/>
  <c r="D723" i="10"/>
  <c r="D722" i="10"/>
  <c r="D721" i="10"/>
  <c r="D720" i="10"/>
  <c r="D719" i="10"/>
  <c r="D718" i="10"/>
  <c r="D717" i="10"/>
  <c r="D716" i="10"/>
  <c r="D715" i="10"/>
  <c r="D714" i="10"/>
  <c r="D713" i="10"/>
  <c r="D712" i="10"/>
  <c r="D711" i="10"/>
  <c r="D710" i="10"/>
  <c r="D709" i="10"/>
  <c r="D708" i="10"/>
  <c r="D707" i="10"/>
  <c r="D706" i="10"/>
  <c r="D705" i="10"/>
  <c r="D704" i="10"/>
  <c r="D703" i="10"/>
  <c r="D702" i="10"/>
  <c r="D701" i="10"/>
  <c r="E700" i="10"/>
  <c r="F700" i="10" s="1"/>
  <c r="D699" i="10"/>
  <c r="D698" i="10"/>
  <c r="D697" i="10"/>
  <c r="D696" i="10"/>
  <c r="D695" i="10"/>
  <c r="D694" i="10"/>
  <c r="D693" i="10"/>
  <c r="D692" i="10"/>
  <c r="D691" i="10"/>
  <c r="D690" i="10"/>
  <c r="D689" i="10"/>
  <c r="D688" i="10"/>
  <c r="D687" i="10"/>
  <c r="D686" i="10"/>
  <c r="D685" i="10"/>
  <c r="D684" i="10"/>
  <c r="D683" i="10"/>
  <c r="D682" i="10"/>
  <c r="D681" i="10"/>
  <c r="D680" i="10"/>
  <c r="D679" i="10"/>
  <c r="D678" i="10"/>
  <c r="D677" i="10"/>
  <c r="D676" i="10"/>
  <c r="E675" i="10"/>
  <c r="F675" i="10" s="1"/>
  <c r="D674" i="10"/>
  <c r="D673" i="10"/>
  <c r="D672" i="10"/>
  <c r="D671" i="10"/>
  <c r="D670" i="10"/>
  <c r="D669" i="10"/>
  <c r="D668" i="10"/>
  <c r="D667" i="10"/>
  <c r="D666" i="10"/>
  <c r="D665" i="10"/>
  <c r="D664" i="10"/>
  <c r="D663" i="10"/>
  <c r="D662" i="10"/>
  <c r="D661" i="10"/>
  <c r="D660" i="10"/>
  <c r="D659" i="10"/>
  <c r="D658" i="10"/>
  <c r="D657" i="10"/>
  <c r="D656" i="10"/>
  <c r="D655" i="10"/>
  <c r="D654" i="10"/>
  <c r="D653" i="10"/>
  <c r="D652" i="10"/>
  <c r="D651" i="10"/>
  <c r="E650" i="10"/>
  <c r="F650" i="10" s="1"/>
  <c r="D649" i="10"/>
  <c r="D648" i="10"/>
  <c r="D647" i="10"/>
  <c r="D646" i="10"/>
  <c r="D645" i="10"/>
  <c r="D644" i="10"/>
  <c r="D643" i="10"/>
  <c r="D642" i="10"/>
  <c r="D641" i="10"/>
  <c r="D640" i="10"/>
  <c r="D639" i="10"/>
  <c r="D638" i="10"/>
  <c r="D637" i="10"/>
  <c r="D636" i="10"/>
  <c r="D635" i="10"/>
  <c r="D634" i="10"/>
  <c r="D633" i="10"/>
  <c r="D632" i="10"/>
  <c r="D631" i="10"/>
  <c r="D630" i="10"/>
  <c r="D629" i="10"/>
  <c r="D628" i="10"/>
  <c r="D627" i="10"/>
  <c r="D626" i="10"/>
  <c r="D625" i="10"/>
  <c r="D624" i="10"/>
  <c r="D623" i="10"/>
  <c r="D622" i="10"/>
  <c r="E621" i="10"/>
  <c r="F621" i="10" s="1"/>
  <c r="E620" i="10"/>
  <c r="F620" i="10" s="1"/>
  <c r="D619" i="10"/>
  <c r="D618" i="10"/>
  <c r="D617" i="10"/>
  <c r="D616" i="10"/>
  <c r="D615" i="10"/>
  <c r="D614" i="10"/>
  <c r="D613" i="10"/>
  <c r="D612" i="10"/>
  <c r="D611" i="10"/>
  <c r="D610" i="10"/>
  <c r="D609" i="10"/>
  <c r="D608" i="10"/>
  <c r="D607" i="10"/>
  <c r="D606" i="10"/>
  <c r="D605" i="10"/>
  <c r="D604" i="10"/>
  <c r="D603" i="10"/>
  <c r="D602" i="10"/>
  <c r="D601" i="10"/>
  <c r="D600" i="10"/>
  <c r="D599" i="10"/>
  <c r="D598" i="10"/>
  <c r="D597" i="10"/>
  <c r="D596" i="10"/>
  <c r="E595" i="10"/>
  <c r="F595" i="10" s="1"/>
  <c r="E594" i="10"/>
  <c r="F594" i="10" s="1"/>
  <c r="D593" i="10"/>
  <c r="D592" i="10"/>
  <c r="D591" i="10"/>
  <c r="D590" i="10"/>
  <c r="D589" i="10"/>
  <c r="D588" i="10"/>
  <c r="D587" i="10"/>
  <c r="D586" i="10"/>
  <c r="D585" i="10"/>
  <c r="D584" i="10"/>
  <c r="D583" i="10"/>
  <c r="D582" i="10"/>
  <c r="D581" i="10"/>
  <c r="D580" i="10"/>
  <c r="D579" i="10"/>
  <c r="D578" i="10"/>
  <c r="D577" i="10"/>
  <c r="D576" i="10"/>
  <c r="D575" i="10"/>
  <c r="D574" i="10"/>
  <c r="D573" i="10"/>
  <c r="D572" i="10"/>
  <c r="D571" i="10"/>
  <c r="D570" i="10"/>
  <c r="E569" i="10"/>
  <c r="F569" i="10" s="1"/>
  <c r="D568" i="10"/>
  <c r="D567" i="10"/>
  <c r="D566" i="10"/>
  <c r="D565" i="10"/>
  <c r="D564" i="10"/>
  <c r="D563" i="10"/>
  <c r="D562" i="10"/>
  <c r="D561" i="10"/>
  <c r="D560" i="10"/>
  <c r="D559" i="10"/>
  <c r="D558" i="10"/>
  <c r="D557" i="10"/>
  <c r="D556" i="10"/>
  <c r="D555" i="10"/>
  <c r="D554" i="10"/>
  <c r="D553" i="10"/>
  <c r="D552" i="10"/>
  <c r="D551" i="10"/>
  <c r="D550" i="10"/>
  <c r="D549" i="10"/>
  <c r="D548" i="10"/>
  <c r="D547" i="10"/>
  <c r="D546" i="10"/>
  <c r="D545" i="10"/>
  <c r="E544" i="10"/>
  <c r="F544" i="10" s="1"/>
  <c r="D543" i="10"/>
  <c r="D542" i="10"/>
  <c r="D541" i="10"/>
  <c r="D540" i="10"/>
  <c r="D539" i="10"/>
  <c r="D538" i="10"/>
  <c r="D537" i="10"/>
  <c r="D536" i="10"/>
  <c r="D535" i="10"/>
  <c r="D534" i="10"/>
  <c r="D533" i="10"/>
  <c r="D532" i="10"/>
  <c r="D531" i="10"/>
  <c r="D530" i="10"/>
  <c r="D529" i="10"/>
  <c r="D528" i="10"/>
  <c r="D527" i="10"/>
  <c r="D526" i="10"/>
  <c r="D525" i="10"/>
  <c r="D524" i="10"/>
  <c r="D523" i="10"/>
  <c r="D522" i="10"/>
  <c r="D521" i="10"/>
  <c r="D520" i="10"/>
  <c r="E519" i="10"/>
  <c r="F519" i="10" s="1"/>
  <c r="D518" i="10"/>
  <c r="D517" i="10"/>
  <c r="D516" i="10"/>
  <c r="D515" i="10"/>
  <c r="D514" i="10"/>
  <c r="D513" i="10"/>
  <c r="D512" i="10"/>
  <c r="D511" i="10"/>
  <c r="D510" i="10"/>
  <c r="D509" i="10"/>
  <c r="D508" i="10"/>
  <c r="D507" i="10"/>
  <c r="D506" i="10"/>
  <c r="D505" i="10"/>
  <c r="D504" i="10"/>
  <c r="D503" i="10"/>
  <c r="D502" i="10"/>
  <c r="D501" i="10"/>
  <c r="D500" i="10"/>
  <c r="D499" i="10"/>
  <c r="D498" i="10"/>
  <c r="E497" i="10"/>
  <c r="F497" i="10" s="1"/>
  <c r="D496" i="10"/>
  <c r="D495" i="10"/>
  <c r="D494" i="10"/>
  <c r="D493" i="10"/>
  <c r="D492" i="10"/>
  <c r="D491" i="10"/>
  <c r="D490" i="10"/>
  <c r="D489" i="10"/>
  <c r="D488" i="10"/>
  <c r="D487" i="10"/>
  <c r="D486" i="10"/>
  <c r="D485" i="10"/>
  <c r="D484" i="10"/>
  <c r="D483" i="10"/>
  <c r="D482" i="10"/>
  <c r="D481" i="10"/>
  <c r="D480" i="10"/>
  <c r="D479" i="10"/>
  <c r="D478" i="10"/>
  <c r="D477" i="10"/>
  <c r="E476" i="10"/>
  <c r="F476" i="10" s="1"/>
  <c r="D475" i="10"/>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E449" i="10"/>
  <c r="F449" i="10" s="1"/>
  <c r="D448" i="10"/>
  <c r="D447" i="10"/>
  <c r="D446" i="10"/>
  <c r="D445" i="10"/>
  <c r="D444" i="10"/>
  <c r="D443" i="10"/>
  <c r="D442" i="10"/>
  <c r="D441" i="10"/>
  <c r="D440" i="10"/>
  <c r="D439" i="10"/>
  <c r="D438" i="10"/>
  <c r="D437" i="10"/>
  <c r="D436" i="10"/>
  <c r="D435" i="10"/>
  <c r="D434" i="10"/>
  <c r="D433" i="10"/>
  <c r="D432" i="10"/>
  <c r="D431" i="10"/>
  <c r="D430" i="10"/>
  <c r="E429" i="10"/>
  <c r="F429" i="10" s="1"/>
  <c r="D428" i="10"/>
  <c r="D427" i="10"/>
  <c r="D426" i="10"/>
  <c r="D425" i="10"/>
  <c r="D424" i="10"/>
  <c r="D423" i="10"/>
  <c r="D422" i="10"/>
  <c r="D421" i="10"/>
  <c r="D420" i="10"/>
  <c r="D419" i="10"/>
  <c r="D418" i="10"/>
  <c r="D417" i="10"/>
  <c r="D416" i="10"/>
  <c r="D415" i="10"/>
  <c r="D414" i="10"/>
  <c r="D413" i="10"/>
  <c r="D412" i="10"/>
  <c r="D411" i="10"/>
  <c r="D410" i="10"/>
  <c r="E409" i="10"/>
  <c r="F409" i="10" s="1"/>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E384" i="10"/>
  <c r="F384" i="10" s="1"/>
  <c r="D383" i="10"/>
  <c r="D382" i="10"/>
  <c r="D381" i="10"/>
  <c r="D380" i="10"/>
  <c r="D379" i="10"/>
  <c r="D378" i="10"/>
  <c r="D377" i="10"/>
  <c r="D376" i="10"/>
  <c r="D375" i="10"/>
  <c r="D374" i="10"/>
  <c r="D373" i="10"/>
  <c r="D372" i="10"/>
  <c r="D371" i="10"/>
  <c r="D370" i="10"/>
  <c r="D369" i="10"/>
  <c r="D368" i="10"/>
  <c r="D367" i="10"/>
  <c r="D366" i="10"/>
  <c r="E365" i="10"/>
  <c r="F365" i="10" s="1"/>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E341" i="10"/>
  <c r="F341" i="10" s="1"/>
  <c r="D340" i="10"/>
  <c r="D339" i="10"/>
  <c r="D338" i="10"/>
  <c r="D337" i="10"/>
  <c r="D336" i="10"/>
  <c r="D335" i="10"/>
  <c r="D334" i="10"/>
  <c r="D333" i="10"/>
  <c r="D332" i="10"/>
  <c r="D331" i="10"/>
  <c r="D330" i="10"/>
  <c r="D329" i="10"/>
  <c r="D328" i="10"/>
  <c r="D327" i="10"/>
  <c r="D326" i="10"/>
  <c r="D325" i="10"/>
  <c r="D324" i="10"/>
  <c r="D323" i="10"/>
  <c r="D322" i="10"/>
  <c r="D321" i="10"/>
  <c r="E320" i="10"/>
  <c r="F320" i="10" s="1"/>
  <c r="D319" i="10"/>
  <c r="D318" i="10"/>
  <c r="D317" i="10"/>
  <c r="D316" i="10"/>
  <c r="D315" i="10"/>
  <c r="D314" i="10"/>
  <c r="D313" i="10"/>
  <c r="D312" i="10"/>
  <c r="D311" i="10"/>
  <c r="D310" i="10"/>
  <c r="D309" i="10"/>
  <c r="D308" i="10"/>
  <c r="D307" i="10"/>
  <c r="D306" i="10"/>
  <c r="D305" i="10"/>
  <c r="D304" i="10"/>
  <c r="D303" i="10"/>
  <c r="D302" i="10"/>
  <c r="D301" i="10"/>
  <c r="D300" i="10"/>
  <c r="D299" i="10"/>
  <c r="D298" i="10"/>
  <c r="E297" i="10"/>
  <c r="F297" i="10" s="1"/>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E273" i="10"/>
  <c r="F273" i="10" s="1"/>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E245" i="10"/>
  <c r="F245" i="10" s="1"/>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E218" i="10"/>
  <c r="F218" i="10" s="1"/>
  <c r="D217" i="10"/>
  <c r="D216" i="10"/>
  <c r="D215" i="10"/>
  <c r="D214" i="10"/>
  <c r="D213" i="10"/>
  <c r="D212" i="10"/>
  <c r="D211" i="10"/>
  <c r="D210" i="10"/>
  <c r="D209" i="10"/>
  <c r="D208" i="10"/>
  <c r="D207" i="10"/>
  <c r="D206" i="10"/>
  <c r="D205" i="10"/>
  <c r="D204" i="10"/>
  <c r="D203" i="10"/>
  <c r="D202" i="10"/>
  <c r="D201" i="10"/>
  <c r="D200" i="10"/>
  <c r="E199" i="10"/>
  <c r="F199" i="10" s="1"/>
  <c r="D198" i="10"/>
  <c r="E197" i="10"/>
  <c r="F197" i="10" s="1"/>
  <c r="D196" i="10"/>
  <c r="D195" i="10"/>
  <c r="D194" i="10"/>
  <c r="D193" i="10"/>
  <c r="D192" i="10"/>
  <c r="D191" i="10"/>
  <c r="D190" i="10"/>
  <c r="D189" i="10"/>
  <c r="D188" i="10"/>
  <c r="D187" i="10"/>
  <c r="D186" i="10"/>
  <c r="D185" i="10"/>
  <c r="D184" i="10"/>
  <c r="D183" i="10"/>
  <c r="D182" i="10"/>
  <c r="D181" i="10"/>
  <c r="D180" i="10"/>
  <c r="D179" i="10"/>
  <c r="D178" i="10"/>
  <c r="D177" i="10"/>
  <c r="D176" i="10"/>
  <c r="D175" i="10"/>
  <c r="E174" i="10"/>
  <c r="F174" i="10" s="1"/>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E149" i="10"/>
  <c r="F149" i="10" s="1"/>
  <c r="E148" i="10"/>
  <c r="F148" i="10" s="1"/>
  <c r="D147" i="10"/>
  <c r="D146" i="10"/>
  <c r="D145" i="10"/>
  <c r="D144" i="10"/>
  <c r="D143" i="10"/>
  <c r="D142" i="10"/>
  <c r="D141" i="10"/>
  <c r="D140" i="10"/>
  <c r="D139" i="10"/>
  <c r="D138" i="10"/>
  <c r="D137" i="10"/>
  <c r="D136" i="10"/>
  <c r="D135" i="10"/>
  <c r="D134" i="10"/>
  <c r="D133" i="10"/>
  <c r="D132" i="10"/>
  <c r="D131" i="10"/>
  <c r="D130" i="10"/>
  <c r="D129" i="10"/>
  <c r="D128" i="10"/>
  <c r="D127" i="10"/>
  <c r="E126" i="10"/>
  <c r="F126" i="10" s="1"/>
  <c r="D125" i="10"/>
  <c r="D124" i="10"/>
  <c r="D123" i="10"/>
  <c r="D122" i="10"/>
  <c r="D121" i="10"/>
  <c r="D120" i="10"/>
  <c r="D119" i="10"/>
  <c r="D118" i="10"/>
  <c r="D117" i="10"/>
  <c r="D116" i="10"/>
  <c r="D115" i="10"/>
  <c r="D114" i="10"/>
  <c r="D113" i="10"/>
  <c r="D112" i="10"/>
  <c r="D111" i="10"/>
  <c r="D110" i="10"/>
  <c r="D109" i="10"/>
  <c r="D108" i="10"/>
  <c r="D107" i="10"/>
  <c r="D106" i="10"/>
  <c r="D105" i="10"/>
  <c r="E104" i="10"/>
  <c r="F104" i="10" s="1"/>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E69" i="10"/>
  <c r="F69" i="10" s="1"/>
  <c r="D68" i="10"/>
  <c r="D67" i="10"/>
  <c r="D66" i="10"/>
  <c r="D65" i="10"/>
  <c r="D64" i="10"/>
  <c r="D63" i="10"/>
  <c r="D62" i="10"/>
  <c r="D61" i="10"/>
  <c r="D60" i="10"/>
  <c r="D59" i="10"/>
  <c r="D58" i="10"/>
  <c r="D57" i="10"/>
  <c r="D56" i="10"/>
  <c r="D55" i="10"/>
  <c r="D54" i="10"/>
  <c r="E53" i="10"/>
  <c r="F53" i="10" s="1"/>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E17" i="10"/>
  <c r="F17" i="10" s="1"/>
  <c r="D16" i="10"/>
  <c r="D15" i="10"/>
  <c r="D14" i="10"/>
  <c r="D13" i="10"/>
  <c r="D12" i="10"/>
  <c r="D11" i="10"/>
  <c r="D10" i="10"/>
  <c r="D9" i="10"/>
  <c r="D8" i="10"/>
  <c r="D7" i="10"/>
  <c r="D6" i="10"/>
  <c r="D5" i="10"/>
  <c r="D4" i="10"/>
  <c r="E3" i="10"/>
  <c r="F3" i="10" s="1"/>
  <c r="E2" i="10"/>
  <c r="F2" i="10" s="1"/>
  <c r="F56" i="6" l="1"/>
  <c r="F55" i="6"/>
  <c r="F54" i="6"/>
  <c r="F53" i="6"/>
  <c r="F52" i="6"/>
  <c r="F51" i="6"/>
  <c r="F39" i="6"/>
  <c r="F48" i="6"/>
  <c r="F47" i="6"/>
  <c r="F46" i="6"/>
  <c r="F45" i="6"/>
  <c r="F44" i="6"/>
  <c r="F43" i="6"/>
  <c r="F42" i="6"/>
  <c r="F41" i="6"/>
  <c r="F38" i="6"/>
  <c r="F37" i="6"/>
  <c r="F36" i="6"/>
  <c r="F35" i="6"/>
  <c r="F34" i="6"/>
  <c r="F31" i="6"/>
  <c r="F29" i="6"/>
  <c r="F28" i="6"/>
  <c r="F27" i="6"/>
  <c r="F26" i="6"/>
  <c r="F25" i="6"/>
  <c r="F24" i="6"/>
  <c r="F23" i="6"/>
  <c r="F22" i="6"/>
  <c r="F21" i="6"/>
  <c r="F20" i="6"/>
  <c r="F19" i="6"/>
  <c r="F18" i="6"/>
  <c r="F17" i="6"/>
  <c r="F16" i="6"/>
  <c r="F15" i="6"/>
  <c r="F14" i="6"/>
  <c r="F13" i="6"/>
  <c r="F12" i="6"/>
  <c r="F11" i="6"/>
  <c r="F10" i="6"/>
  <c r="F8" i="6"/>
  <c r="F5" i="6"/>
  <c r="F33" i="6"/>
  <c r="F7" i="6"/>
  <c r="F6" i="6"/>
  <c r="F4" i="6"/>
  <c r="F3" i="6"/>
</calcChain>
</file>

<file path=xl/sharedStrings.xml><?xml version="1.0" encoding="utf-8"?>
<sst xmlns="http://schemas.openxmlformats.org/spreadsheetml/2006/main" count="13232" uniqueCount="2539">
  <si>
    <t>n. n.</t>
  </si>
  <si>
    <t>Verantwortliche Führungskraft:</t>
  </si>
  <si>
    <t>001</t>
  </si>
  <si>
    <t>-</t>
  </si>
  <si>
    <t>Kap</t>
  </si>
  <si>
    <t>Sub</t>
  </si>
  <si>
    <t>lfd. Nr</t>
  </si>
  <si>
    <t>Gefährdungsfaktoren</t>
  </si>
  <si>
    <t>wirksam am</t>
  </si>
  <si>
    <t>1</t>
  </si>
  <si>
    <t>1.1</t>
  </si>
  <si>
    <t>prüfen</t>
  </si>
  <si>
    <t>1.2</t>
  </si>
  <si>
    <t>1.3</t>
  </si>
  <si>
    <t>1.4</t>
  </si>
  <si>
    <t>1.5</t>
  </si>
  <si>
    <t>1.6</t>
  </si>
  <si>
    <t>2</t>
  </si>
  <si>
    <t>2.1</t>
  </si>
  <si>
    <t>2.2</t>
  </si>
  <si>
    <t>2.3</t>
  </si>
  <si>
    <t>2.4</t>
  </si>
  <si>
    <t>2.5</t>
  </si>
  <si>
    <t>2.6</t>
  </si>
  <si>
    <t>3</t>
  </si>
  <si>
    <t>3.1</t>
  </si>
  <si>
    <t>4</t>
  </si>
  <si>
    <t>4.1</t>
  </si>
  <si>
    <t>4.2</t>
  </si>
  <si>
    <t>4.3</t>
  </si>
  <si>
    <t>4.4</t>
  </si>
  <si>
    <t>4.5</t>
  </si>
  <si>
    <t>5.1</t>
  </si>
  <si>
    <t>5.2</t>
  </si>
  <si>
    <t>5.3</t>
  </si>
  <si>
    <t>5.4</t>
  </si>
  <si>
    <t>5.5</t>
  </si>
  <si>
    <t>5.6</t>
  </si>
  <si>
    <t>6</t>
  </si>
  <si>
    <t>7</t>
  </si>
  <si>
    <t>8</t>
  </si>
  <si>
    <t>5</t>
  </si>
  <si>
    <t>7.1</t>
  </si>
  <si>
    <t>7.2</t>
  </si>
  <si>
    <t>7.3</t>
  </si>
  <si>
    <t>7.4</t>
  </si>
  <si>
    <t>7.5</t>
  </si>
  <si>
    <t>7.6</t>
  </si>
  <si>
    <t>Schutzleitfaden-100</t>
  </si>
  <si>
    <t>Schutzleitfaden-102</t>
  </si>
  <si>
    <t>Schutzleitfaden-110</t>
  </si>
  <si>
    <t>Schutzleitfaden-120</t>
  </si>
  <si>
    <t>Schutzleitfaden-130</t>
  </si>
  <si>
    <t>Schutzleitfaden-200</t>
  </si>
  <si>
    <t>Schutzleitfaden-201</t>
  </si>
  <si>
    <t>Schutzleitfaden-203</t>
  </si>
  <si>
    <t>Schutzleitfaden-204</t>
  </si>
  <si>
    <t>Schutzleitfaden-205</t>
  </si>
  <si>
    <t>2.7</t>
  </si>
  <si>
    <t>2.8</t>
  </si>
  <si>
    <t>2.9</t>
  </si>
  <si>
    <t>2.10</t>
  </si>
  <si>
    <t>2.11</t>
  </si>
  <si>
    <t>2.12</t>
  </si>
  <si>
    <t>2.13</t>
  </si>
  <si>
    <t>2.14</t>
  </si>
  <si>
    <t>2.15</t>
  </si>
  <si>
    <t>2.16</t>
  </si>
  <si>
    <t>2.17</t>
  </si>
  <si>
    <t>2.18</t>
  </si>
  <si>
    <t>Schutzleitfaden-206</t>
  </si>
  <si>
    <t>Schutzleitfaden-208</t>
  </si>
  <si>
    <t>Schutzleitfaden-210</t>
  </si>
  <si>
    <t>Schutzleitfaden-211</t>
  </si>
  <si>
    <t>Schutzleitfaden-212</t>
  </si>
  <si>
    <t>Schutzleitfaden-213</t>
  </si>
  <si>
    <t>Schutzleitfaden-214</t>
  </si>
  <si>
    <t>Schutzleitfaden-215</t>
  </si>
  <si>
    <t>Schutzleitfaden-217</t>
  </si>
  <si>
    <t>Schutzleitfaden-222</t>
  </si>
  <si>
    <t>Schutzleitfaden-223</t>
  </si>
  <si>
    <t>Schutzleitfaden-228</t>
  </si>
  <si>
    <t>Schutzleitfaden-230</t>
  </si>
  <si>
    <t>Schutzleitfaden-240</t>
  </si>
  <si>
    <t>Schutzleitfaden-250</t>
  </si>
  <si>
    <t>Schutzleitfaden-260</t>
  </si>
  <si>
    <t>Schutzleitfaden-300</t>
  </si>
  <si>
    <t>Schutzleitfaden-301</t>
  </si>
  <si>
    <t>Schutzleitfaden-305</t>
  </si>
  <si>
    <t>Schutzleitfaden-306</t>
  </si>
  <si>
    <t>Schutzleitfaden-307</t>
  </si>
  <si>
    <t>Schutzleitfaden-308</t>
  </si>
  <si>
    <t>Schutzleitfaden-310</t>
  </si>
  <si>
    <t>Schutzleitfaden-312</t>
  </si>
  <si>
    <t>Schutzleitfaden-LA101</t>
  </si>
  <si>
    <t>Schutzleitfaden-PC170</t>
  </si>
  <si>
    <t>Schutzleitfaden-PC270</t>
  </si>
  <si>
    <t>Schutzleitfaden-PC271</t>
  </si>
  <si>
    <t>Schutzleitfaden-PC280</t>
  </si>
  <si>
    <t>Schutzleitfaden-PC281</t>
  </si>
  <si>
    <t>Schutzleitfaden-PC282</t>
  </si>
  <si>
    <t>Schutzleitfaden-PC370</t>
  </si>
  <si>
    <t>5.7</t>
  </si>
  <si>
    <t>5.8</t>
  </si>
  <si>
    <t>Spezifische Schutzleitfäden</t>
  </si>
  <si>
    <t>Freie Lüftung</t>
  </si>
  <si>
    <t>Maßnahmenstufe 1</t>
  </si>
  <si>
    <t>Mindeststandards</t>
  </si>
  <si>
    <t>2.19</t>
  </si>
  <si>
    <t>2.20</t>
  </si>
  <si>
    <t>Maßnahmenstufe 2</t>
  </si>
  <si>
    <t>Schutzleitfaden für Hautkontakt</t>
  </si>
  <si>
    <t>Schutzleitfäden für Brand und Explosion</t>
  </si>
  <si>
    <t>Maßnahmenstufe 2a</t>
  </si>
  <si>
    <t xml:space="preserve">Maßnahmenstufe 2b </t>
  </si>
  <si>
    <t>Maßnahmenstufe 3a</t>
  </si>
  <si>
    <t>Maßnahmenstufe 3b</t>
  </si>
  <si>
    <t>Bereitstellen und Lagern</t>
  </si>
  <si>
    <t xml:space="preserve">Ein muss ausreichendes Maß an gesundheitlich zuträglicher Atemluft sichergestellt sein (z. B. durch Fenster, Türen, Schacht-, Dachaufsätze, Kaminlüftung, Kuppeln und sonstige Lüftungsöffnungen, ggf. unterstützt durch Ventilatoren).
</t>
  </si>
  <si>
    <t xml:space="preserve">Die zugeführte Frischluft darf nicht aus verunreinigter Quelle stammen.
</t>
  </si>
  <si>
    <t>Mangel an gesundheitlich zuträglicher Atemluft</t>
  </si>
  <si>
    <t>Atemluft aus verunreinigten Quellen</t>
  </si>
  <si>
    <t>Organisations-und Hygienemaßnahmen "Einatmen"</t>
  </si>
  <si>
    <t>Organisations-und Hygienemaßnahmen "Haut"</t>
  </si>
  <si>
    <t>Brandschutzmaßnahmen</t>
  </si>
  <si>
    <t>Lagerung von Schüttgütern</t>
  </si>
  <si>
    <t>Drucken, Kopieren</t>
  </si>
  <si>
    <t>Örtliche Absaugung (Punktabsaugung)</t>
  </si>
  <si>
    <t>Abzugsschränke</t>
  </si>
  <si>
    <t>Absaugschrank</t>
  </si>
  <si>
    <t>Staubentnahme aus Abscheidesystem</t>
  </si>
  <si>
    <t>Transport über Förderband</t>
  </si>
  <si>
    <t>Befüllen von Säcken</t>
  </si>
  <si>
    <t>Entleeren von Säcken</t>
  </si>
  <si>
    <t>Beschicken von Kesseln aus Säcken oder Kleingebinden</t>
  </si>
  <si>
    <t>Befüllung und Entleerung von Containern (IBC)</t>
  </si>
  <si>
    <t>Befüllen von Fässern</t>
  </si>
  <si>
    <t>Entleeren von Fässern mittels Fasspumpe</t>
  </si>
  <si>
    <t>Wiegen von Feststoffen</t>
  </si>
  <si>
    <t>Mischen von Feststoffen mit anderen Feststoffen oder Flüssigkeiten</t>
  </si>
  <si>
    <t>Mischen von Flüssigkeiten mit anderen Flüssigkeiten oder Feststoffen in Fässern o. ä.</t>
  </si>
  <si>
    <t>Pulverbeschichtung</t>
  </si>
  <si>
    <t>Laminieren (Batch)</t>
  </si>
  <si>
    <t>Herstellen von Pellets</t>
  </si>
  <si>
    <t>Staubarbeitsplätze (Grundsätze)</t>
  </si>
  <si>
    <t>Trockenschrank (Horden- oder Tellertrockner)</t>
  </si>
  <si>
    <t>Wartungs- und Servicearbeiten an Drucker- und Kopiergeräten</t>
  </si>
  <si>
    <t>Erweiterter Maßnahmenbedarf „Haut“</t>
  </si>
  <si>
    <t>Grundanforderungen bei erhöhter Brandgefährdung</t>
  </si>
  <si>
    <t>Lackierarbeiten, Spritz- und Beschichtungsverfahren</t>
  </si>
  <si>
    <t>Grundlegende Explosionsschutzmaßnahmen</t>
  </si>
  <si>
    <t>Brennbare Flüssigkeiten umfüllen und abfüllen</t>
  </si>
  <si>
    <t>Geschlossenes System</t>
  </si>
  <si>
    <t>Handschuhkasten (glove box)</t>
  </si>
  <si>
    <t>Fassbefüllung</t>
  </si>
  <si>
    <t>Fassentleerung</t>
  </si>
  <si>
    <t>Befüllung und Entleerung von IBC-Containern (Feststoffe)</t>
  </si>
  <si>
    <t>Befüllung und Entleerung von IBC-Containern (Flüssigkeiten)</t>
  </si>
  <si>
    <t>Befüllen und Entleeren von Tankfahrzeugen</t>
  </si>
  <si>
    <t>Umpumpen von Flüssigkeiten</t>
  </si>
  <si>
    <t>Hohe Brandschutzmaßnahmen - Grundanforderungen</t>
  </si>
  <si>
    <t>Lüftungsgitter und -öffnungen dürfen nicht zugestellt werden.</t>
  </si>
  <si>
    <t>Bei eingeschränkten Lüftungsverhältnissen muss die Notwendigkeit einer RLT-Anlage geprüft werden. Eingeschränkte Lüftungsverhältnisse haben z.B. tiefe Gruben, enge Räume oder Räume mit hohen Stellwänden, Schränke oder Regale sowie Räume ohne ausreichende Lüftungsmöglichkeit.</t>
  </si>
  <si>
    <t>Dauer und Intensität des Luftaustausches sollte so gestaltet werden, dass Zugluft vermieden wird.</t>
  </si>
  <si>
    <t>Durch eine kontinuierliche Lüftung oder regelmäßige Stoßlüftung muss sichergestellt werden, dass genügend gesundheitlich zuträgliche Atemluft zur Verfügung steht.</t>
  </si>
  <si>
    <t>Bei flächigem Auftrag von Lösemitteln (z.B. beim Verstreichen von Lacken, Klebstoffen etc.) müssen  Fenster/Türen geöffnet sein.</t>
  </si>
  <si>
    <t>Zugestellte Lüftungsgitter und -öffnungen</t>
  </si>
  <si>
    <t>Eingeschränkte Lüftungsverhältnissen</t>
  </si>
  <si>
    <t>Zugluft</t>
  </si>
  <si>
    <t>Gebrauch von lösungsmittelhaltigen Stoffen</t>
  </si>
  <si>
    <t>Lüftungsgitter und -öffnungen müssen regelmäßig auf Schäden und Funktionsfähigkeit geprüft werden.</t>
  </si>
  <si>
    <t>Ablagerungen und Verunreinigungen an Lüftungsgittern und -öffnungen müssen sofort beseitigt werden.</t>
  </si>
  <si>
    <t>Bei Beschwerden der Beschäftigten über geruchsbelästigende Gefahrstoffe sollen ggf. weitergehende Maßnahmen festgelegt werden.</t>
  </si>
  <si>
    <t>Schadhafte, nicht funktionierende Lüftungsgitter und -öffnungen</t>
  </si>
  <si>
    <t>Schmutz und Verunreinigungen an Lüftungsgitter und -öffnungen</t>
  </si>
  <si>
    <t>Geruchsbelästigende Gefahrstoffe</t>
  </si>
  <si>
    <t>Die Anforderungen der ASR A1.6 -Fenster, Oberlichter, lichtdurchlässige Wände - müssen beim Einrichten und Betreiben der Arbeitsstätte beachtet werden.</t>
  </si>
  <si>
    <t>Nichteinhalten der ASR A1.6 Anforderungen</t>
  </si>
  <si>
    <t>Zugang des Arbeitsbereiches nur für Befugte.</t>
  </si>
  <si>
    <t>Lagerhallenöffnungen möglichst nicht zur Hauptwindrichtung.</t>
  </si>
  <si>
    <t>Klare Lagerflächenkennzeichnung.</t>
  </si>
  <si>
    <t>Abzugseinrichtung so nah wie möglich an die Staubquelle platzieren.</t>
  </si>
  <si>
    <t>Bereitstellung von Abtrennungen zur Verringerung von Staubausbreitung in der gesamten Halle.</t>
  </si>
  <si>
    <t>Klare Trennung von unterschiedlichen Halden.</t>
  </si>
  <si>
    <t>Leicht brennbare Materialien, wie leere Verpackungen, in einem separaten Raum lagern.</t>
  </si>
  <si>
    <t>Einrichtungen und Ausrüstungen entsprechend den Herstellerangaben instand halten und warten.</t>
  </si>
  <si>
    <t>Durchführung einer Sichtkontrolle der Lüftungsanlage auf Anzeichen von Beschädigungen einmal im Monat.</t>
  </si>
  <si>
    <t>Überprüfung der Lüftungsanlage und Vergleich mit ihren Leistungsstandards mindestens jährlich.</t>
  </si>
  <si>
    <t>System zur Prüfung der Aufstellung und Einhaltung von Schutzmaßnahmen einrichten.</t>
  </si>
  <si>
    <t>Die allgemeinen Maßnahmen der Anwendungshinweise beachten.</t>
  </si>
  <si>
    <t>Abfälle sofort entsorgen, dabei Sicherheitsdatenblatt beachten.</t>
  </si>
  <si>
    <t>Nicht mit Besen oder Druckluft reinigen. Industriestaubsauger verwenden oder feucht aufwischen.</t>
  </si>
  <si>
    <t>Unbefugte Personen im Arbeitsbereich</t>
  </si>
  <si>
    <t>Lagerhallenöffnung zur Hauptwindrichtung</t>
  </si>
  <si>
    <t>Staubentwicklung aufgrund fehlerhafter Platzierung der Abzugseinrichtung</t>
  </si>
  <si>
    <t>Staubentwicklung im gesamten Bereich aufgrund fehlender Raumabtrennungen</t>
  </si>
  <si>
    <t>Keine Trennung von unterschiedlichen Halden</t>
  </si>
  <si>
    <t>Lagerung von brennbaren Materialien in der Halle</t>
  </si>
  <si>
    <t>Mangelhafte Wartung und Instandhaltung der Einrichtungen und Ausrüstungen</t>
  </si>
  <si>
    <t xml:space="preserve">Fehlende monatliche Sichtkontrolle der Lüftungsanlage </t>
  </si>
  <si>
    <t>Fehlende jährliche Überprüfung der Lüftungsanlage</t>
  </si>
  <si>
    <t>Fehlendes System zur Aufstellung und Einrichtung von Schutzmaßnahmen</t>
  </si>
  <si>
    <t>Nichtbeachten der Anwendungshinweise</t>
  </si>
  <si>
    <t>Arbeitsausrüstung und Bereiche außerhalb der markierten Lagerbereiche täglich reinigen. Andere Arbeitsgeräte regelmäßig reinigen, einmal in der Woche ist empfehlenswert.</t>
  </si>
  <si>
    <t>Verschmutzte Arbeitsausrüstung und Bereiche</t>
  </si>
  <si>
    <t>Abfälle</t>
  </si>
  <si>
    <t>Staubentwicklung beim Reinigen</t>
  </si>
  <si>
    <t>Regale müssen entsprechend der Montageanleitung aufgebaut werden.</t>
  </si>
  <si>
    <t>Freistehende Lagereinrichtungen und Behälter (z.B. Regale, IBC-Container) müssen  durch einen Anfahrschutz vor Leckagen geschützt.</t>
  </si>
  <si>
    <t>Regale müssen auf einen ebenen Untergrund mit ausreichender Festigkeit gestellt werden.</t>
  </si>
  <si>
    <t>Im Leckagefall  müssen Flüssigkeiten und Flüssiggase in
chemikalienbeständige Auffangwannen oder Auffangräume aufgefangen werden. Keinesfalls in Abflüsse, Gruben, Kanäle und Kellerräume.</t>
  </si>
  <si>
    <t>Die Kapazität von Auffangeinrichtungen muss mindestens 10% der Gesamtmenge bzw. des Fassungsvermögens des größten Behälters betragen.</t>
  </si>
  <si>
    <t>Fußböden und Auffangwannen müssen für das Lagergut geeignet sein , z.B. elektrostatisch ableitfähig bei entzündbaren Flüssigkeiten.</t>
  </si>
  <si>
    <t>Gefahrstoffe müssen abhängig  von der Stoffeigenschaft und Mengen in einem Lager gelagert werden. Gefahrstofflager sind z.B. Lagerraum, Sicherheitsschrank oder Container.</t>
  </si>
  <si>
    <t>Entzündbare Flüssigkeiten sollen, wenn möglich, in nicht zerbrechlichen Behältern gelagert werden. Außerhalb des Lagers dürfen entzündbare Flüssigkeiten in nicht zerbrechlichen Behältern bis maximal 10 l Fassungsvermögen je Behälter gelagert werden.
In zerbrechlichen Behältern bis 2,5 l Fassungsvermögen je Behälter.</t>
  </si>
  <si>
    <t>Auffangeinrichtungen müssen regelmäßig entleert werden und dürfen nicht zu einer zusätzlichen Belastung der Atemluft führen.</t>
  </si>
  <si>
    <t>Behälter und Verpackungen dürfen nur in Höhen gelagert werden, in denen eine sichere Entnahme möglich ist. Hebe-und Transporthilfen müssen vorhanden sein.</t>
  </si>
  <si>
    <t>Behälter und Verpackungen müssen gerade stehen und  gegen Heraus-oder Umfallen gesichert sein.</t>
  </si>
  <si>
    <t>Das Ladegut auf einer Palette muss durch das Stapeln im Verband, Sichern durch Zwischenlagen, Umreifen oder Stretchen gesichert sein.</t>
  </si>
  <si>
    <t>Gefahrstoffe dürfen nicht in Treppenräumen, Fluren, Flucht-und Rettungswegen gelagert werden.</t>
  </si>
  <si>
    <t>Gefahrstoffe dürfen nicht in Pausen-, Bereitschafts- und Sanitärräumen aufbewahrt oder gelagert werden.</t>
  </si>
  <si>
    <t>Gefahrstoffe dürfen nicht in Heizungsräumen gelagert werden.</t>
  </si>
  <si>
    <t>Bei allen Tätigkeiten muss auf Standsicherheit der Gebinde geachtet werden (umkippen vermeiden).</t>
  </si>
  <si>
    <t>Druckgaskartuschen und Aerosolpackungen dürfen  nicht in Schaufenstern ausgelegt werden.</t>
  </si>
  <si>
    <t>Wirksame Zündquellen müssen in unmittelbarer Nähe von entzündbaren Gefahrstoffen vermieden werden.</t>
  </si>
  <si>
    <t>Giftige, sehr giftige sowie krebserzeugende, erbgutverändernde und fortpflanzugsgefährdende Gefahrstoffe der Kategorien 1 und 2 oder Gefahrstoffe, die mit dem Sicherheitshinweis P405 gekennzeichnet sind, müssen unter Verschluss aufbewahrt werden. Zugang nur für fachkundige und zuverlässige Personen.</t>
  </si>
  <si>
    <t>Zugang zu Stoffen, die dem Betäubungsmittelgesetz unterliegen, darf nur die verantwortliche Person haben.</t>
  </si>
  <si>
    <t>Stapelfahrer müssen im Transport von Gefahrstoffen unterwiesen sein und über Fahrpraxis verfügen.</t>
  </si>
  <si>
    <t xml:space="preserve">Lagerarbeiter müssen in Verhaltensmaßnahmen z.B.Durchgänge und Zugänge frei halten,  eingewiesen sein. </t>
  </si>
  <si>
    <t>Rauchen ist im Lager grundsätzlich verboten</t>
  </si>
  <si>
    <t>Die Schutzleitfäden 100, 110, pc-170 müssen zusätzlich beachtet werden.</t>
  </si>
  <si>
    <t>Brand- und Explosionsschutzmaßnahmen müssen zusätzlich beachtet werden.</t>
  </si>
  <si>
    <t>Lagereinrichtungen müssen statisch belastbar und standsicher sein.</t>
  </si>
  <si>
    <t>Einrichtung und Ausstattung des Lagers soll so gestaltet sein, dass eine übersichtliche Lagerung der Gefahrstoffe möglich ist.</t>
  </si>
  <si>
    <t>Unübersichtliche Lagerung</t>
  </si>
  <si>
    <t>Fehlerhafte Montage der Regale</t>
  </si>
  <si>
    <t>Unzureichende Belastbarkeit und Standsicherheit</t>
  </si>
  <si>
    <t>Fehlende Standsicherheit von Regalen aufgrund  des Untergrundes</t>
  </si>
  <si>
    <t>Fehlende/mangelhafte Auffangbehälter im Fall von Leckagen</t>
  </si>
  <si>
    <t>Nicht ausreichende Kapazitäten von Auffangeinrichtungen</t>
  </si>
  <si>
    <t>Unzulässige Lagerung von Gefahrstoffen</t>
  </si>
  <si>
    <t>Unzulässige Menge an Gefahrstoffen am Arbeitsplatz</t>
  </si>
  <si>
    <t>Gefahr durch Lagerung entzündlicher Flüssigkeiten in zerbrechlichen Behältern.</t>
  </si>
  <si>
    <t>Belastung der Atemluft durch nicht regelmäßig entleerte Auffangeinrichtungen.</t>
  </si>
  <si>
    <t>Die zulässige Beladung von z.B. Regalen und Paletten muss beachtet werden.</t>
  </si>
  <si>
    <t>Überschreitung der zulässigen Beladung von Regalen und Paletten</t>
  </si>
  <si>
    <t>Gefahr durch zu hohe Lagerung von Behältern und Verpackungen</t>
  </si>
  <si>
    <t>Mangelhafte Stapelung von Ladegut</t>
  </si>
  <si>
    <t>Lagerung von Gefahrstoffen in Treppenräumen, Fluren, auf  Flucht-und Rettungswegen.</t>
  </si>
  <si>
    <t>Heraus- oder Umfallen von Behältern und Verpackungen.</t>
  </si>
  <si>
    <t>Lagerung von Gefahrstoffen in Pausen-, Bereitschafts- und Sanitärräumen.</t>
  </si>
  <si>
    <t>Lagerung von Gefahrstoffen in  Heizungsräumen.</t>
  </si>
  <si>
    <t>Fehlende Standsicherung von Behältern und Verpackungen bei allen Tätigkeiten.</t>
  </si>
  <si>
    <t>Druckgaskartuschen und Aerosolpackungen (Spraydosen) dürfen nicht der Sonnenbestrahlung oder anderen Wärmequellen ausgesetzt werden.</t>
  </si>
  <si>
    <t xml:space="preserve">Aussetzung der Druckgaskartuschen und Aerosolpackungen (Spraydosen) von Sonnenbestrahlung oder anderen Wärmequellen </t>
  </si>
  <si>
    <t>Kontakt von entzündbaren Gefahrstoffen mit wirksamen Zündquellen</t>
  </si>
  <si>
    <t>Unzulässige Aufbewahrung und Umgang mit giftigen, sehr giftigen sowie krebserzeugenden, erbgutverändernden und fortpflanzugsgefährdenden Gefahrstoffe der Kategorien 1 und 2 oder Gefahrstoffe, die mit dem Sicherheitshinweis P405.</t>
  </si>
  <si>
    <t>Zugang für unzulässige Personen zu Stoffen, die dem Betäubungsmittelgesetz unterliegen</t>
  </si>
  <si>
    <t>Fehlende Unterweisung und Qualifikation von Staplerfahrern</t>
  </si>
  <si>
    <t>Lagerarbeiter müssen in das Lagerkonzept, die sachgerechte Lagerung und Regeln der Zusammenlagerung eingewiesen sein.</t>
  </si>
  <si>
    <t>Fehlende Unterweisung in sachgerechter Lagerung von Lagerarbeitern.</t>
  </si>
  <si>
    <t>Fehlende Unterweisung in Verhaltensmaßnahmen im Lagerbereich  von Lagerarbeitern.</t>
  </si>
  <si>
    <t>Fehlende oder mangelhafte Überprüfung von Flachpaletten und Boxpaletten.</t>
  </si>
  <si>
    <t>Fehlende oder mangelhafte wöchentliche Überprüfung der Lagerbereiche.</t>
  </si>
  <si>
    <t xml:space="preserve">Flachpaletten und Boxpaletten müssen regelmäßig auf Mängel überprüft werden. </t>
  </si>
  <si>
    <t>Beschädigte, verschimmelte oder chemisch
verunreinigte Paletten müssen ausgetauscht werden.</t>
  </si>
  <si>
    <t>Gefahr durch beschädigte, verschimmelte oder chemisch verunreinigte Paletten.</t>
  </si>
  <si>
    <t>Fehlende jährliche Überprüfung der Regale.</t>
  </si>
  <si>
    <t>Gefahr durch Rauchen im Lager</t>
  </si>
  <si>
    <t>Nichtbeachtung der Schutzleitfäden 100, 110, pc170</t>
  </si>
  <si>
    <t>Nichtbeachtung der Brand- und Explosionsschutzmaßnahmen</t>
  </si>
  <si>
    <t>In Tätigkeitsbereichen mit Gefahrstoffen besteht grundsätzlich Rauch-und Feuerverbot.</t>
  </si>
  <si>
    <t>Belastungen durch benachbarte Verfahren oder Arbeitsmethoden sollen, wenn möglich, verhindert werden.</t>
  </si>
  <si>
    <t>Belastungen durch benachbarte Verfahren oder Arbeitsmethoden</t>
  </si>
  <si>
    <t>Es muss eine Waschgelegenheit für die Reinigung der Augen und der Haut vorhanden sein.</t>
  </si>
  <si>
    <t>Fehlende Waschgelegenheit für die Reinigung der Augen und der Haut.</t>
  </si>
  <si>
    <t>Schonende Hautreinigungsmittel und Einmalhandtücher müssen verfügbar sein.</t>
  </si>
  <si>
    <t>Fehlende Hautreinigungsmittel und Einmalhandtücher</t>
  </si>
  <si>
    <t>Pausenbereiche oder Pausenräume müssen vorhanden sein.</t>
  </si>
  <si>
    <t>Fehlende Pausenbereiche oder Pausenräume</t>
  </si>
  <si>
    <t>Fußböden, Wände, Decken, Maschinen und technische Einrichtungen müssen leicht zu reinigen sein.</t>
  </si>
  <si>
    <t>Erschwerte Reinigungsbedingungen von Fußböden, Wänden, Decken, Maschinen und technische Einrichtungen</t>
  </si>
  <si>
    <t>Stoffe und Produkte, die im Betrieb verwendet werden, müssen bekannt sein. Außerdem muss bekannt sein, welche davon Gefahrstoffe sind.</t>
  </si>
  <si>
    <t>Unkenntnis über Stoffe, Produkte und Gefahrstoffe.</t>
  </si>
  <si>
    <t>Alle Gebinde und Verpackungen, die keine Herstellerkennzeichnung tragen, müssen nach TRGS 201 gekennzeichnet sein. Das Gleiche gilt für Abfallbehälter und Rohrleitungen.</t>
  </si>
  <si>
    <t>Regale müssen regelmäßig, mindestens jährlich auf:
- Schäden an Teilen der Konstruktion
- Schäden durch Stöße oder Überlastung der Träger
- Risse in Schweißnähten oder Grundmaterial
- Zustand und Wirksamkeit der Sicherungen
- Zulässiger Beladung
überprüft werden. Das Ergebnis der Überprüfung wird dokumentiert.</t>
  </si>
  <si>
    <t>Lagerbereiche müssen  mindestens einmal in der Woche auf Anzeichen von Undichtigkeiten oder Beschädigungen überprüft werden (z.B. tropfende Absperrhähne oder korrodierte Behälter, undichte Auffangwannen).</t>
  </si>
  <si>
    <t>Fehlende Kennzeichnung von Gebinden, Verpackungen, Abfallbehältern und Rohrleitungen.</t>
  </si>
  <si>
    <t>Sicherheitsdatenblätter müssen vorliegen und für die Beschäftigten zugänglich sein.</t>
  </si>
  <si>
    <t>Fehlende Sicherheitsdatenblätter</t>
  </si>
  <si>
    <t>Es muss sichergestellt sein, dass Änderungen von Gesetzen, Verordnungen, Technischen Regeln, Arbeitsplatzgrenzwerten und Einstufungen zeitnah bemerkt werden (z.B. durch TRGS-Newsletter, Informationen der Berufsgenossenschaften, Länder, Industrieverbände, Innungen und Handwerkskammern sowie durch Fachzeitschriften).</t>
  </si>
  <si>
    <t>Unkenntnis über Änderungen von Gesetzen, Verordnungen, Technischen Regeln, Arbeitsplatzgrenzwerten und Einstufungen.</t>
  </si>
  <si>
    <t>Es dürfen nur vom Arbeitgeber vorgesehenen Gefahrstoffe verwendet werden.</t>
  </si>
  <si>
    <t>Verwendung von Gefahrstoffen, die nicht vom Arbeitgeber vorgesehen sind.</t>
  </si>
  <si>
    <t>Die Zahl der belasteten Beschäftigten muss durch zeitliche und räumliche Trennung begrenzt werden.</t>
  </si>
  <si>
    <t>Das Freisetzen von Stäuben und Verspritzen von Flüssigkeiten muss durch geeignete Arbeitsmittel und geschulten Umgang reduziert werden (z.B. lösemittelbeständiges Werkzeug).</t>
  </si>
  <si>
    <t>Belastung durch Freisetzen von Stäuben und Verspritzen von Flüssigkeiten</t>
  </si>
  <si>
    <t>Es sollen emissionsarme Verwendungsformen bevorzugt verwendet werden (z.B. streichen statt spritzen).</t>
  </si>
  <si>
    <t>Ungeeignete, nicht emissionsarme Verwendungsformen.</t>
  </si>
  <si>
    <t>Die Vielfalt der Produkte soll dem Bedarf angemessen auf ein Minimum begrenzt sein .</t>
  </si>
  <si>
    <t>Unangemessene Menge an Produkten</t>
  </si>
  <si>
    <t>Gefahrstoffe  müssen, wenn möglich, in Orginalverpackungen aufbewahrt werden.</t>
  </si>
  <si>
    <t>Aufbewahrung von Gefahrstoffen ohne Originalverpackung</t>
  </si>
  <si>
    <t>Gefahrstoffe dürfen nicht in Behälter abgefüllt werden, die zur Verwechslung mit Lebensmitteln führen können.</t>
  </si>
  <si>
    <t>Umfüllen von Gefahrstoffe in Behältern, die zur Verwechslung mit Lebensmitteln führen können.</t>
  </si>
  <si>
    <t>Es dürfen nur fachkundige oder besonders unterwiesene Personen Tätigkeiten mit giftigen und sehr giftigen oder krebserzeugenden, erbgutverändernden und fortpflanzungsgefährdenden Gefahrstoffen der Kategorien 1 und 2 sowie mit atemwegssensibilisierenden Gefahrstoffen  ausführen.</t>
  </si>
  <si>
    <t>Ausführung von Tätigkeiten mit giftigen und sehr giftigen oder krebserzeugenden, erbgutverändernden und fortpflanzungsgefährdenden Gefahrstoffen der Kategorien 1 und 2 sowie mit atemwegssensibilisierenden Gefahrstoffen durch fachunkundige, nicht unterwiesene Personen.</t>
  </si>
  <si>
    <t>Arbeitsplätze müssen regelmäßig aufgeräumt werden. Gebinde, Behälter, verschmutzte Arbeitsmittel und -geräte müssen nach Gebrauch gereinigt, verschüttete Gefahrstoffe sofort beseitigt und sicher entsorgt werden. Flüssigkeiten mit Granulat oder Matten sowie Feststoffe müssen aufgesaugt oder nass aufgewischt werden.</t>
  </si>
  <si>
    <t>Bindemittel und Arbeitsmittel zur Aufnahme verschütteter Gefahrstoffe müssen überall leicht zugänglich vorhanden sein.</t>
  </si>
  <si>
    <t>Fehlende oder schwer zugängliche Bindemittel und Arbeitsmittel zur Aufnahme verschütteter Gefahrstoffe</t>
  </si>
  <si>
    <t>Zur Erfüllung der Hygienevorschriften und der Reinhaltung des Arbeitsplatzes muss den Beschäftigten ausreichend Zeit zur Verfügung gestellt werden.</t>
  </si>
  <si>
    <t>Unzureichende Zeit der Beschäftigten zur Erfüllung der Hygienevorschriften und der Reinhaltung des Arbeitsplatzes</t>
  </si>
  <si>
    <t>Zur Abfallbeseitigung müssen abdeckbare, verschließbare Behälter zur Verfügung gestellt werden.</t>
  </si>
  <si>
    <t>Unzureichende Abfallbehälter</t>
  </si>
  <si>
    <t>Der Abfallbehälter muss regelmäßig geleert werden und  soll nicht überquellen.</t>
  </si>
  <si>
    <t>Volle Abfallbehälter</t>
  </si>
  <si>
    <t>Es müssen, für alle Beschäftigte verständlich formulierte, Betriebsanweisungen für alle Gefährdungen aushängen. Sie müssen für Beschäftigte ohne Deutschkenntnisse in der Muttersprache abgefasst sein.</t>
  </si>
  <si>
    <t>Fehlende oder unvollständige Betriebsanweisungen.</t>
  </si>
  <si>
    <t>Mündliche Unterweisungen müssen regelmäßig, mindestens einmal jährlich durchgeführt werden. Datum, Inhalt und Teilnehmer aller mündlichen Unterweisungen müssen schriftlich dokumentiert sein.</t>
  </si>
  <si>
    <t>Fehlende oder unregelmäßige mündliche Unterweisungen.</t>
  </si>
  <si>
    <t>Rauchen und offenes Feuer in Tätigkeitsbereichen mit Gefahrstoffen.</t>
  </si>
  <si>
    <t>Die Beschäftigten müssen vor Aufnahme einer Tätigkeit und anschließend jährlich zu allen auftretenden Gefährdungen unterwiesen und geschult werden.</t>
  </si>
  <si>
    <t>Fehlende Unterweisung und Schulung von Beschäftigten vor der Aufnahme einer Tätigkeit  zu allen auftretenden Gefährdungen.</t>
  </si>
  <si>
    <t>Fehlende Unterweisung und Schulung von Beschäftigten in Verhaltnesmaßnahmen.</t>
  </si>
  <si>
    <t>Die Beschäftigten müssen in Verhaltensmaßnahmen unterwiesen und geschult werden. Dazu gehört: 
- Vor dem Essen, Trinken oder Rauchen, 
- Hände waschen.
- Pausenverpflegung nicht am Arbeitsplatz aufbewahren.
- Nahrungs- und Genussmittel nicht am Arbeitsplatz verzehren.
- Gebinde, Behälter und verschmutzte Arbeitsmittel nach Gebrauch reinigen und wegräumen. 
- Behälter geschlossen halten und nur zur Entnahme öffnen. 
- Maschinen und Anlagen erst nach dem Entfernen von Gefahrstoffen öffnen oder befahren. 
- Verschmutzte und durchtränkte Arbeitskleidung sofort wechseln.
- Abfälle sammeln und sachgerecht entsorgen (z.B. restentleerte Gebinden, Bindemittel und Reinigungstücher).</t>
  </si>
  <si>
    <t>Grundlegende Sicherheitsforderungen im Sinne der Produktsicherheit müssen erfüllt und an vollständigen Unterlagen zur technischen Dokumentation (inkl. Konformitätserklärung, Betriebsanleitung sowie dem CE-Zeichen) erkennbar sein.</t>
  </si>
  <si>
    <t>Nicht erfüllte Sicherheitsforderungen im Sinne der Produktsicherheit</t>
  </si>
  <si>
    <t>Arbeitsmittel müssen entsprechend der festgelegten Prüffrist, unter Beachtung der TRBS 1201 und den Herstellerangaben durch eine befähigte Person geprüft werden.</t>
  </si>
  <si>
    <t>Fehlende Prüfung von Arbeitsmitteln entsprechend der festgelegten Prüffrist.</t>
  </si>
  <si>
    <t>Die Einhaltung der Mindeststandards und die sachgerechte Entsorgung müssen durch Betriebsbegehungen kontrolliert werden.</t>
  </si>
  <si>
    <t>Leitungen und Armaturen müssen regelmäßig auf Leckagen geprüft werden.</t>
  </si>
  <si>
    <t>Fehlende oder unregelmäßige Prüfung von Leitungen und Armaturen auf Leckagen.</t>
  </si>
  <si>
    <t xml:space="preserve">Die innerbetriebliche Kennzeichnung sollte möglichst jährlich geprüft und das Ergebnis dokumentiert werden. </t>
  </si>
  <si>
    <t xml:space="preserve">Mangelhafte innerbetriebliche Kennzeichnung </t>
  </si>
  <si>
    <t>Kontaminierte Haut muss sofort gereinigt werden.</t>
  </si>
  <si>
    <t>Kontaminierte Haut</t>
  </si>
  <si>
    <t>Der Waschplatz muss mit ausreichend Hautmittel (Hautschutz, Hautreinigung, Hautpflege) und Einmalhandtüchern ausgestattet sein.</t>
  </si>
  <si>
    <t>Unzureichend ausgestatteter Waschplatz</t>
  </si>
  <si>
    <t>Duft-und Konservierungsstoffe sollen, unter Berücksichtigung der Akzeptanz der Beschäftigten, weitgehend vermieden werden.</t>
  </si>
  <si>
    <t>Verwendung von Duft-und Konservierungsstoffen in Hautmitteln. (Allergiegefahr)</t>
  </si>
  <si>
    <t>Hautmittel dürfen nicht  dauerhaft über 30°C oder unter 0°C gelagert werden.</t>
  </si>
  <si>
    <t>Lagerung der Hautmittel bei zu hoher/zu niedriger Temperatur.</t>
  </si>
  <si>
    <t>Hautmittel müssen hygienisch einwandfrei aufbewahrt werden, z.B. in Dosierspendern.</t>
  </si>
  <si>
    <t>Unhygienische Lagerung von Hautmitteln.</t>
  </si>
  <si>
    <t>Ein an der Waschgelegenheit ausgehängter Hautschutzplan muss über die korrekte Anwendung der Hautmittel informieren.</t>
  </si>
  <si>
    <t>Fehlender Hautschutzplan</t>
  </si>
  <si>
    <t>Zum Schutz vor fettlöslichen Schadstoffen wie Benzin, Bohr-und Schneidölen, Lacken, Ölfarben, Lösemitteln, Schmierfetten, nicht wassermischbaren Metallbearbeitungsölen und Kunstharzen müssen wasserlösliche Hautschutzmittel eingesetzt werden .</t>
  </si>
  <si>
    <t>Ungeeignete Hautschutzmittel bei fettlöslichen Schadstoffen.</t>
  </si>
  <si>
    <t>Bei Tätigkeiten mit wässrigen Lösungen müssen wasserunlösliche Hautschutzmittel eingesetzt werden.
Im wesentlichen bei wassergemischten Kühlschmierstoffen, wässrigen Reinigungsmitteln, Säuren, Laugen, Salzlösungen und Zement.</t>
  </si>
  <si>
    <t>Bei Tätigkeiten mit sowohl wasserlöslichen als auch wasserunlöslichen Arbeitsstoffen sollten breiter wirkende Hautschutzmittel eingesetzt werden.</t>
  </si>
  <si>
    <t>Das Reinigungsmittel muss dem Grad der Verschmutzung angepasst sein. Optimum: Ausreichende Reinigungskraft bei maximaler Hautschonung.</t>
  </si>
  <si>
    <t>Unverhältnismäßige Reinigungsmittel</t>
  </si>
  <si>
    <t>Lösemittelhaltige Reinigungsmittel und reibkörperhaltige Handwaschpasten bzw. Grobhandreiniger sollten erst ab einer mittleren bis starken Verschmutzung verwendet  werden.</t>
  </si>
  <si>
    <t>Unverhältnismäßige Verwendung von Lösemittelhaltige Reinigungsmittel und reibkörperhaltige Handwaschpasten.</t>
  </si>
  <si>
    <t>Auf scharfkantige Reibemittel wie Sand, Bürsten und Bimsstein sollte verzichtet werden.</t>
  </si>
  <si>
    <t>Benutzung von scharfkantigen Reibemittel wie Sand, Bürsten und Bimsstein</t>
  </si>
  <si>
    <t>Die Häufigkeit der Hautreinigung soll auf das erforderliche Maß begrenzt werden.</t>
  </si>
  <si>
    <t>Unverhältnismäßiges Maß bei der Hautreinigung</t>
  </si>
  <si>
    <t>Es muss die Möglichkeit einer individuellen Hautschutzberatung durch den Betriebsarzt oder Hautarzt gegeben sein.</t>
  </si>
  <si>
    <t>Fehlende Hautschutzberatung durch den Betriebsarzt oder Hautarzt</t>
  </si>
  <si>
    <t>Die Beschäftigten müssen in Verhaltensmaßnahmen unterwiesen und geschult sein  z.B.
Keinen Hand-und Armschmuck zu tragen.
Lösungsmittel oder Verdünner nicht zur Hautreinigung zu verwenden.   Reinigungsmittel, die zur Verwendung an Maschinen, Arbeitsplätzen oder - Arbeitsmitteln gedacht sind, nicht zur Hautreinigung zu verwenden.
In der Erkennung von ersten Anzeichen einer Hauterkrankung.
In der Handhabung von Hautmitteln
Hautschutz vor der Arbeit und nach Pausen.
Hautreinigung und Pflege vor den Pausen und nach der Arbeit.</t>
  </si>
  <si>
    <t>Fehlende Unterweisung der Beschäftigten in Verhaltensmaßnahmen</t>
  </si>
  <si>
    <t>Die Umsetzung der getroffenen Schutzmaßnahmen und die Nutzung von Hautmitteln müssen regelmäßig kontrolliert  werden.</t>
  </si>
  <si>
    <t>Fehlende Kontrolle der Umsetzung von Schutzmaßnahmen.</t>
  </si>
  <si>
    <t>Hautmittel mit überschrittenem Mindesthaltbarkeitsdatum müssen entsorgt werden.
Ist die Haltbarkeit kleiner als 30 Monate, muss auf der Verpackung ein Mindesthaltbarkeitsdatum angegeben sein.
Ist das Produkt mehr als 30 Monate haltbar muss angegeben werden, wie lange das Mittel nach dem Öffnen verwendet werden kann.</t>
  </si>
  <si>
    <t>Überschrittenes Mindesthaltbarkeitsdatum/ "Verwendbar bis- Datum"  von Hautmitteln</t>
  </si>
  <si>
    <t>Lederhandschuhe zum Schutz vor mechanischer Gefährdung müssen chromatfrei sein.</t>
  </si>
  <si>
    <t>Chromathaltige Lederhandschuhe</t>
  </si>
  <si>
    <t>Medizinische Einmalhandschuhe dürfen nicht als Chemikalienschutzhandschuhe verwendet werden.</t>
  </si>
  <si>
    <t>Unzulässige Verwendung von medizinischen Einmalhandschuhen.</t>
  </si>
  <si>
    <t>Latexhandschuhe müssen ungepudert und allergenarm sein.</t>
  </si>
  <si>
    <t>Ungeeignete Latexhandschuhe</t>
  </si>
  <si>
    <t>Nichtbeachtung von zusätzlichen Einflussfaktoren.</t>
  </si>
  <si>
    <t>Beschäftigte müssen  in der praktischen Handhabung von Druckern und Kopierern unterwiesen und mit der Betriebsanleitung vertraut sein.</t>
  </si>
  <si>
    <t xml:space="preserve">Fehlende Unterweisung </t>
  </si>
  <si>
    <t>Drucker und Kopiergeräte müssen ein CE-Zeichen und eine Konformitätserklärung haben.</t>
  </si>
  <si>
    <t xml:space="preserve">Fehlendes CE-Zeichen und Konformitätserklärung </t>
  </si>
  <si>
    <t>Geräte mit einem „GS“-Zeichen (geprüfte Sicherheit) unterliegen zusätzlichen Prüfungen, welche die Sicherheit garantieren.</t>
  </si>
  <si>
    <t>Fehlende Sicherheitsprüfung bei Geräten mit „GS“-Zeichen</t>
  </si>
  <si>
    <t>Das Gerät muss  mit einem Aktivkohlefilter oder einem emissionsarmen Hochspannungsteil ausgestattet sein.</t>
  </si>
  <si>
    <t>Mangelhafte Ausstattung ohne Aktivkohlefilter oder einem emissionsarmen Hochspannungsteil</t>
  </si>
  <si>
    <t>Die Tonernachfüllung muss ohne Hautkontakt oder Einatmen des Pulvers möglich sein.</t>
  </si>
  <si>
    <t>Gesundheitsgefahr bei der Tonernachfüllung</t>
  </si>
  <si>
    <t>Trocken- oder Flüssigtonerkartuschen sollen Nachfüllsystemen vorgezogen werden.</t>
  </si>
  <si>
    <t>Ungeeignete Nachfüllsysteme</t>
  </si>
  <si>
    <t>Wenn Mehrweg-Tonerkartuschen, dann sollten diese mit dem Umweltzeichen „Der Blaue Engel“ gekennzeichnet sein .</t>
  </si>
  <si>
    <t>Fehlende  Kennzeichnung des Gerätes mit dem „DGUV Test“ Prüfzeichen oder dem Umweltzeichen „Der Blaue Engel“</t>
  </si>
  <si>
    <t>Fehlendes Umweltzeichen bei Mehrwegkartuschen</t>
  </si>
  <si>
    <t>Kopier- und Druckerpapier müssen durch die Angabe der Norm DIN EN 12281 „Drucker- und Büropapier – Anforderungen an Kopierpapier für Vervielfältigungen mit Trockentonern“ gekennzeichnet sein .</t>
  </si>
  <si>
    <t>Fehlende Kennzeichnung von Kopier- und Druckerpapier</t>
  </si>
  <si>
    <t>Für jedes Gerät musst eine gerätekundige Person (ggf. mit Stellvertreter) ausgewählt werden. Sie ist mit der sachgerechten Benutzung, dem Nachfüllen von Toner, der Durchführung von Wartungsarbeiten
sowie der Behebung von kleineren Reparaturen vertraut.</t>
  </si>
  <si>
    <t xml:space="preserve">Nichtbestimmung einer gerätekundigen Person. </t>
  </si>
  <si>
    <t>Fehlen von Dokumenten, wie Bedienungsanleitungen, mitgelieferte Sicherheitsdatenblättern, etc..</t>
  </si>
  <si>
    <t>Die Daten zur Erreichbarkeit der gerätekundigen Person  müssen bekannt, oder  vorzugsweise auf dem Gerät angegeben sein.</t>
  </si>
  <si>
    <t>Fehlende Erreichbarkeitsdaten der gerätekundigen Person.</t>
  </si>
  <si>
    <t>Eine Bedienungsanleitung, mitgelieferte Sicherheitsdatenblätter (Toner, Reinigungsmittel etc.) und ggf. ein Umweltdatenblatt müssen ihr ausgehändigt werden.</t>
  </si>
  <si>
    <t>Verschmutze Geräteumgebung nach Papierstau</t>
  </si>
  <si>
    <t>Nach der Behebung eines Papierstaus sollte die Geräteumgebung mit einem feuchten Tuch gereinigt werden.</t>
  </si>
  <si>
    <t>Mehrweg-Tonerkartuschen sollten durch einen
Nachfüll-Service aufgefüllt werden.</t>
  </si>
  <si>
    <t>Risiken beim Selbstnachfüllen von Mehrweg-Tonerkartuschen</t>
  </si>
  <si>
    <t>Tonerabfälle müssen ordnungsgemäß entsorgt werden.
Viele Hersteller bieten die Rücknahme von leeren Tonerkartuschen an. Das Recycling der Tonerkartuschen durch den Hersteller
oder einen Anbieter wird gegenüber der Entsorgung über den Sondermüll bevorzugt.</t>
  </si>
  <si>
    <t>Nicht ordnungsgemäße Entsorgung von Tonerabfällen.</t>
  </si>
  <si>
    <t>Weitergehende Wartungs- und Reinigungsarbeiten sollten ausschließlich von Servicetechnikern durchgeführt werden. Dazu zählt auch
der Umgang mit Tonerpulver und Flüssigtoner.</t>
  </si>
  <si>
    <t xml:space="preserve"> Wartungs- und Reinigungsarbeiten durch unqualifizierte Personen.</t>
  </si>
  <si>
    <t>Fehlende oder nicht  ausreichende Belüftung der Arbeitsstätte</t>
  </si>
  <si>
    <t>Stark frequentierte Drucker und Kopiergeräte dürfen nicht in Büro- und Pausenräumen untergebracht sein.</t>
  </si>
  <si>
    <t>Standort von Druckern und Kopiergeräte in Büro- und Pausenräumen</t>
  </si>
  <si>
    <t>Drucker und Kopiergeräte sollten zur Vermeidung von Staubansammlungen auf einer leicht zu reinigenden Oberfläche stehen.</t>
  </si>
  <si>
    <t>Verschmutzter Stellplatz</t>
  </si>
  <si>
    <t>Die Abluftöffnungen der Geräte dürfen nicht direkt auf Mitarbeiter gerichtet sein.</t>
  </si>
  <si>
    <t>Um Servicearbeiten an Druckern und Kopiergeräten zu erleichtern, muss eine gute Zugänglichkeit der Geräte gewährleistet sein.</t>
  </si>
  <si>
    <t>Gesundheitsgefahr durch Richten der Abluftöffnungen auf Personen</t>
  </si>
  <si>
    <t>Erschwerte Zugänglichkeit</t>
  </si>
  <si>
    <t>Unbedingt für ausreichende Zuluft im Arbeitsraum sorgen, damit die abgesaugte Luft erneuert wird.</t>
  </si>
  <si>
    <t>Die Funktion der Absauganlage muss leicht überwacht werden können, z. B. durch Manometer oder Volumenstrommessung.</t>
  </si>
  <si>
    <t>Für eine Reihe chemischer Stoffe sind durch das Bundesimmissionsschutzgesetz (BImSchG) Emissionsgrenzen
festgelegt, so dass eine Reinigung der Abluft notwendig sein kann.</t>
  </si>
  <si>
    <t>Störströmungen sind durch Leitelemente oder Wände von der Erfassungsströmung fernzuhalten.</t>
  </si>
  <si>
    <t>Die allgemeinen Maßnahmen der Anwendungshinweise sind zu beachten.</t>
  </si>
  <si>
    <t>Die Absaugung muss so dicht wie möglich an die Quelle der Emission geführt werden, damit Staub oder Dämpfe direkt eingefangen werden können.</t>
  </si>
  <si>
    <t>Die Quelle von Staub oder Dämpfen muss soweit wie möglich umschlossen werden, um deren Ausbreitung zu verhindern.</t>
  </si>
  <si>
    <t>Zu großer Abstand zur Quelle der Emission</t>
  </si>
  <si>
    <t>Unzureichende Umschließung von Emissionsquellen</t>
  </si>
  <si>
    <t>Beschäftigte dürfen sich nicht zwischen Expositionsquelle und Absaugung aufhalten, da sie sich sonst direkt im verunreinigten Luftstrom befinden.</t>
  </si>
  <si>
    <t>Aufenthalt im verunreinigten Luftstrom</t>
  </si>
  <si>
    <t>Der Arbeitsbereich sollte möglichst nicht in der Nähe von Türen, Fenstern und Durchgängen eingerichtet sein, um zu verhindern, dass Zugluft die Wirksamkeit der Absaugung beeinträchtigt.</t>
  </si>
  <si>
    <t>Beeinträchtigung der Absaugwirksamkeit durch Zugluft</t>
  </si>
  <si>
    <t>Unzureichende Lüftung im Arbeitsraum</t>
  </si>
  <si>
    <t>Die Absaugleitungen sollen möglichst kurz und gerade sein. Lange Abschnitte mit flexiblen Leitungen sind zu vermeiden.</t>
  </si>
  <si>
    <t>Beeinträchtigung der Wirksamkeit durch zu lange oder mit flexiblen Leitungen ausgestatteter Abschnitte der Absaugleitungen</t>
  </si>
  <si>
    <t>erschwerte Möglichkeit von Kontrollen der Funktionalität der Absauganlage.</t>
  </si>
  <si>
    <t>Nichtbeachtung der Emissionsgrenzen laut Bundesimmissionsschutzgesetz (BImSchG)</t>
  </si>
  <si>
    <t>Offene Erfassungseinrichtungen der Bauart Rohrstutzen mit Flansch bzw. Düsenplatte sind einer Absaughaube vorzuziehen (der Erfassungsgrad ist hierbei bis zu 30 % höher).</t>
  </si>
  <si>
    <t>Gebrauch von Absaughauben mit geringerem Erfassungsgrad</t>
  </si>
  <si>
    <t>Die abgesaugte Luft muss an einen sicheren Ort abgeführt werden, keinesfalls in die Nähe von Türen, Fenstern und Lufteinlässen.</t>
  </si>
  <si>
    <t>Fehlerhafte Abführung der abgesaugten Luft.</t>
  </si>
  <si>
    <t>Bei Dämpfen ist eine Rückzirkulation der Luft in der Regel nicht zu empfehlen. Bei Staub kann saubere gefilterte Luft wieder in den Arbeitsbereich zurückgeführt werden.</t>
  </si>
  <si>
    <t>Ungeeignete Rückzirkulation</t>
  </si>
  <si>
    <t>Behinderung durch Störströmungen.</t>
  </si>
  <si>
    <t>Arbeitsmittel (Geräte, Maschinen, Anlagen) müssen in einem ordnungsgemäßen und funktionsfähigen Betriebszustand gehalten und Bedienungsanleitungen beachtet werden.</t>
  </si>
  <si>
    <t>Nicht ordnungsgemäßer oder mangelhafter Betriebszustand von Arbeitsmitteln</t>
  </si>
  <si>
    <t>Leistungsdaten zu den eingesetzten Arbeitsmitteln und Informationen zur
regelmäßigen Überprüfung  müssen vom Lieferanten  beschafft werden. Falls diese nicht vorliegen muss ein Fachmann (ggf. befähigte Person) herangezogen werden.</t>
  </si>
  <si>
    <t xml:space="preserve">Fehlende Leistungsdaten zu den eingesetzten Arbeitsmitteln </t>
  </si>
  <si>
    <t>Es muss die Durchführung einer Sichtkontrolle der Anlage
einmal pro Woche auf Anzeichen von Beschädigungen erfolgen.</t>
  </si>
  <si>
    <t>Fehlende oder unregelmäßige Sichtkontrolle der Anlage.</t>
  </si>
  <si>
    <t>Die Überprüfung der Absaugung und Vergleich mit
ihren Leistungsstandards muss einmal im Jahr erfolgen.</t>
  </si>
  <si>
    <t>Fehlende oder unregelmäßige Überprüfung der Absaugung.</t>
  </si>
  <si>
    <t>Alle Prüfnachweise müssen mindestens fünf Jahre aufbewahrt werden.</t>
  </si>
  <si>
    <t>Mangelhafte Aufbewahrung der Prüfnachweise.</t>
  </si>
  <si>
    <t>Nichtbeachtung der allgemeinen Anwendungshinweise.</t>
  </si>
  <si>
    <t>Ersatzstoffe und Ersatzverfahren mit geringerer Gefährdung sind zu bevorzugen und haben Vorrang vor technischen, organisatorischen und personenbezogenen Maßnahmen. Der Verzicht auf Ersatzlösungen ist in der Dokumentation der Gefährdungsbeurteilung zu begründen.</t>
  </si>
  <si>
    <t>Fehlende Bevorzugung von Ersatzstoffen und Ersatzverfahren mit geringerer Gefährdung</t>
  </si>
  <si>
    <t>Wenn bei Tätigkeiten eine Verunreinigung der Arbeitskleidung zu erwarten ist, müssen getrennte Aufbewahrungsmöglichkeiten für Arbeits- bzw. Schutzkleidung und Straßenkleidung vorgesehen werden.</t>
  </si>
  <si>
    <t xml:space="preserve">Fehlende Trennung von Aufbewahrungsmöglichkeiten für Arbeits- bzw. Schutzkleidung und Straßenkleidung </t>
  </si>
  <si>
    <t>Beschäftigte dürfen in Arbeitsbereichen, in denen die Gefahr einer Kontamination durch Gefahrstoffe besteht, keine Nahrungs- und Genussmittel zu sich nehmen. Geeignete Bereiche sind einzurichten.</t>
  </si>
  <si>
    <t>Essen und Trinken in Arbeitsbereichen, in denen die Gefahr einer Kontamination durch Gefahrstoffe besteht.</t>
  </si>
  <si>
    <t>Arbeiten Beschäftigte allein, so sind in Abhängigkeit von der Gefährdungsbeurteilung zusätzliche Schutzmaßnahmen zu treffen oder es ist für eine angemessene Aufsicht zu sorgen.</t>
  </si>
  <si>
    <t>Fehlende Aufsicht.</t>
  </si>
  <si>
    <t>Vorkehrungen für Betriebsstörungen, Unfälle und Notfälle, z. B. zur Ersten Hilfe, sind zu treffen.</t>
  </si>
  <si>
    <t>Fehlende Vorkehrungen im Falle von Betriebsstörungen, Unfällen und Notfällen.</t>
  </si>
  <si>
    <t>Für eine angemessene arbeitsmedizinische Vorsorge ist zu sorgen. Hierzu gehören die arbeitsmedizinische Beratung des Unternehmens und der Beschäftigten in Fragen des Schutzes vor Gefahrstoffen und erforderlichenfalls das Angebot bzw. die Veranlassung arbeitsmedizinischer Vorsorgeuntersuchungen.</t>
  </si>
  <si>
    <t>Fehlende oder mangelhafte arbeitsmedizinische Vorsorge</t>
  </si>
  <si>
    <t>Es muss zwei voneinander unabhängige Rettungswege geben.</t>
  </si>
  <si>
    <t>Fluchtwege dürfen maximal 52,5 m (Lauflänge) lang, mindestens 87,5 cm breit und 2 m hoch sein.</t>
  </si>
  <si>
    <t>Flucht-und Rettungswege müssen gekennzeichnet sein. Auch bei Ausfall der Beleuchtung müssen sie erkennbar durch lang nachleuchtende, beleuchtete oder hinterleuchtete Sicherheitskennzeichen sein.</t>
  </si>
  <si>
    <t>Fluchtwege müssen ins Freie, in andere Brandabschnitte oder in andere gesicherte Bereiche führen.</t>
  </si>
  <si>
    <t>Türen in Notausgängen und im Verlauf von Fluchtwegen müssen in Fluchtrichtung aufschlagen.</t>
  </si>
  <si>
    <t>Die Notausgänge müssen jederzeit zugänglich und im Gefahrenfall mit einer Hand zu öffnen sein.</t>
  </si>
  <si>
    <t>In jedem Tätigkeitsbereich  müssen der Brandklasse entsprechende Feuerlöscher mit mindestens 6 Löscheinheiten jederzeit zugänglich sein .</t>
  </si>
  <si>
    <t>Alarmpläne mit Beschreibung des Verhaltens im Brandfall und bei Unfällen.müssen im Betrieb ausgehängt sein. 
Das Verhalten im Brandfall wird beschrieben durch "Regeln zu Brand melden", "in Sicherheit bringen" und "Löschversuch unternehmen".
Das Verhalten bei Unfällen wird beschrieben durch Regeln zu "Unfall melden", "Erste Hilfe" und "weitere Maßnahmen unternehmen".</t>
  </si>
  <si>
    <t>Es müssen Brandschutzhelfer (ca. 5% der Beschäftigten) fachkundig,
besonders im Umgang mit Feuerlöschern unterwiesen sein.</t>
  </si>
  <si>
    <t>Es müssen Ersthelfer in ausreichender Zahl ausgebildet sein: 5% der Beschäftigten in Verwaltung und Handel,  10% der gewerblichen Beschäftigten</t>
  </si>
  <si>
    <t>Jeder Brand, auch unerwartete Stichflammen, muss dem Vorgesetzten
gemeldet werden.</t>
  </si>
  <si>
    <t>Feuerwehraufstellflächen, Flucht-und Rettungswege müssen stets
freigehalten werden.</t>
  </si>
  <si>
    <t>Die Rettung der Beschäftigten mit Behinderung muss geregelt und
gewährleistet sein.</t>
  </si>
  <si>
    <t>Für getränkte Tücher wie: lösungsmittelhaltige Putzlappen
oder in Leinölfirnisse oder Öllacke getränkte Lappen müssen verschlossene nichtbrennbare Behälter zur Verfügung stehen. Diese müssen täglich aus dem Arbeitsbereich entfernt werden.</t>
  </si>
  <si>
    <t>Abfälle dürfen nur zusammengeführt werden, wenn dadurch keine gefährlichen Reaktionen ausgelöst werden kann.</t>
  </si>
  <si>
    <t>Feuerarbeiten müssen genehmigt und durch ein Freigabeverfahren geregelt werden.</t>
  </si>
  <si>
    <t>Es müssen Brandsicherheitswachen bei Feuerarbeiten und im Anschluss daran eingesetzt  werden.</t>
  </si>
  <si>
    <t>Behälter mit leicht entzündlichen Flüssigkeiten oder unbekanntem Inhalt dürfen nicht mit Werkzeugen, die zur Funkenbildung Anlass geben, bearbeitet werden . Zum Öffnen müssen z.B. Holz-, Gummi-oder Bleihämmer oder Zangen, Schaber sowie Schraubenschlüssel und -dreher aus Bronze benutzt werden .</t>
  </si>
  <si>
    <t>Heiße Oberflächen (z.B. Heizeinrichtungen und Motorengehäuse) sollten, wenn möglich, vor Verschmutzung  geschützt weden.
Bei Verschmutzung müssen sie im erkalteten Zustand sofort gereinigt werden.</t>
  </si>
  <si>
    <t>Elektrische Geräte dürfen nicht zweckentfremdet werden.</t>
  </si>
  <si>
    <t>Defekte elektrische Geräte müssen sofort ausgesondert werden.</t>
  </si>
  <si>
    <t>Die Beschäftigten müssen in Verhaltensmaßnahmen unterwiesen und geschult werden, z.B. : Handhabung von geschlossen Behältern, die Reststoffe enthalten können, Vermeidung von Zündquellen (z.B. offene Flammen, Funkenbildung, heiße Oberflächen, Sonneneinstrahlung),
bei Feuerarbeiten und sachgerechtem Umgang mit elektrischen Geräten.</t>
  </si>
  <si>
    <t xml:space="preserve">Die Beschäftigten müssen zum Inhalt der Flucht- und Rettungspläne sowie zum Verhalten im Gefahrenfall unterwiesen und geschult werden. z.B.:Gefahrenbereich sofort verlassen und Notruf absetzen,
Dritte aus dem Gefahrenbereich fernhalten,Ruhe bewahren und Alarmplan beachten </t>
  </si>
  <si>
    <t>Es müssen  Räumungsübungen mit dem Ziel die Funktionstüchtigkeit der Alarmierung zu prüfen, die Bedeutung der Alarmierung für alle Personen zu klären und die sichere und schnelle Nutzung der Fluchtwege zu prüfen, durchgeführt werden</t>
  </si>
  <si>
    <t>Feuerlöscher müssen die DIN EN 3 oder DIN 14406 Norm erfüllen.</t>
  </si>
  <si>
    <t>Feuerlöscher müssen alle 2 Jahre gewartet und geprüft werden.</t>
  </si>
  <si>
    <t>Rettungseinrichtungen müssen regelmäßig auf Funktionsfähigkeit kontrolliert werden.</t>
  </si>
  <si>
    <t>Elektrische Geräte müssen durch eine Elektrofachkraft nach den Prüffristen der DGUV Vorschrift 3 (bisher: BGV A 3) regelmäßig geprüft werden.</t>
  </si>
  <si>
    <t>Fehlende oder unzureichende Rettungswege</t>
  </si>
  <si>
    <t>Unzureichende Maße der Fluchtwege.</t>
  </si>
  <si>
    <t>Fehlende Kennzeichnung der Flucht-und Rettungswege.</t>
  </si>
  <si>
    <t>Unerlaubte Streckenführung der Flucht-und Rettungswege</t>
  </si>
  <si>
    <t>Türen im Verlauf von Fluchtwegen mit Aufschlag entgegen der Fluchtrichtung.</t>
  </si>
  <si>
    <t>Schwer- oder unzugängliche, bzw schwer öffnende Notausgänge</t>
  </si>
  <si>
    <t>Nicht ausreichende Anzahl an Feuerlöschern.</t>
  </si>
  <si>
    <t>Fehlende sichtbar aufgehängte Alarmpläne im Betrieb</t>
  </si>
  <si>
    <t>Fehlende oder nicht ausreichende Anzahl an Brandhelfern im Betrieb</t>
  </si>
  <si>
    <t>Fehlende oder nicht ausreichende Anzahl an Ersthelfern im Betrieb</t>
  </si>
  <si>
    <t>Fehlende Meldung im Brandfall</t>
  </si>
  <si>
    <t>Keine Freihaltung von Feuerwehraufstellflächen, Flucht-und Rettungswegen</t>
  </si>
  <si>
    <t>Fehlende Gewährleistung von Rettung der Beschäftigten mit Behinderung</t>
  </si>
  <si>
    <t>Unsachgemäßer Umgang mit getränkten Tüchern wie: lösungsmittelhaltige Putzlappen
oder in Leinölfirnisse oder Öllacke getränkte Lappen.</t>
  </si>
  <si>
    <t>Unsachgemäße Zusammenführung von Abfällen</t>
  </si>
  <si>
    <t>Ungenehmigte, nicht freigegebene Feuerarbeiten</t>
  </si>
  <si>
    <t xml:space="preserve">Fehlende Brandsicherheitswachen </t>
  </si>
  <si>
    <t>Unsachgemäße Bearbeitung von Behältern mit leicht entzündlichen Flüssigkeiten mit Werkzeugen, die zur Funkenbildung Anlass geben</t>
  </si>
  <si>
    <t>Verschmutzung von heißen Oberflächen</t>
  </si>
  <si>
    <t>Zweckentfremdete Benutzung von elektrischen Geräten.</t>
  </si>
  <si>
    <t>Benutzung von defekten elektrischen Geräten.</t>
  </si>
  <si>
    <t>Fehlende Unterweisung von Beschäftigten in Verhaltensmaßnahmen zum Thema Brandschutz.</t>
  </si>
  <si>
    <t>Fehlende Unterweisung von Beschäftigten zum Inhalt der Flucht- und Rettungspläne sowie zum Verhalten im Gefahrenfall.</t>
  </si>
  <si>
    <t>Fehlende Räumungsübungen</t>
  </si>
  <si>
    <t>Fehlende oder unzureichende DIN Norm bei Feuerlöschern</t>
  </si>
  <si>
    <t>Fehlende oder unregelmäßige Wartung und Prüfung von Feuerlöschern.</t>
  </si>
  <si>
    <t>Fehlende oder unregelmäßige Überprüfung der Rettungseinrichtungen.</t>
  </si>
  <si>
    <t>Fehlende Prüfung der elektrischen Geräte durch eine Elektrofachkraft.</t>
  </si>
  <si>
    <t>Der Abzugsschrank soll möglichst Baumuster geprüft sein. Ggf. Fachmann befragen, hier wird eine Laborfachfirma,
vorzugsweise der Hersteller selbst oder ein hierfür qualifiziertes Beratungsbüro empfohlen.</t>
  </si>
  <si>
    <t>Unbedingt für ausreichende Zuluft im Arbeitsraum sorgen, damit die abgesaugte Luft erneuert werden kann.</t>
  </si>
  <si>
    <t>Fehlende Baumuster Prüfung</t>
  </si>
  <si>
    <t>Zu geringe Leistung bei nicht Baumuster geprüften Abzügen</t>
  </si>
  <si>
    <t>Bei älteren, nicht Baumuster geprüften Abzügen: Die Luftgeschwindigkeit an der Öffnung des Abzugschranks sollte bei 100 mm geöffneten Frontschieber mindestens 0,7m/s betragen.</t>
  </si>
  <si>
    <t>Beim Einbau oder Verwendung sperriger Geräte darauf achten, dass der Frontschieber noch geschlossen werden kann; aus strömungstechnischen Gründen sollten sperrige Geräte mindestens 10 cm hinter der Frontschieberebene angeordnet sein.</t>
  </si>
  <si>
    <t>Blockierung des Frontschiebers durch sperrige Geräte</t>
  </si>
  <si>
    <t>Die Eingriffsöffnung muss so klein wie möglich gehalten werden, aber groß genug, um sicher zu arbeiten. Der Frontschieber und andere Eingriffsöffnungen müssen so weit wie möglich geschlossen gehalten werden.</t>
  </si>
  <si>
    <t>Zu kleine / zu große Eingriffsöffnung</t>
  </si>
  <si>
    <t>Fehlende oder ungeeignete Beleuchtung</t>
  </si>
  <si>
    <t>Der Arbeitsbereich sollte möglichst nicht in der Nähe von Türen, Fenstern und Durchgängen sein, um zu verhindern, dass Zugluft die Wirksamkeit der Absaugung beeinträchtigt und sich dadurch Feststoffe/Stäube oder Dämpfe weiter ausbreiten können.</t>
  </si>
  <si>
    <t>Zugluft im Arbeitsbereich</t>
  </si>
  <si>
    <t>Mangelnde Frischluft</t>
  </si>
  <si>
    <t>Die Abzugsleitungen sollen möglichst kurz und gerade sein. Lange Abschnitte mit flexiblen Leitungen sind zu vermeiden.</t>
  </si>
  <si>
    <t>Mangelhafte Verlegung der Abzugsleitungen</t>
  </si>
  <si>
    <t>Die Funktion des Abzugs muss leicht überwacht werden können, durch Windrädchen oder Wollfäden oder bei neueren Abzügen durch Volumenstromüberwachungen mit optischer und akustischer Alarmierung bei Unterschreitung des erforderlichen Volumenstromes.</t>
  </si>
  <si>
    <t>Fehlende Maßnahmen zur Funktionskontrolle bei laufendem Betrieb</t>
  </si>
  <si>
    <t>Die abgesaugte Luft muss an einen sicheren Ort abgeführt werden, keinesfalls in der Nähe von Türen, Fenstern und Lufteinlässen. Für bestimmte Stoffe sind durch das Bundesimmissionsschutzgesetz (BImSchG) Emissionsgrenzen festgelegt, so dass eine Reinigung der Abluft notwendig sein kann.</t>
  </si>
  <si>
    <t>Abführung der abgesaugten Luft an ungeeignete Orte. Nichtbeachtung des Bundesimmissionsschutzgesetzes.</t>
  </si>
  <si>
    <t>Luftrückführung ist bei Abzügen nicht vorgesehen, möglich ist sie bei Absaugboxen, hier dann aber bestehende Eingrenzungen des Anwendungsbereiches beachten.</t>
  </si>
  <si>
    <t>Gefahr bei Luftrückführung</t>
  </si>
  <si>
    <t>Arbeitsmittel (Geräte, Maschinen, Anlagen) in einem ordnungsgemäßen und funktionsfähigen Betriebszustand halten. Bedienungsanleitungen beachten.</t>
  </si>
  <si>
    <t>Mangelhafter Betriebszustand der Arbeitsmittel. Nichtbeachtung der Betriebsanleitungen.</t>
  </si>
  <si>
    <t>Vom Lieferanten Leistungsdaten zu den eingesetzten Arbeitsmitteln und Informationen zur regelmäßigen Überprüfung beschaffen, falls
diese nicht vorliegen. Ansonsten Fachmann (ggf. befähigte Person) heranziehen.</t>
  </si>
  <si>
    <t>Unkenntnis der Leistungsdaten der eingesetzten Arbeitsmittel.</t>
  </si>
  <si>
    <t>Fehlende Sichtkontrolle</t>
  </si>
  <si>
    <t>Durchführung einer Sichtkontrolle des Abzugschranks bei jeder Verwendung</t>
  </si>
  <si>
    <t>Überprüfung des Abzugschranks und Vergleich mit seinen Leistungsstandards einmal im Jahr. Alle Prüfnachweise mindestens fünf Jahre aufbewahren</t>
  </si>
  <si>
    <t>Fehlende jährliche Überprüfung</t>
  </si>
  <si>
    <t>Ersatzstoffe und Ersatzverfahren mit geringerer Gefährdung sind zu bevorzugen und haben Vorrang vor technischen, organisatorischen und personenbezogenen Maßnahmen. Der Verzicht auf Ersatzlösungen ist in der Dokumentation der Gefährdungsbeurteilung
zu begründen.</t>
  </si>
  <si>
    <t>Nichtverwendung von Ersatzstoffen und Ersatzverfahren</t>
  </si>
  <si>
    <t xml:space="preserve">Mangelhafte Aufbewahrungsmöglichkeit kontaminierter Arbeitskleidung. </t>
  </si>
  <si>
    <t>Beschäftigte dürfen in Arbeitsbereichen, in denen die Gefahr einer Kontamination durch Gefahrstoffe besteht keine Nahrungs- und Genussmittel zu sich nehmen. Geeignete Bereiche sind einzurichten.</t>
  </si>
  <si>
    <t>Arbeiten Beschäftigte alleine, so sind in Abhängigkeit von der Gefährdungsbeurteilung zusätzliche Schutzmaßnahmen zu treffen oder es ist für eine angemessene Aufsicht zu sorgen.</t>
  </si>
  <si>
    <t>Arbeiten ohne Aufsicht</t>
  </si>
  <si>
    <t>Betriebsstörungen, Unfälle und Notfälle</t>
  </si>
  <si>
    <t>Für eine angemessene arbeitsmedizinische Vorsorge ist zu sorgen. Hierzu gehören die arbeitsmedizinische Beratung des Unternehmens und der Beschäftigten in Fragen des Schutzes vor Gefahrstoffen und erforderlichenfalls das Angebot bzw. die Veranlassung arbeitsmedizinischer Vorsorgeuntersuchungen</t>
  </si>
  <si>
    <t>Mangelnde arbeitsmedizinische Vorsorge und Beratung</t>
  </si>
  <si>
    <t>Keine Papiertüten oder anderen Abfall in die Absaugung
gelangen lassen.</t>
  </si>
  <si>
    <t>Gefahr durch unsachgemäßen Gebrauch der Absauganlage</t>
  </si>
  <si>
    <t>Der Standort der Filteranlage muss außerhalb des Hauptarbeitsbereiches, weg von Zugluft und Windeinflüssen liegen.</t>
  </si>
  <si>
    <t>Ungeeigneter Standort der Filteranlage</t>
  </si>
  <si>
    <t>Bei brennbaren Feststoffen ist die Notwendigkeit von Explosionsschutz zu prüfen (Erdung, Druckentlastung). Die Erdung muss sich auch auf die Inneneinrichtung des Filters erstrecken. Ggf. Fachmann befragen.</t>
  </si>
  <si>
    <t>Explosionsgefahr bei brennabren Feststoffen</t>
  </si>
  <si>
    <t>Überquellende Abfallbehälter</t>
  </si>
  <si>
    <t>Es muss vorher ermittelt werden, wie häufig der Abfallbehälter geleert werden muss. Es muss sicherstellt sein, dass der Abfallbehälter nicht überquillt und  regelmäßig geleert wird. Den Staubsack vor Herausnehmen aus dem Behälter oben zubinden.</t>
  </si>
  <si>
    <t xml:space="preserve">Das Entnehmen des Abfallbehälters von der Abzugsanlage soll in Windrichtung erfolgen.
</t>
  </si>
  <si>
    <t>Entnahme des Abfallbehälters gegen den Luftstrom</t>
  </si>
  <si>
    <t>Es muss berücksichtigt werden, dass für das Entleeren der Abfallsäcke Atemschutzgeräte erforderlich sein können. Falls es bei einigen Instandhaltungsarbeiten erforderlich ist, in Behältern oder engen Räumen zu arbeiten, muss geprüft werden, ob von der Umgebungsluft unabhängiger Atemschutz benötigt wird (Befahrerlaubnis!).</t>
  </si>
  <si>
    <t>Unzureichender Atemschutz beim Entleeren der Abfallsäcke.</t>
  </si>
  <si>
    <t>Es muss eine Unterweisung der Mitarbeiter hinsichtlich des sicheren Arbeitsablaufs insbesondere zur Entleerung des Staubbehälters erfolgen.</t>
  </si>
  <si>
    <t>Fehlende Unterweisung der Mitarbeiter</t>
  </si>
  <si>
    <t>Der Einbau eines Absperrventils sollte erwogen werden, damit der Behälter ohne Staubfreisetzung abgenommen werden kann.</t>
  </si>
  <si>
    <t>Staubfreisetzung durch fehlendes Absperrventils.</t>
  </si>
  <si>
    <t>Fehlende notwendige Hebehilfe zum Entleeren des Abfallbehälters</t>
  </si>
  <si>
    <t>Es soll geprüft werden, wie der Behälter zum Entleeren hochgehoben werden kann. Falls erforderlich muss eine Hebehilfe zur Verfügung gestellt werden.</t>
  </si>
  <si>
    <t>Die Entsorgung des Filterstaubs muss geregelt sein, ggf. müssen  abfallrechtliche Vorschriften beachtet werden.</t>
  </si>
  <si>
    <t>Gefahr bei der Entsorgung des Filterstaubs</t>
  </si>
  <si>
    <t>Es sollen leicht durchführbare Möglichkeiten zur Überwachung der Steuerung geschaffen werden, z. B. durch Manometer oder Volumenstrommessung.</t>
  </si>
  <si>
    <t>Unzureichende Überwachung der Steuerung</t>
  </si>
  <si>
    <t>Die Durchführung einer Sichtkontrolle des Abscheidesystems
auf Anzeichen von Beschädigungen muss einmal pro Monat erfolgen.</t>
  </si>
  <si>
    <t>Fehlende monatliche Sichtkontrolle des Abscheidesystems</t>
  </si>
  <si>
    <t>Die Überprüfung des Abscheidesystems und Vergleich mit
den Leistungsstandards muss einmal im Jahr erfolgen.</t>
  </si>
  <si>
    <t>Fehlende jährliche Überprüfung des Abscheidesystems</t>
  </si>
  <si>
    <t>Die Luftgeschwindigkeit im Bereich von Öffnungen sollte mindestens 1 m/s betragen.</t>
  </si>
  <si>
    <t>Arbeitsraum mit einer Luftzufuhr versehen, damit die abgesaugte Luft ersetzt werden kann.</t>
  </si>
  <si>
    <t>identisch zu Abzugsschränke 201</t>
  </si>
  <si>
    <t>Zugang des Arbeitsbereiches darf nur für Befugte erfolgen.</t>
  </si>
  <si>
    <t>Eine Befeuchtung des Transportgutes ist zu  erwägen, um Staubentwicklung zu verringern.</t>
  </si>
  <si>
    <t>Staubiges, trockenes Transportgut</t>
  </si>
  <si>
    <t>Förderband ist so weit wie möglich einzuhausen, insbesondere im Bereich von Beschickung und Ausstoß.</t>
  </si>
  <si>
    <t>Weitgehend offenes Förderband, vor allem im Bereich von Beschickung und Ausstoß.</t>
  </si>
  <si>
    <t>Öffnungen der Anlage sind mit Staubfangschürzen sowie Bereiche entlang des Förderbandes mit Abdichtelementen zu versehen, um Stoffaustritt zu minimieren.</t>
  </si>
  <si>
    <t>Fehlende Staubfangschürzen und Abdichtelemente.</t>
  </si>
  <si>
    <t>Zwangsbelüftung und Absaugung im Beschickungs- und Ausstoßbereich.</t>
  </si>
  <si>
    <t>Fehlende Belüftung im Beschickungs- und Ausstoßbereich.</t>
  </si>
  <si>
    <t>Zu geringe Luftgeschwindigkeit im Bereich von Öffnungen.</t>
  </si>
  <si>
    <t>Zu Prüfzwecken sollten aufklappbare Fenster, Türen etc. vorhanden sein. Zum Schutz vor Unfällen dürfen sie nur bei stehendem Band geöffnet werden (ggf. elektrisch verriegeln).</t>
  </si>
  <si>
    <t>Fehlende Kontrollfenster, fehlerhafte Verrieglung</t>
  </si>
  <si>
    <t>Die Einhausung sollte so groß wie möglich gestaltet sein, um ein Auffangen von Förderresten und leichtes Reinigen sicher
zu stellen. Sie sollte sich aus mehreren Abschnitten aufbauen, so dass leichter Zugang für Reinigung und Wartung gewährleistet ist.</t>
  </si>
  <si>
    <t>Schwierigkeiten bei Wartung und Reinigen durch zu geringer Größe der Einhausung oder erschwerten Zugang dazu.</t>
  </si>
  <si>
    <t>Falsche Position der Aufgabeeinrichtung</t>
  </si>
  <si>
    <t>Die Aufgabeeinrichtung ist so zu  positionieren, dass das Fördergut die Mitte des Förderbandes ausfüllt und sich in der gleichen Richtung und mit der gleichen Geschwindigkeit wie das Förderband bewegt. Die Aufgabehöhe, d. h. den Abstand zwischen Aufgabeeinrichtung und Förderband, so klein wie möglich halten.</t>
  </si>
  <si>
    <t>Bei brennbaren Fördergütern müssen ggf. Staubexplosions - schutzmaßnahmen ergriffen werden.</t>
  </si>
  <si>
    <t>Brennbare Fördergüter</t>
  </si>
  <si>
    <t>Rückläufiges Förderband</t>
  </si>
  <si>
    <t>Für Schöpfwerke und Förderschnecken sind  ähnliche Vorgehensweisen und Schutzmaßnahmen anzuwenden.</t>
  </si>
  <si>
    <t>.Rückläufiges Förderband sind mit einer Abstreifeinrichtung zu versehen</t>
  </si>
  <si>
    <t>Schöpfwerke und Förderschnecken</t>
  </si>
  <si>
    <t>Arbeitsbereich möglichst nicht in der Nähe von Türen, Fenstern und Durchgängen einrichten, um zu verhindern, dass Zugluft die Funktion der Absaugung beeinträchtigt und sich dadurch Staub ausbreitet.</t>
  </si>
  <si>
    <t>Anlage muss in einem ordnungsgemäßen und funktionsfähigen Betriebszustand gehalten werden . Bedienungsanleitungen sind zu beachten.</t>
  </si>
  <si>
    <t>Mangelhafter Betriebszustand der Anlage</t>
  </si>
  <si>
    <t>Durchführung einer Sichtkontrolle der Anlage muss mindestens einmal pro Woche erfolgen.</t>
  </si>
  <si>
    <t>Mangelnde wöchentliche Sichtkontrolle der Anlage</t>
  </si>
  <si>
    <t>Mangelnde jährliche Überprüfung des Förderbandes</t>
  </si>
  <si>
    <t>Überprüfung des Förderbandes einschl. Absaugung und Vergleich mit Leistungsstandards muss einmal im Jahr erfolgen. Es wird empfohlen, alle Prüfnachweise mindestens fünf Jahre aufzubewahren.</t>
  </si>
  <si>
    <t>Nichtbeachtung der allgemeinen Maßnahmen</t>
  </si>
  <si>
    <t>Alle verwendeten Geräte auf Anzeichen von Beschädigungen,
Abnutzung oder Funktionsmängel kontrollieren. Mängel sofort dem Vorgesetzten mitteilen. Im Zweifelsfall nicht weiterarbeiten!</t>
  </si>
  <si>
    <t>Beschädigungen und Funktionsmängel</t>
  </si>
  <si>
    <t>Es ist sicherzustellen, dass Säcke und Füllanlage aufeinander abgestimmt sind und ordnungsgemäß in Stand gehalten werden.</t>
  </si>
  <si>
    <t>Mangelhafter Zustand der Füllanlage und der Säcke</t>
  </si>
  <si>
    <t>Die Füllvorrichtung ist so weit wie möglich einzuhausen .</t>
  </si>
  <si>
    <t>Mangelhafte Einhausung der Füllvorrichtung</t>
  </si>
  <si>
    <t>Den Bereich des Füllstutzens ist mit einer Absaughaube o. ä. zu umgeben, die eine Luftgeschwindigkeit nach innen von mindestens 1 Meter pro Sekunde haben sollte.</t>
  </si>
  <si>
    <t>Zu geringe Luftgeschwindigkeit im Bereich des Füllstutzen aufgrund fehlender Absaughaube</t>
  </si>
  <si>
    <t>zu geringe Größe der Einhausung</t>
  </si>
  <si>
    <t>Staubbelastung während des Füllvorganges</t>
  </si>
  <si>
    <t>Es ist sicherzustellen, dass die Einhausung so groß ist, dass Säcke vor dem Herausnehmen aus dem System geschlossen werden können.</t>
  </si>
  <si>
    <t>Es muss unter dem Sack eine Auffangeinrichtung für verschüttete Substanzen vorgesehen (Wanne, Grube o. ä.) sein.</t>
  </si>
  <si>
    <t>Die Staubbelastung während des Füllvorganges ist zu überwachen. Es ist sicherzustellen, dass beim Abnehmen der Säcke von der Füllvorrichtung kein Staub entweichen kann. Es müssen Klemmen und Dichtungen angebracht sein , die dafür sorgen, dass die beim Befüllen verdrängte Luft gefahrlos abgeführt werden kann.</t>
  </si>
  <si>
    <t>Für gute Beleuchtung muss gesorgt sein, die für die Gefahrstoffe und die vorgesehenen Arbeiten geeignet ist, d. h. staubdicht und/oder nicht entflammbar, ex-geschützt etc.</t>
  </si>
  <si>
    <t>Mangelhafte Beleuchtung</t>
  </si>
  <si>
    <t>Fehlende Auffangeinrichtung für verschüttete Substanzen</t>
  </si>
  <si>
    <t>Körperliche Arbeit sollen durch Handhabungshilfen möglichst erleichtert werden.</t>
  </si>
  <si>
    <t>Schwere körperliche Arbeit</t>
  </si>
  <si>
    <t>Arbeitsmittel (Geräte, Maschinen, Anlagen) sind in einem ordnungsgemäßen und funktionsfähigen Betriebszustand zu halten. Bedienungsanleitungen sind zu beachten.</t>
  </si>
  <si>
    <t xml:space="preserve"> Mangelhafter Betriebszustand der Arbeitsmittel</t>
  </si>
  <si>
    <t>Es muss eine leichte Möglichkeit zum Überprüfen der Absauganlage geschaffen sein, z. B. durch Manometer oder Volumenstrommessung.</t>
  </si>
  <si>
    <t>Erschwerte Möglichkeit zur Überprüfung der Absaugeanlage</t>
  </si>
  <si>
    <t>Abgesaugte Luft muss an einen sicheren Ort entwichen werden lassen, weg von Türen, Fenstern und Lufteinlässen. Für bestimmte Stoffe sind durch das Bundesimmissionsschutz-Gesetz (BImSchG) Emissionsgrenzen festgelegt, so dass eine Reinigung der Abluft notwendig sein kann. Saubere, gefilterte Luft kann wieder in den Arbeitsraum zurückgeführt werden.</t>
  </si>
  <si>
    <t>Mangelhafte Abführung der angesaugten Luft</t>
  </si>
  <si>
    <t>Es muss eine Sichtkontrolle der Füllanlage auf Anzeichen
von Beschädigungen einmal in der Woche erfolgen.</t>
  </si>
  <si>
    <t>Fehlende wöchentliche Sichtkontrolle der Füllanlage</t>
  </si>
  <si>
    <t>Fehlende jährliche Überprüfung der Füllanlage</t>
  </si>
  <si>
    <t>Überprüfung der Füllanlage und Vergleich mit den Leistungsstandards muss einmal im Jahr erfolgen. Alle Prüfnachweise mindestens fünf Jahre aufbewahren.</t>
  </si>
  <si>
    <t>Säcke und Tüten an einem sicheren Ort aufbewahren und auf sichere Art und Weise entsorgen (siehe Sicherheitsdatenblätter).</t>
  </si>
  <si>
    <t>Mangelhafte Aufbewahrung und Entsorgung von Säcken und Tüten</t>
  </si>
  <si>
    <t>Vor Beginn der Arbeiten ist die Absauganlage einzuschalten und die Funktion zu kontrollieren. Es muss eine ständige Funktionskontrolle der Absauganlage während der Abfüllung durchgeführt werden  (über Manometer oder Volumenstrommessung).</t>
  </si>
  <si>
    <t>Mangelhafte Kontrolle der Absauganlage vor Beginn der Arbeiten und während der Abfüllung</t>
  </si>
  <si>
    <t>Keine Tüten oder andere Abfälle in die Absaugung gelangen lassen.</t>
  </si>
  <si>
    <t>Das Gelangen von ungeeigneten Stoffe, z.B. Abfälle in die Absauganlage</t>
  </si>
  <si>
    <t>Die Beschäftigten müssen angewiesen werden, wie die zur Verfügung gestellte persönliche Schutzausrüstung benutzt, in Ordnung gehalten und sachgemäß gelagert wird.</t>
  </si>
  <si>
    <t>Fehlende Anweisung im Gebrauch von PSA</t>
  </si>
  <si>
    <t>Es ist sicherzustellen, dass Säcke und Sackentleerung aufeinander abgestimmt sind und ordnungsgemäß in Stand gehalten werden.</t>
  </si>
  <si>
    <t>Mangelhafter Zustand der Sackentleerung und der Säcke</t>
  </si>
  <si>
    <t>An der Entleerung eine lokale Absaugung vorsehen und sie so weit wie möglich einhausen</t>
  </si>
  <si>
    <t>Die Luftgeschwindigkeit an der Öffnung der Einhausung sollte mindestens 1,0 m/sec betragen.</t>
  </si>
  <si>
    <t>Die Funktion des Abzugs muss leicht überwacht werden können, durch z. B. durch Manometer oder Volumenstrommessung.</t>
  </si>
  <si>
    <t>Die abgesaugte Luft muss an einen sicheren Ort abgeführt werden, keinesfalls in der Nähe von Türen, Fenstern und Lufteinlässen. Für bestimmte Stoffe sind durch das Bundesimmissionsschutzgesetz (BImSchG) Emissionsgrenzen festgelegt, so dass eine Reinigung der Abluft notwendig sein kann. Saubere, gefilterte Luft kann wieder in den Arbeitsraum zurückgeführt werden.</t>
  </si>
  <si>
    <t>Überprüfung derSackentleerung und Vergleich mit den Leistungsstandards muss einmal im Jahr erfolgen. Alle Prüfnachweise mindestens fünf Jahre aufbewahren.</t>
  </si>
  <si>
    <t>Zu geringe Luftgeschwindigkeit an der Öffnung der Einhausung.</t>
  </si>
  <si>
    <t>Die Öffnung der Einhausung muss so klein wie möglich gehalten werden, - aber groß genug, um sicher zu arbeiten. Es sollten transparente Abdeckungen vorgesehen werden sowie Plastikstreifen, um die Öffnung möglichst klein zu halten.</t>
  </si>
  <si>
    <t>ZU geringe Größe der Einhausung, erschwerte Zugänglichkeit</t>
  </si>
  <si>
    <t>Zu große/ zu kleine Öffnungen</t>
  </si>
  <si>
    <t>Die Einhausung muss ausreichend Platz haben für die Säcke bzw. Tüten. Die Öffnung für die entleerten Säcke/ Tüten muss frei zugänglich sein. Die Säcke/Tüten müssen entleert werden können, ohne dass man mit dem Kopf in die Einhausung muss. Ggf. sollte eine zusätzliche Absaugung an der Entleerstelle angebracht werden.</t>
  </si>
  <si>
    <t>Fehlende jährliche Überprüfung der Anlage</t>
  </si>
  <si>
    <t>Überprüfung der Absaugung und Vergleich mit den Leistungsstandards muss einmal im Jahr erfolgen. Alle Prüfnachweise mindestens fünf Jahre aufbewahren.</t>
  </si>
  <si>
    <t>Es muss eine Sichtkontrolle der Anlage auf Anzeichen
von Beschädigungen einmal in der Woche erfolgen.</t>
  </si>
  <si>
    <t>Fehlende wöchentliche Sichtkontrolle der Anlage</t>
  </si>
  <si>
    <t>Verschmutzung der  Anlage und des Arbeitsbereiches</t>
  </si>
  <si>
    <t>Abfüllanlage und den Arbeitsbereich sind regelmäßig zu reinigen. Verschüttete Substanzen müssen sofort beseitigt werden.Säcke und Hobocks an einem sicheren Ort aufbewahrt und nach Entleerung ggf. auf sichere Art und Weise entsorgt werden. (siehe Sicherheitsdatenblätter).</t>
  </si>
  <si>
    <t>Säcke und Hobocks sind an einem sicheren Ort aufzubewahren  und nach Entleerung ggf. auf sichere Art und Weise zu entsorgen. (siehe Sicherheitsdatenblätter).</t>
  </si>
  <si>
    <t>Mangelhafte Lagerunf und Entsorgen von Säcken und Hobocks</t>
  </si>
  <si>
    <t>Der Kippmechanismus muss gut steuerbar sein, um ein kontrolliertes Entleeren zu ermöglichen.</t>
  </si>
  <si>
    <t>Geeignete Hilfsgeräte zum Heben und Kippen vorsehen, um das Heben von Lasten zu erleichtern. Die Geräte müssen für die Aufgabe geeignet, insbesondere der Größe der Gebinde angepasst sein.</t>
  </si>
  <si>
    <t>Schwere Körperliche Arbeit, Heben, Kippen</t>
  </si>
  <si>
    <t>Am Arbeitsplatz dürfen nur die für die tägliche Arbeit/täglichen Produktionsgang erforderliche Menge an Gefahrstoffen bereitgestellt werden.</t>
  </si>
  <si>
    <t>Unangemessene Menge an Gefahrstoffen am Arbeitsplatz</t>
  </si>
  <si>
    <t>Unkontrolliertes Entleeren</t>
  </si>
  <si>
    <t>An der Einfüllöffnung eine Absaugung o. ä. vorsehen, die eine Luftgeschwindigkeit nach innen von mindestens 1 Meter pro Sekunde haben sollte. Der Kessel selber sollte ebenfalls an eine Absaugung angeschlossen sein.</t>
  </si>
  <si>
    <t>Brennbare Stoffe</t>
  </si>
  <si>
    <t>Bei brennbaren Stoffen ist die Notwendigkeit von Explosionsschutzmaßnahmen zu prüfen (Erdung, Druckentlastung).</t>
  </si>
  <si>
    <t>Leistungsdaten zu den eingesetzten Arbeitsmitteln und Informationen zur regelmäßigen Überprüfung  müssen vom Lieferanten  beschafft werden. Falls diese nicht vorliegen muss ein Fachmann (ggf. befähigte Person) herangezogen werden.</t>
  </si>
  <si>
    <t>Überprüfung der Anlage und Vergleich mit den Leistungsstandards muss einmal im Jahr erfolgen. Alle Prüfnachweise mindestens fünf Jahre aufbewahren.</t>
  </si>
  <si>
    <t>Es muss eine regelmäßige Überprüfung der Füllstandsanzeigen und Überfüllsicherung etc. (Häufigkeit je nach Gefährdung festlegen) erfolgen.</t>
  </si>
  <si>
    <t>Während der Befüllung ist die verdrängte Luft an einen sicheren Ort abzuleiten.</t>
  </si>
  <si>
    <t>Mangelhafte Ableitung verdrängter Luft beim Befüllen</t>
  </si>
  <si>
    <t>Explosionsschutzmaßnahmen für brennbare Feststoffe sind zu berücksichtigen, für geeignete Erdung der Anlage ist  zu sorgen.</t>
  </si>
  <si>
    <t>Gefahr durch brennabre Feststoffe, Expolsionsgefahr</t>
  </si>
  <si>
    <t>Überfüllung</t>
  </si>
  <si>
    <t>Es sind geeignete Maßnahmen gegen Überfüllungen zu ergreifen, 
z. B. durch Füllstandsmessungen und ggf. zusätzliche Überfüllsicherungen.</t>
  </si>
  <si>
    <t>Fehlende Kontrolle der Füllstandsanzeigen</t>
  </si>
  <si>
    <t>Es ist eine Einrichtung zur Regelung der Füllrate vorzuhalten, z. B. durch Einsatz eines Drehschieber- oder Kugelventils.</t>
  </si>
  <si>
    <t>Mangelnde Regelug der Füllrate</t>
  </si>
  <si>
    <t>Die abgesaugte Luft muss an einen sicheren Ort abgeführt werden, keinesfalls in der Nähe von Türen, Fenstern und Lufteinlässen. Für bestimmte Stoffe sind durch das Bundesimmissionsschutzgesetz (BImSchG) Emissionsgrenzen festgelegt, so dass eine Reinigung der Abluft notwendig sein kann. Bei Staub kann saubere gefilterte Luft wieder in den Arbeitsbereich zurückgeführt werden. Bei Dämpfen ist eine Rückzirkulation der Luft in der Regel nicht zu empfehlen.</t>
  </si>
  <si>
    <t>Die Öffnungen am Container sind mit Dichtungen zu versehen.</t>
  </si>
  <si>
    <t>Die Abzugsleitungen sollen möglichst kurz und gerade sein. Lange Abschnitte mit flexiblen Leitungen sind zu vermeiden. Für Dichtigkeit der Verbindungen ist zu sorgen.</t>
  </si>
  <si>
    <t>Fehlerhafte Dichtungen</t>
  </si>
  <si>
    <t>Es ist sicherzustellen, dass der Container für das Füllgut geeignet ist.</t>
  </si>
  <si>
    <t>Ungeeignete Container</t>
  </si>
  <si>
    <t>Für Stapler ist  ein guter Zugang zu schaffen, Staplerbereich sind abzutrennen und zu  kennzeichnen.</t>
  </si>
  <si>
    <t>Erschwerter Zugang für Stapler, fehlender Kennzeichnungsbereich</t>
  </si>
  <si>
    <t>Zugang des Arbeitsbereiches ist nur für Befugte zulässig.</t>
  </si>
  <si>
    <t>Zugang des Arbeitsbereiches durch unbefugte Personen</t>
  </si>
  <si>
    <t>Es muss eine Sichtkontrolle der Abluftanlage auf Anzeichen
von Beschädigungen einmal in der Woche erfolgen.</t>
  </si>
  <si>
    <t xml:space="preserve">Mangelhafte Absaugung, zu geringer Luftstrom </t>
  </si>
  <si>
    <t>Es sind möglichst Handhabungshilfen zur Verfügung zu stellen,
um körperliche Arbeit zu erleichtern.</t>
  </si>
  <si>
    <t>Die Kontrollinstrumente (z. B. Druck-, Gewichts-, Volumen- oder Füllstandmessung) müssen leicht ablesbar sein.</t>
  </si>
  <si>
    <t>Schwere Ablesbarkeit der Kontrollinstrumente</t>
  </si>
  <si>
    <t>Arbeitsbereiche sollen möglichst nicht im Bereich von Türen, Fenstern und Durchgängen anordnet sein.</t>
  </si>
  <si>
    <t>Entzündliche Flüssigkeiten</t>
  </si>
  <si>
    <t>Gewichts,- Volumen- oder Füllstandsmessung verwenden, um ein Überfüllen zu verhindern. Ggf. selbstschließendes Zapfventil verwenden.</t>
  </si>
  <si>
    <t>Schlechte Absaugung aufgrund zu großem Abstand der zu befüllenden Fässer zur Absaugung</t>
  </si>
  <si>
    <t>Die Füllleitung sollte so lang sein, dass sie während des Befüllens eintaucht. Trichter bzw. Schutzvorrichtungen usw. verwenden, um Verspritzen zu vermeiden.</t>
  </si>
  <si>
    <t>Verspritzungen beim Befüllen</t>
  </si>
  <si>
    <t>Die Luftgeschwindigkeit quer über den Fassdeckel zur Absaugung sollte mindestens 0,5 Meter pro Sekunde betragen.</t>
  </si>
  <si>
    <t>Zu geringe Luftgeschwindigkeit der Absaugung</t>
  </si>
  <si>
    <t>Verschüttete Substanzen</t>
  </si>
  <si>
    <t>Fässer dürfen nur in einem eigens dafür vorgesehenen Bereich befüllt werden, wo verschüttete Substanzen zurückgehalten werden können.</t>
  </si>
  <si>
    <t>Ansaugöffnung der Absaugung müssen so nah wie möglich an die Oberseite des Fasses führen. Es ist dafür zu sorgen, dass die Fässer problemlos möglichst dicht an der Öffnung der Absaugung aufgestellt werden können. Dafür Führungen vorsehen, die auf die unterschiedlichen Fassgrößen einstellbar sind.</t>
  </si>
  <si>
    <t>Bei leicht entzündlichen Flüssigkeiten müssen geeignete Pumpen und Absaugventilatoren sowie entsprechend geerdete Geräte verwendet werden, damit Zündgefahren durch elektrostatische Aufladungen verhindert werden.</t>
  </si>
  <si>
    <t>Fehlende wöchentliche Sichtkontrolle der Abluftanlage</t>
  </si>
  <si>
    <t>Fehlende monatliche  Sichtkontrolle der Anlage</t>
  </si>
  <si>
    <t>Es muss eine Sichtkontrolle der Anlage auf Anzeichen
von Beschädigungen einmal im Monat erfolgen.</t>
  </si>
  <si>
    <t>Beim Auftreten von Dämpfen ist eine Abluftrückführung in der Regel nicht zu empfehlen.</t>
  </si>
  <si>
    <t>Die aus dem Kessel verdrängte Abluft muss an einen sicheren Ort abgeführt werden, keinesfalls in die Nähe von Türen, Fenstern und Lufteinlässen.</t>
  </si>
  <si>
    <t>Fehlerhafte Abführung der verdrängten Abluft.</t>
  </si>
  <si>
    <t>Die Tauchleitung darf nach dem Herausnehmen aus dem Fass nicht berührt werden.</t>
  </si>
  <si>
    <t>Pumpe und Tauchleitung ist so zu transportieren und zu lagern, dass der Kontakt mit der Flüssigkeit so gering wie möglich gehalten, nachlaufende Flüssigkeiten sicher aufgefangen werden und Kontamination vermieden wird.</t>
  </si>
  <si>
    <t>Kontaminierung mit gefährlicher Flüssigkeit beim Transportieren und Lagern von Pumpe und Tauchleitung</t>
  </si>
  <si>
    <t>Kontaminierung mit gefährlicher Flüssigkeit beim Herausnehmen der Tauchleitung</t>
  </si>
  <si>
    <t>Ex Gefahr bei leicht entzündlichen Flüssigkeiten</t>
  </si>
  <si>
    <t>Bei leicht entzündlichen Flüssigkeiten sind Exschutzmaßnahmen  zu prüfen (Verwendung exgeschützter Pumpen und Absaugventilatoren, Erdung von Leitung und Fass, Druckentlastung, Benutzung leitfähiger Schuhe).</t>
  </si>
  <si>
    <t>Es ist sicherzustellen, dass die Pumpe für die Flüssigkeit geeignet ist (Beständigkeit, ggf. Exschutz).</t>
  </si>
  <si>
    <t>Uneignung der Pumpe in Bezug auf die Flüssigkeiten</t>
  </si>
  <si>
    <t>Es muss geeignetes Werkzeug für das Abnehmen und Wiederanbringen des Fassdeckels vorgehalten sein.</t>
  </si>
  <si>
    <t>Ungeeignetes Werkzeug</t>
  </si>
  <si>
    <t>Es is für eine gute Belüftung des Arbeitsbereichs zu sorgen.</t>
  </si>
  <si>
    <t>Mangelnde Belüftung des Arbeitsbereiches</t>
  </si>
  <si>
    <t>Bei der Planung des Arbeitsbereichs und der Anlage muss auf einfache und sichere Instandhaltungsmöglichkeiten geachtet werden.</t>
  </si>
  <si>
    <t xml:space="preserve">Erschwerte Instandhaltungsmöglichkeiten durch  fehlerhafte Planung und Gestaltung des Arbeitsbereiches  </t>
  </si>
  <si>
    <t>Arbeitsbereiche  im Bereich von Türen, Fenstern und Durchgängen vermeiden.</t>
  </si>
  <si>
    <t>Arbeitsbereiche sollen möglichst nicht im Bereich von Türen, Fenstern und Durchgängen anordnet sein, da so verhindert wird, dass sich Zugluft mit Luftströmen aus der Belüftung vermischt.</t>
  </si>
  <si>
    <t>Es sind leicht durchführbare Möglichkeiten zur Überwachung der Absaugung zu schaffen (z. B. Druckanzeigegerät, Volumenstrommessung).</t>
  </si>
  <si>
    <t>Die Wiegestation ist so weit wie möglich umschlossen zu halten.</t>
  </si>
  <si>
    <t>Es ist sicherzustellen, dass der Abzugsbereich tief genug ist, um alle Geräte und Materialien aufzunehmen.</t>
  </si>
  <si>
    <t>Es ist sicherzustellen, dass der Öffnungsbereich so klein wie möglich gehalten wird – jedoch groß genug, um sicher arbeiten zu können. Verwendung von durchsichtigen Wänden und Plastikbahnen, um den Öffnungs -bereich so klein wie möglich zu halten.</t>
  </si>
  <si>
    <t>Die Eignung der Waage und verwendeter Geräte einschließlich Beleuchtung muss sichergestellt werden (beständig gegen
Chemikalien, staubdicht, Verwendung nicht entflammbarer Materialien).</t>
  </si>
  <si>
    <t>Bei brennbaren Feststoffen sind Explosionsschutzmaßnahmen zu prüfen (Erdung).</t>
  </si>
  <si>
    <t>Beim Einwiegen von Feststoffen ist Staubentwicklung zu vermeiden.</t>
  </si>
  <si>
    <t>Kleine Mengen an Feststoffen sind auf einer in einem Abzug befindlichen Waage abzuwiegen.</t>
  </si>
  <si>
    <t>Die Verwendung von tiefen Fässern oder Fässern mit über 25 Kilogramm Füllvermögen ist zu vermeiden.</t>
  </si>
  <si>
    <t>Handhabungs- und Hebehilfen sind zu verwenden.</t>
  </si>
  <si>
    <t>Es ist sicherzustellen, dass der Arbeitsraum mit einer Luftzufuhr versehen ist, damit die abgesaugte Luft ersetzt wird.</t>
  </si>
  <si>
    <t>Wenn bei giftigen Gefahrstoffen ein geschlossenes System nach Schutzstufe 3 technisch nicht möglich ist, muss besondere Vorsicht, Sauberkeit und Umsicht eingehalten werden!</t>
  </si>
  <si>
    <t>Giftige Gefahrstoffe bei fehlendem geschlossenem System</t>
  </si>
  <si>
    <t>Fehlende Überwachungsmöglichkeiten</t>
  </si>
  <si>
    <t>Unzureichende Belüftung des Arbeitsbereiches</t>
  </si>
  <si>
    <t>Schweres Heben</t>
  </si>
  <si>
    <t>Verwendung zu großer /schwerer Fässer</t>
  </si>
  <si>
    <t>Staubentwicklung beim Wiegen von Kleinmengen</t>
  </si>
  <si>
    <t>Staubentwicklung</t>
  </si>
  <si>
    <t>Explosionsgefahr</t>
  </si>
  <si>
    <t>Mangelnde Eignung der Waage und verwendeter Geräte</t>
  </si>
  <si>
    <t>Belastung mit Staub/Dämpfen durch zu große Öffnungen des Abzugsbereiches</t>
  </si>
  <si>
    <t>Mangelnde Tiefe des Abzugbereiches</t>
  </si>
  <si>
    <t>Belastung der Luft aufgrund fehlender Behausung der Wiegestation</t>
  </si>
  <si>
    <t>Zu geringe Luftgeschwindigkeit der Absaugung bei proffesionellen und selbstgebauten Geräten.</t>
  </si>
  <si>
    <t>Der in die Absaugkabine fließende allgemeine Luftstrom sowie der Luftstrom am Erfassungselement sollten die vom Hersteller angegebenen Luftgeschwindigkeiten aufweisen.
Im Fall von selbstgebauten Geräten soll die allgemeine Luftgeschwindigkeit in den Abzugsbereich hinein mindestens 0,5 m/s betragen. Die Luftgeschwindigkeit am Erfassungselement soll mindestens 1 m/s erreichen. Zur Überprüfung der Wirksamkeit des Abzuges wird die Einschaltung einer Laborfachfirma empfohlen.</t>
  </si>
  <si>
    <t>Es muss eine Sichtkontrolle des Rührwerks und der Absaugung auf Anzeichen von Beschädigungen einmal in der Woche erfolgen.</t>
  </si>
  <si>
    <t>Fehlende jährliche Überprüfung der Absaugung</t>
  </si>
  <si>
    <t>Bei brennbaren Feststoffen sind Explosionsschutzmaßnahmen zu prüfen (Erdung Druckentlastung).</t>
  </si>
  <si>
    <t>Am Arbeitsplatz nur die für die tägliche Arbeit/täglichen Produktionsgang erforderliche Menge an Gefahrstoffen bereitstellen.</t>
  </si>
  <si>
    <t>Wenn möglich, kein offenes, sondern Rührwerk mit Deckel verwenden. Die Rührerwelle durch eine Verkleidung schützen und den Deckel und andere Zugangsstellen gut abdichten.</t>
  </si>
  <si>
    <t>Es ist sicherzustellen, dass die Absaugung so nahe wie möglich an der Staubquelle liegt und die abgesaugte Luft vom Gesicht des Beschäftigten wegströmt, wenn möglich die Absaugung in den Deckel integrieren. .</t>
  </si>
  <si>
    <t>Es sind leicht durchführbare Möglichkeiten zur Überprüfung der Funktionsfähigkeit der Abluftanlage zu schaffen (z. B. Druckanzeige -gerät, Volumenstrommessung)</t>
  </si>
  <si>
    <t>Erschwerte Möglichkeiten zur Funktionsüberprüfung der Abluftanlage</t>
  </si>
  <si>
    <t>Die Luftgeschwindigkeit entlang der gesamten Oberseite des Rührwerkes in Richtung Absaugung sollte mindestens 1 Meter pro Sekunde betragen. Es könnte erforderlich sein, dass die Luftgeschwindigkeit während der Zugabe von Feststoffen auf das 2 bis 3fache erhöht werden muss.</t>
  </si>
  <si>
    <t>Staubbelastung durch zu großem Abstand des Beschäftigten zur Absaugung</t>
  </si>
  <si>
    <t>Zu geringe Luftgeschwindikeit der Absaugung</t>
  </si>
  <si>
    <t>Unverhältnismäßige Menge an Gefahrstoffen am Arbeitsplatz</t>
  </si>
  <si>
    <t>Staubentwicklung beim Rührvorgang</t>
  </si>
  <si>
    <t>Die abgesaugte Luft muss an einen sicheren Ort abgeführt werden, keinesfalls in die Nähe von Türen, Fenstern und Lufteinlässen. Für
bestimmte Stoffe sind durch das Bundes Immissionsschutzgesetz (BImSchG) Emissionsgrenzen festgelegt, so dass eine Reinigung der Abluft notwendig sein kann.</t>
  </si>
  <si>
    <t>Fehlende Möglichkeiten zur Überprüfung der Absaugung</t>
  </si>
  <si>
    <t>Der in die Lackierkabine gerichtete Luftstrom sollte eine Luftgeschwindigkeit von mindestens 1 m/s aufweisen.</t>
  </si>
  <si>
    <t>Der Zugang des Arbeitsbereiches darf nur für Befugte erfolgen.</t>
  </si>
  <si>
    <t>Die Lackierkabine muss ausreichend lang gestaltet sein, um überschüssiges Pulver binden zu können.</t>
  </si>
  <si>
    <t>Mangelnde Länge der Lackierkabine</t>
  </si>
  <si>
    <t>Offene Bereiche sind so klein wie möglich zu halten, aber groß genug um genügend Raum für sicheres Arbeiten zu gewährleisten.</t>
  </si>
  <si>
    <t>Mangelhafte Behausung</t>
  </si>
  <si>
    <t>Der Einsatz von Luftvorhängen am Ein- und Ausgang der Lackierkabine ist zu erwägen.</t>
  </si>
  <si>
    <t xml:space="preserve">Mangelhafte Auskleidung der Lackierkabine  </t>
  </si>
  <si>
    <t>Fehlende Einrichtungen zum Aufnehmen überschüssigen Pulvers</t>
  </si>
  <si>
    <t>Es müssen Einrichtungen bereitgestellt werden, die
überschüssiges Pulver aufnehmen und recyceln.</t>
  </si>
  <si>
    <t xml:space="preserve">Die Lackierkabine muss von innen mit glatten und dichten Oberflächen versehen sein. </t>
  </si>
  <si>
    <t>Belastung der Luft aufgrund fehlender Luftvorhänge</t>
  </si>
  <si>
    <t>Für eine gute Beleuchtung ist zu sorgen. Sie muss für Stoffe und Tätigkeiten geeignet sein, z. B. staubdicht und schwer entflammbar.</t>
  </si>
  <si>
    <t>Unzureichende Beleuchtung</t>
  </si>
  <si>
    <t>Explosionsschutzmaßnahmen für brennbare Feststoffe sind zu berücksichtigen, für geeignete Erdung der Anlage ist zu sorgen.</t>
  </si>
  <si>
    <t>Explositionsgefahr</t>
  </si>
  <si>
    <t>Mangelhafte Erdung des Lackiergutes</t>
  </si>
  <si>
    <t>Zu geringer Luftstrom in der Lackierkabine</t>
  </si>
  <si>
    <t>Es ist die sachgerechte Erdung des Lackierguts sicherzustellen, um maximale Pulveranziehung und minimalen Pulverüberschuss zu gewährleisten.</t>
  </si>
  <si>
    <t>Wenn möglich, sollten Anlagen mit Entnahme direkt aus dem Pulverkarton verwendet werden.</t>
  </si>
  <si>
    <t>Belastung der Luft bei der Entnahme</t>
  </si>
  <si>
    <t>Übermäßiger Pulverstrom</t>
  </si>
  <si>
    <t>Der Pulverstrom muss mittels Dosiereinrichtungen angepasst werden, um überschüssigen Pulverausstoß zu minimieren.</t>
  </si>
  <si>
    <t>Es ist sicherzustellen, dass Lackierer unterwiesen sind und unsachgemäßes Arbeiten wie das Hineinlehnen in die Lackierkabine
während des Sprühvorganges vermieden wird.</t>
  </si>
  <si>
    <t>Es sind vom Lieferanten Leistungsdaten zu der eingesetzten Anlage und Informationen zur regelmäßigen Überprüfung zu beschaffen, falls diese nicht vorliegen. Ansonsten muss ein Fachmann (ggf. befähigte Person) herangezogen werden.</t>
  </si>
  <si>
    <t xml:space="preserve">Fehlende Leistungsdaten zu der eingesetzten Anlage </t>
  </si>
  <si>
    <t>Nicht ordnungsgemäßer oder mangelhafter Betriebszustand der Anlage</t>
  </si>
  <si>
    <t>Die Anlage muss in einem ordnungsgemäßen und funktionsfähigen Betriebszustand gehalten und Bedienungsanleitungen beachtet werden.</t>
  </si>
  <si>
    <t>Fehlende jährliche Überprüfung der Anlage einschl. Absaugung</t>
  </si>
  <si>
    <t>Überprüfung der Anlage einschl. Absaugung und Vergleich mit den Leistungsstandards muss einmal im Jahr erfolgen. Alle Prüfnachweise mindestens fünf Jahre aufbewahren.</t>
  </si>
  <si>
    <t>Es muss eine Sichtkontrolle der Anlage auf Anzeichen von Beschädigungen einmal in der Woche erfolgen.</t>
  </si>
  <si>
    <t>Es darf keine Luftrückführung von Dämpfen in den Arbeitsraum erfolgen</t>
  </si>
  <si>
    <t>Rückführung von Dämpfen</t>
  </si>
  <si>
    <t>Beeinträchtigung der Wirksamkeit der Absaugung durch zu lange oder mit flexiblen Leitungen ausgestatteter Abschnitte der Absaugleitungen</t>
  </si>
  <si>
    <t>Entstehung von Dämpfen</t>
  </si>
  <si>
    <t>Flexible Absaugungen müssen so nah wie möglich an der Entstehungsstelle von Dämpfen platziert werden. Es ist sicherzu - stellen, dass genügend flexible Absaugungen für den gesamten Arbeitsbereich zur Verfügung stehen.</t>
  </si>
  <si>
    <t>Es ist sicherzustellen, dass der Arbeitsraum mit einer Luftzufuhr versehen ist, damit die abgesaugte Luft ersetzt wird. Die Zuluft sollte über einen Verteilerkanal mit Diffusoren zugeführt werden.</t>
  </si>
  <si>
    <t>Der einströmende Luftstrom sollte niedrig sein (ca. 0,5 m/s), um Verwirbelungen zu vermeiden, der Luftstrom im Bereich des Bedieners sollte mindestens ca. 0,5 m/s betragen.</t>
  </si>
  <si>
    <t>Zu hoher/ zu nieriger Luftstrom</t>
  </si>
  <si>
    <t>Die Auflagefläche ist  so zu positionieren, dass die Zuluft entlang der Prägeform und vom Körper des Bedieners wegströmt.</t>
  </si>
  <si>
    <t>Fehlerhafte Positionierung der Auflagefläche</t>
  </si>
  <si>
    <t>Überprüfung des Trockenschranks einschl. Absaugung und Vergleich mit den Leistungsstandards muss einmal im Jahr erfolgen. Alle Prüfnachweise mindestens fünf Jahre aufbewahren.</t>
  </si>
  <si>
    <t>Fehlende jährliche Überprüfung des Trockenschranks einschl. Absaugung</t>
  </si>
  <si>
    <t>Die Trockenschranktüren sollten stabil ausgeführt sein und sicher schließen.</t>
  </si>
  <si>
    <t>Explosionsschutzmaßnahmen beim Einsatz brennbarer Flüssigkeiten und Stäube sind zu berücksichtigen. Bei brennbaren Flüssigkeiten muss die Absaugung so stark sein, dass die Konzentration in keinem Fall 25% der unteren Explosionsgrenze überschreitet. Zur Explosionsgrenze vgl. das Sicherheitsdatenblatt. Bei brennbaren Stäuben mit einer Korngröße von kleiner als 500 μm ist der Innenraum des Trockenschrankes in die Explosionsschutzzone 22 gemäß Betriebssicherheitsverordnung einzustufen und entsprechende Explosionsschutzmaßnahmen zu treffen.</t>
  </si>
  <si>
    <t>Die Absaugung des Trockenschranks sollte so stark sein, dass ständig ein Unterdruck im Trockenraum gewährleistet wird.</t>
  </si>
  <si>
    <t>Zu geringe Absaugung des Trockenschrankes</t>
  </si>
  <si>
    <t>Während des Trockenvorganges entstehende Dämpfe sollten mittels Absaugung aus dem Beschickungsbereich des Trockenschranks abgezogen werden.</t>
  </si>
  <si>
    <t>Entstehen von Dämpfen</t>
  </si>
  <si>
    <t>Mangelhafte Schließung der Trockenschranktüren</t>
  </si>
  <si>
    <t>Die Vorrichtung zum Entleeren der Trockenbleche (siehe Abb.) sollte mit einer Absaugung versehen sein. Der einwärts gerichtete Luftstrom im Beschickungsbereich sollte mindestens 1 m/s betragen.</t>
  </si>
  <si>
    <t>Ungenügende Absaugung</t>
  </si>
  <si>
    <t>Es sind Hilfsmittel zur Beschickung und Entleerung des Trockenschranks bereitzustellen.</t>
  </si>
  <si>
    <t>Fehlende Hilfsmittel zur Beschickung oder Entleerung des Trockenschrankes.</t>
  </si>
  <si>
    <t>Es ist eine gute Infrastruktur zur Brandbekämpfung gegeben
Es gibt ausreichend Umfahrungsmöglichkeiten um die Gebäude.
Der Abstand der Objekte zueinander und zu Nachbargebäuden ist ausreichend.
Besondere Standortmerkmale wurden berücksichtigt (z. B. Wohngebiet, Naturschutzgebiet).</t>
  </si>
  <si>
    <t>Auslegungsmerkmale von Anlagen wurden angepasst (möglichst Normaldruck und -temperatur).</t>
  </si>
  <si>
    <t>Für die Koordinierung und Einhaltung der Brandschutzmaßnahmen wurde ein Brandschutzbeauftragter bestellt.</t>
  </si>
  <si>
    <t>Es ist sichergestellt, dass Brandschutzeinrichtungen im Brandfall und bei Stromausfall betriebsbereit bleiben.</t>
  </si>
  <si>
    <t>Zu ergreifende Maßnahmen, Verhalten und Zuständigkeiten sind in einem Gefahrenabwehr/ Notfall-/
Katastrophenschutzplan geregelt.</t>
  </si>
  <si>
    <t>Der Zugang für Rettungskräfte ist jeder Zeit gewährleistet (z. B. Feuerwehrschlüsselkasten).</t>
  </si>
  <si>
    <t>Es werden täglich Kontrollgänge durchgeführt (vorwiegend nachts, wenn weniger Beschäftigte vor Ort sind).</t>
  </si>
  <si>
    <t>Es erfolgt eine Verpflichtung auf betriebliche Vorschriften der Fremdfirmen.</t>
  </si>
  <si>
    <t>Zur Vorbeugung von Brandstiftung werden folgende Maßnahmen ergriffen:
Zugangskontrolle aufs Werksgelände ,
Einbruchsicherung (z. B. Beleuchtung, Zaunanlage mit Übersteigschutz, Videoüberwachung,
Einbruchmeldeanlage),
Vermeidung von Gefahrstofflagerung im Freien/an Gebäuden.</t>
  </si>
  <si>
    <t>Angehörige der Betriebs-/Werkfeuerwehr werden regelmäßig in der Brandbekämpfung aus- und fortgebildet.</t>
  </si>
  <si>
    <t>Für den Fall der Brandbekämpfung sind persönliche Schutzausrüstungen bereitgestellt.</t>
  </si>
  <si>
    <t>Soweit erforderlich, sind spezielle Hilfsmittel wie z. B. Gelenkmast, Langzeitatemschutz oder Fluchthauben
bereitgestellt.</t>
  </si>
  <si>
    <t>Brandschutzhelfer werden mindestens einmal jährlich im Umgang mit Feuerlöschern unterwiesen.</t>
  </si>
  <si>
    <t>Liegt eine CO2-Löschanlage vor, werden alle Mitarbeiter zu den Risiken unterwiesen und die Räumung der Bereiche
mindestens jährlich geübt.</t>
  </si>
  <si>
    <t>Bauliche und Technische Anforderungen
Zusätzlich zu regelmäßigen Unterweisungen wurden technische Maßnahmen gegen Fehlbedienung von Anlagen und
Schutzeinrichtungen getroffen.</t>
  </si>
  <si>
    <t>Die Standfestigkeit der Brandabschnitte wurde entsprechend der Gefährdung erhöht durch:
Komplextrennungen,
kleinere Brandabschnitte,
feuer- und explosionsfeste Bauweise,
Schnellschlusseinrichtungen,
Verringerung der Bauhöhe,
Einrichtung von Schutzwällen oder Bunkern.</t>
  </si>
  <si>
    <t>Rauch- und Wärmeabzugsanlagen sind ausreichend dimensioniert und sichern die Zugänglichkeit von Flucht- und
Rettungswegen sowie die Standfestigkeit der Gebäude.</t>
  </si>
  <si>
    <t>Die Feuerwiderstandsfähigkeit der Kabelkanäle, Lüftungs- und Müllabwurfschächte entspricht den umliegenden
Brandschutzanforderungen.</t>
  </si>
  <si>
    <t>Der gewählte Dachaufbau führt zu keinen zusätzlichen Gefährdungen im Brandfall.</t>
  </si>
  <si>
    <t>Löschwasser- und Stoffauffangsysteme sowie Drainagen sind ausreichend dimensioniert und führen in einen sicheren
Bereich.</t>
  </si>
  <si>
    <t>Der Eintrag von Zündquellen in das Innere von Anlagen wird durch technische Maßnahmen verhindert.</t>
  </si>
  <si>
    <t>Die Brandentdeckung und –meldung ist flächendeckend oder objektbezogen durch eine BMA gewährleistet.</t>
  </si>
  <si>
    <t>In Abhängigkeit der betrieblichen Gegebenheiten wurden adäquate Melder ausgewählt (Wärme-, Flammen- bzw.
Rauchmelder).</t>
  </si>
  <si>
    <t>Technische Einrichtungen verfügen über Störungsmeldeanlagen, Gaswarnanlagen, Leckagedetektion oder
doppelwandige Systeme.</t>
  </si>
  <si>
    <t>Es besteht eine öffentliche Löschwasserversorgung gemäß Arbeitsblatt DVGW W 405.</t>
  </si>
  <si>
    <t>Für den Fall, dass die öffentliche Löschwasserversorgung nicht ausreicht, liegt eine betriebliche
Löschwasserversorgung z. B. durch Löschteich/-tanks vor. Es wurden auch Brandlasten, Abfälle und andere gelagerte
Stoffe in benachbarten Tätigkeitsbereichen mit berücksichtigt.</t>
  </si>
  <si>
    <t>Eine unverzügliche Brandlöschung ist sichergestellt z. B. durch Sonder-/Objektlöschanlagen, Berieselungsanlagen,
Betriebs-/Werkfeuerwehr oder hohe Qualität der öffentlichen Feuerwehr.</t>
  </si>
  <si>
    <t>Eine schnelle Wasserversorgung wird sichergestellt durch Hydrantenanlage, Steigleitungen oder Wandhydranten.</t>
  </si>
  <si>
    <t>Explosionsgefährdungen werden durch Inertisierung, Explosionsdruckentlastungseinrichtungen,
Explosionsunterdrückungssysteme oder Entkopplungssystemen verringert.</t>
  </si>
  <si>
    <t>Bei baulichen Änderungen wird sichergestellt, dass beschädigte Brandschutzisolierungen repariert werden.</t>
  </si>
  <si>
    <t>Einrichtungen zum Brandschutz werden regelmäßig nach Herstellerangaben geprüft.</t>
  </si>
  <si>
    <t>Es erfolgt eine regelmäßige Revision der elektrischen Licht-, Feuerungs- und Kraftanlagen.</t>
  </si>
  <si>
    <t>Löschanlagen, vor allem CO2-Löschanlagen, werden von befähigten Personen jährlich geprüft.</t>
  </si>
  <si>
    <t>Gefahrstoffverordnung
Betriebssicherheitsverordnung
TRGS 510 Lagerung von Gefahrstoffen in ortsbeweglichen Behältern
TRGS 800 Brandschutzmaßnahmen
TRBS 1203 Befähigte Personen
ASR A2.3 Fluchtwege, Notausgänge, Flucht- und Rettungsplan
DIN 14096-1, - 2, -3 Brandschutzordnung Teil 1 bis 3
BGR 134 Regeln für Sicherheit und Gesundheitsschutz bei der Arbeit Einsatz von Feuerlöschanlagen mit
sauerstoffverdrängenden Gasen
BGI 560 Arbeitssicherheit durch vorbeugenden Brandschutz
BGI 847 Qualifikation und Ausbildung von Brandschutzbeauftragten
Musterbauordnung
Industriebau-Richtlinie</t>
  </si>
  <si>
    <t>Informationsquellen</t>
  </si>
  <si>
    <t>Der Arbeitsbereich darf nur den dort Beschäftigten zugänglich sein.</t>
  </si>
  <si>
    <t>Die Verbindungsschläuche für das Füllen sollen die passende Länge aufweisen.</t>
  </si>
  <si>
    <t>Bei brennbaren Flüssigkeiten sicherstellen, dass geeignete Pumpen und Lüfter eingesetzt werden und
Explosionsschutzmaßnahmen berücksichtigen, u. a. Anlage immer sachgerecht erden.</t>
  </si>
  <si>
    <t>Der zu befüllende Behälter/Lagertank sollte über ein Füllrohr, eine Füllstandsmesseinrichtung und eine
Entlüftung verfügen.</t>
  </si>
  <si>
    <t>Zur Überwachung des Füllstandes sollten Messeinrichtungen vorhanden sein, deren Funktionsfähigkeit
leicht zu überpüfen ist.</t>
  </si>
  <si>
    <t>Die Überfüllsicherung sollte das Füllventil automatisch schließen oder die Befüllpumpe abschalten.</t>
  </si>
  <si>
    <t> Füllschläuche sollten eine geeignete Länge aufweisen.</t>
  </si>
  <si>
    <t> Fest zugeordnete Verbindungseinrichtungen benutzen, vorzugsweise Trockenkupplungen.</t>
  </si>
  <si>
    <t> An allen Verbindungsstellen auf geeignete Dichtungen achten.</t>
  </si>
  <si>
    <t> Sicherstellen, dass sich Verbindungsstellen innerhalb der Auffangwanne befinden, auf Leckagen achten.</t>
  </si>
  <si>
    <t>Bodenseitig befüllen, alternativ sicherstellen, dass das Füllrohr bei Befüllung in das Füllgut eintaucht.</t>
  </si>
  <si>
    <t> Keine Druckbefüllung durchführen.</t>
  </si>
  <si>
    <t>Die Anlage in einem ordnungsgemäßen
und funktionsfähigen Betriebszustand halten.
Bedienungsanleitungen beachten.</t>
  </si>
  <si>
    <t>Sicherstellen, dass alle Einrichtungen wie
vom Hersteller vorgesehen gewartet und
instand gehalten werden, Einweg- und
Partikelfilter auswechseln sobald erforderlich.</t>
  </si>
  <si>
    <t>Es muss eine Sichtkontrolle der Anlage auf Anzeichen
von Beschädigungen einmal in der Woche erfolgen. Alle Prüfnachweise mindestens fünf Jahre aufbewahren.</t>
  </si>
  <si>
    <t>Es sind vom Lieferanten die Leistungsdaten zur Füllanlage
und Informationen zur regelmäßigen Überprüfung zu beschaffen, falls diese nicht vorliegen. Ansonsten ist ein Fachmann
(ggf. befähigte Person) heranzuziehen.</t>
  </si>
  <si>
    <t>Fehlende Leistungsdaten und Informationen zur regelmäßigen Überprüfung der Anlage</t>
  </si>
  <si>
    <t>Wenn technisch möglich, sind Ersatzstoffe und Ersatzverfahren mit geringerer Gefährdung zu verwenden. So weit dies nicht möglich ist, muss dafür gesorgt sein, dass die Gefährdung der Beschäftigten so weit wie möglich verringert wird. Der Verzicht auf Ersatzlösungen in der Dokumentation der Gefährdungsbeurteilung  ist zu begründen.</t>
  </si>
  <si>
    <t>Gefährdung der Beschäftigten durch Verzicht von Ersatzlösungen/stoffen</t>
  </si>
  <si>
    <t>Sehr giftige und giftige Stoffe (mit T+ und T gekennzeichnet) sind unter Verschluss und so aufzubewahren bzw. zu lagern, dass nur sachkundige Personen Zugang haben.</t>
  </si>
  <si>
    <t>Es müssen dicht verschließbare Gefahrstoffbehälter verwendet werden, nach Gebrauch sind die Behälter sofort wieder zu verschließen.</t>
  </si>
  <si>
    <t>Mangelhaft schließende Gefahrstoffbehälter</t>
  </si>
  <si>
    <t>Gefahrstoffgebinde sind sicher zu  lagern und zu entsorgen, Abfälle sind sofort zu entsorgen, Sicherheitsdatenblätter müssen beachtet werden.</t>
  </si>
  <si>
    <t>Mangelhafte Lagerung und Aufbewahrung von T + T Stoffen</t>
  </si>
  <si>
    <t>Mangelhafte Lagerung und Entsorgung von Gefahrstoffen</t>
  </si>
  <si>
    <t>Verschüttete Flüssigkeiten sind mit Granulat oder Matten aufzufangen oder zu absorbieren.</t>
  </si>
  <si>
    <t>Atemschutz sollte für Routinearbeiten nicht erforderlich sein, müssen jedoch bei besonderenTätigkeiten, z. B. der Entsorgung von Abfällen eingesetzt werden.</t>
  </si>
  <si>
    <t>Fehlender Atemschutz bei besonderen Tätigkeiten (z.B. Abfallentsorgung)</t>
  </si>
  <si>
    <t>Freisetzung verschüttereter Flüssigkeiten</t>
  </si>
  <si>
    <t>Es sind besondere Maßnahmen, die erforderlich sind, ehe das System geöffnet werden kann, z. B. zum Reinigen, festzulegen und zu beachten. Die Einrichtung eines Erlaubnisscheinverfahrens für alle Instandhaltungsarbeiten ist vorzunehmen.</t>
  </si>
  <si>
    <t>Gefahr beim Öffnen des Systems</t>
  </si>
  <si>
    <t xml:space="preserve"> Der Arbeitsbereich ist  regelmäßig zu reinigen, empfohlen ist jede Woche.</t>
  </si>
  <si>
    <t>Verschmutzter Abeitsbereich</t>
  </si>
  <si>
    <t>Überprüfung der Füllnlage und Vergleich mit den Leistungsstandards muss einmal im Jahr erfolgen. Alle Prüfnachweise mindestens fünf Jahre aufbewahren.</t>
  </si>
  <si>
    <t>Freisetzung verschütteter Flüssigkeiten</t>
  </si>
  <si>
    <t>Die Luftströme im Beschickungs- und Verschlussbereich der Fässer sollte mindestens 0,5 m/s betragen.</t>
  </si>
  <si>
    <t>Für eine gute Beleuchtung ist zu sorgen. Sie muss für die Gefahrstoffe und die Tätigkeiten geeignet, z. B. staubdicht und schwer entflammbar sein.</t>
  </si>
  <si>
    <t>Freisetzung von Stäuben</t>
  </si>
  <si>
    <t>Bei freigesetzten Stäuben sind zur Reinigung keine Besen oder Druckluft zu verwenden, es müssen Industriestaubsauger eingesetzt oder nass aufgewischt werden.</t>
  </si>
  <si>
    <t>Es muss eine tägliche gründliche Reinigung des Arbeitsbereiches im Inneren des Handschuhkastens erfolgen, Bedienungseinrichtungenund  Arbeitsbereich sind von außen regelmäßig zu  reinigen, empfohlen ist jede Woche.</t>
  </si>
  <si>
    <t>Verschmutzter Arbeitsbereich im Innen und Außenbereich des Handschuhkastens</t>
  </si>
  <si>
    <t>Überprüfung des Handschuhlkastens und Vergleich mit den Leistungsstandards muss einmal im Jahr erfolgen. Alle Prüfnachweise mindestens fünf Jahre aufbewahren.</t>
  </si>
  <si>
    <t>Es sind vom Lieferanten die Leistungsdaten zum Handschuhkasten
und Informationen zur regelmäßigen Überprüfung zu beschaffen, falls diese nicht vorliegen. Ansonsten ist ein Fachmann
(ggf. befähigte Person) heranzuziehen.</t>
  </si>
  <si>
    <t xml:space="preserve"> Es ist eine zu den Gefahrstoffen und Tätigkeit passende Beleuchtungseinrichtung zu verwenden, bspw. staubdicht und schwer entflammbar sein.</t>
  </si>
  <si>
    <t>Die Handschuhe müssen beständig gegen die verwendeten Stoffe und gegen die Handschuhstutzen abgedichtet sein.</t>
  </si>
  <si>
    <t>Es sollte eine oder mehrere Luftschleusen vorhanden sein.</t>
  </si>
  <si>
    <t>Es sind vom Lieferanten die Leistungsdaten zur Anlage
und Informationen zur regelmäßigen Überprüfung zu beschaffen, falls diese nicht vorliegen. Ansonsten ist ein Fachmann
(ggf. befähigte Person) heranzuziehen.</t>
  </si>
  <si>
    <t>Überprüfung der Anlage und Vergleich mit den Leistungsstandards muss einmal im Jahr erfolgen. Es müssen eventuellr Prüfpflichten
(z. B. von Druckbehältern oder beim Umgang mit
wassergefährdenden Stoffen) beachtet werden. Alle Prüfnachweise mindestens fünf Jahre aufbewahren.</t>
  </si>
  <si>
    <t>Zutritt unbefugter Personen</t>
  </si>
  <si>
    <t>Die abgesaugte Luft muss an einen sicheren Ort abgeführt werden, keinesfalls in der Nähe von Türen, Fenstern und Lufteinlässen. Für bestimmte Stoffe sind durch das Bundesimmissionsschutzgesetz (BImSchG) Emissionsgrenzen festgelegt, so dass eine Reinigung der Abluft notwendig sein kann. Gaspendelung sollte bevorzugt werden.</t>
  </si>
  <si>
    <t>Technische Anforderungen</t>
  </si>
  <si>
    <t>Die seit Juli 2003 in Verkehr gebrachten Geräte für explosionsgefährdete Bereiche sind gemäß Richtlinie 94/9/EG
(ATEX 95) bzw. Explosionsschutz-Verordnung (11. GPSGV) hergestellt und gekennzeichnet
Die verwendeten Geräte, die vor Juli 2003 in Verkehr gebracht worden sind, erfüllen die Anforderungen der Verordnung
über elektrische Anlagen in explosionsgefährdeten Räumen vom 01.07.1980 in Verbindung mit VDE 0165 (Februar
1991)
Die erforderliche Schutzart gegen das Eindringen von Partikeln und Nässe (IP) nach DIN EN 60529 entsprechend der
auftretenden Fremdkörper, Stäube und Nässe
Die Temperaturklassen der verwendeten Geräte sind auf die Zündtemperatur der Gase oder der Dämpfe abgestimmt
Die verwendeten Geräte weisen in Abhängigkeit der Gefährdungen die erforderlichen Zündschutzarten gemäß EN
60079-0 ff auf
Für elektrische Betriebsmittel gemäß EN 60079-0; -15; -6; -2; -1; -7; -11; -18 und EN 50017
Für nichtelektrische Betriebsmittel gemäß EN 13463-1; -5; -6; -2; -8; -3
Soweit erforderlich, wurde die gewählte Zündschutzart auf die Explosionsgruppen (IIA, IIB und IIC) der
vorliegenden Gefahrstoffe abgestimmt. Es ist eine technische Lüftung vorhanden und die elektrischen und nichtelektrischen Geräte erfüllen mindestens die
Anforderungen für den Betrieb in Zone 2
Werden serienmäßig frisch beschichtete Werkstücke in Regalen oder Hordenwagen getrocknet, erfüllen im Umkreis von
1 m die verwendeten Geräte die Anforderungen für den Betrieb in Zone 1</t>
  </si>
  <si>
    <t>Bei der Planung des gesamten Systems ist auf einfache Instandhaltungsmöglichkeiten zu achten.</t>
  </si>
  <si>
    <t>Erschwerte Möglichkeiten zur Instandsetzung durch falsche Planung</t>
  </si>
  <si>
    <t>Das zu befüllende bzw. entleerende Tankfahrzeug muss mit Füllleitung, Füllstandsanzeiger (oder Gewichtskontrolle etc.), Über- /Unterdruck -ventil und Entlüftung ausgerüstet sein.</t>
  </si>
  <si>
    <t>Mangelnde Ausrüstung des Tankfahrzeuges</t>
  </si>
  <si>
    <t>Das Tankfahrzeug ist gegen Wegrollen durch eine Wegfahrsperre und/oder einen Unterlegkeil zu sichern.</t>
  </si>
  <si>
    <t>Wegrollen des Tankfahrzeuges</t>
  </si>
  <si>
    <t>Der Füllstandsanzeiger sollte an ein automatisches Schließventil oder eine Abschaltung der Füllpumpe angeschlossen sein.</t>
  </si>
  <si>
    <t>Fehlender Anschluss des Füllstandsanzeiger an ein automatisches Schließventil oder eine Abschaltung der Füllpumpe</t>
  </si>
  <si>
    <t>Die Verbindungsstücke an den Anschlüssen müssen mit geeigneten Dichtungen versehen sein.</t>
  </si>
  <si>
    <t>Ungeeigente Dichtungen and den Verbindungsanschlüssen</t>
  </si>
  <si>
    <t>Nur spezifische (mindestens gekennzeichnete, ggf. unverwechselbare) Schlauchkupplungen verwenden. Möglichst totraumfreie Trennkupplungen einsetzen.</t>
  </si>
  <si>
    <t>Ungeeignete oder nicht eindeutig gekennzeichnete Trennkupplungen</t>
  </si>
  <si>
    <t>Unpassende Länge der Verbindungsschläuche</t>
  </si>
  <si>
    <t>Es ist sicherzustellen, dass sich Anschlüsse bzw. Schlauchverbindungen innerhalb der Tanktasse/Bodenwanne befinden.</t>
  </si>
  <si>
    <t>Fehlende Anschlüsse bzw. Schlauchverbindungen innerhalb der Tanktasse/Bodenwanne</t>
  </si>
  <si>
    <t>Die Abfüllstelle muss ausreichend gut beleuchtet sein. Die Beleuchtung sollte der Art der Stoffe und der Vorgänge entsprechen, z. B. explosionsgeschützt sein</t>
  </si>
  <si>
    <t>Mangelhafte Beleuchtung der Abfüllstelle</t>
  </si>
  <si>
    <t>Die Ableitung der Luft muss an einen sicheren Ort abgeführt werden, keinesfalls in der Nähe von Türen, Fenstern und Lufteinlässen. Für bestimmte Stoffe sind durch das Bundesimmissionsschutzgesetz (BImSchG) Emissionsgrenzen festgelegt, so dass eine Reinigung der Abluft notwendig sein kann. Gaspendelung sollte bevorzugt werden.</t>
  </si>
  <si>
    <t>Beim Umfüllen von leicht entzündlichen Flüssigkeiten ist die Notwendigkeit von Explosionsschutzmaßnahmen zu prüfen (Verwendung explosionsgeschützter Geräte, Erdung der Anlage, Erdungsklammer für Tankwagen, Druckentlastung).</t>
  </si>
  <si>
    <t>Explosionsgehfahr beim Umfüllen  leicht entzündlichen Flüssigkeiten</t>
  </si>
  <si>
    <t>Füllungen unter hohem Druck sind zu vermeiden, maximal erlaubte Strömungsgeschwindigkeit darf nicht überschritten werden.</t>
  </si>
  <si>
    <t>Zu hoher Druck, Überschreitung der maximal erlaubten Strömungsgeschwindigkeit</t>
  </si>
  <si>
    <t>Es muss die Einrichtung eines Erlaubnisscheinverfahrens für
alle Instandhaltungsarbeiten erfolgen.</t>
  </si>
  <si>
    <t>Fehlender Erlaubnisschein für
alle Instandhaltungsarbeiten</t>
  </si>
  <si>
    <t>Es muss eine schriftliche Festlegung aller erforderlichen besonderen Maßnahmen erfolgen, ehe das System geöffnet oder betreten werden kann, z. B. zum Ausspülen oder Reinigen.</t>
  </si>
  <si>
    <t>Gefahr beim Einsteigen in enge Räume oder Behälter / Fehlende Befahrerlaubnis</t>
  </si>
  <si>
    <t>Es darf nicht in enge Räume oder Behälter einstiegen werden, wenn sie nicht vorher auf Gefahrstoffe und Sauerstoffgehalt überprüft worden sind (Befahrerlaubnis!).</t>
  </si>
  <si>
    <t>Es ist vor und nach jedem Umfüllvorgang bzw. mindestens
einmal pro Woche eine Sichtkontrolle der Anlage auf Anzeichen von Beschädigungen vorzunehmen.</t>
  </si>
  <si>
    <t xml:space="preserve">Fehlende regelmäßige Sichtkontrolle der Anlage auf Anzeichen von Beschädigungen </t>
  </si>
  <si>
    <t>Bereits bei der Planung des gesamtem Systems ist auf einfache Instandhaltungsmöglichkeiten zu achten.</t>
  </si>
  <si>
    <t>Fehler bei der Planung des gesamtem System und  der Gestaltung des Arbeitsverfahrens</t>
  </si>
  <si>
    <t>Ungeeignete Flanschverbindungen, Dichtungen und Ventilpackungen</t>
  </si>
  <si>
    <t>Es ist sicherzustellen, dass Rohrleitungen, einschließlich Abzweigungen für die vorgesehenen Zwecke geeignet sind. Anzahl der Abzweigungen und Endstutzen sind auf ein Minimum zu verringern.</t>
  </si>
  <si>
    <t xml:space="preserve">Ungeeigente Verlegung und Beschaffenheit von Rohrleitungen, Abzweigungen und Endstutzen. </t>
  </si>
  <si>
    <t>Alle Leitungen sind ordnungsgemäß abzustützen und vor Beschädigung durch Fahrzeuge zuschützen.</t>
  </si>
  <si>
    <t>Ungesicherte, nicht abgestützte Rohrleitungen</t>
  </si>
  <si>
    <t>Es muss bei der Auslegung der Rohrleitungen und ihrer Befestigungen eine eventuelle Wärmeausdehnung berücksichtigt werden.</t>
  </si>
  <si>
    <t>Wärmeausdehnung der Leitungen</t>
  </si>
  <si>
    <t>Es ist sicherzustellen, dass Flanschverbindungen, Dichtungen und Ventilpackungen für die vorgesehenen Zwecke geeignet sind. Passende/zugelassene Dichtungen für Flansche und Verbindungsstücke sind vorzuhalten.</t>
  </si>
  <si>
    <t>Es sind Vorkehrungen für das Ablassen bzw. Durchspülen von Leitungsabschnitten sowie für die sichere Entsorgung von Rückständen zu treffen.</t>
  </si>
  <si>
    <t>Risiken beim Ablassen bzw. Durchspülen von Leitungsabschnitten und der  Entsorgung von Rückständen</t>
  </si>
  <si>
    <t>Bei Einsatz von entzündlichen Flüssigkeiten ist zu prüfen, ob Explosionsschutzmaßnahmen erforderlich sind (exgeschützte Geräte, Erdung, Druckentlastung).</t>
  </si>
  <si>
    <t>Explosionsgefahr beim Einsatz entzündlicher Flüssigkeiten</t>
  </si>
  <si>
    <t>Es sind Maßnahmen, z.B.  durch  Dampf- oder Reinigungsöffnungen, zur Beseitigungen von Verstopfungen zu treffen,  
Die Maßnahmen sind schriftlich festzulegen.</t>
  </si>
  <si>
    <t>Vestopfungen der Leitungen</t>
  </si>
  <si>
    <t>Ungeeignete Schläuche und Verbindungsarmaturen</t>
  </si>
  <si>
    <t>Es ist sicherzustellen, dass Schläuche und Verbindungsarmaturen für die vorgesehenen Zwecke geeignet sind. Zu verwenden sind fest Klemm- oder Pressfassung. Schlauchklemmen sind nicht geeignet.</t>
  </si>
  <si>
    <t>Es sind Blinddeckel/Ventile vorzuhalten, damit Leitungsteile von der Anlage abgetrennt werden können. Für Notfälle sollte die Verwendung von Schnellschlussventilen o. ä. geprüft werden</t>
  </si>
  <si>
    <t>Fehlende Blinddeckel/Ventile. Gebrauch bei Nottfällen</t>
  </si>
  <si>
    <t>Die Pumpe ist so zu wählen, dass sie für die zu befüllende Substanz und die erforderliche Fließgeschwindigkeit geeignet ist (Beständigkeit, Exschutz).</t>
  </si>
  <si>
    <t>Ungeeigente Pumpe</t>
  </si>
  <si>
    <t>Die Pumpe ist  z. B. durch Druckausgleichsventile vor Überhitzung und Überdruck ´zu schützen,</t>
  </si>
  <si>
    <t xml:space="preserve"> Überhitzung und Überdruck  der Pumpe</t>
  </si>
  <si>
    <t>Die Instandhaltung und Austausch der Pumpe ist  z. B. durch Absperrventile und Einsatz von Rückschlagklappen sicher zu machen.</t>
  </si>
  <si>
    <t>Gefahren bei Instandhaltung und Austausch der Pumpe</t>
  </si>
  <si>
    <t>Die Einrichtung eines Erlaubnisscheinverfahrens für alle Instandhaltungsarbeiten, insbesondere für Vorgänge bei denen
Verbindungsleitungen geöffnet werden müssen ist zu erfolgen.</t>
  </si>
  <si>
    <t>Unqualifizierte Personen , fehlender Erlaubnisschein bei Instandhaltungsarbeiten</t>
  </si>
  <si>
    <t>Zoneneinteilung</t>
  </si>
  <si>
    <t>Die empfohlenen Maßnahmen in diesem Schutzleitfaden sind in Verbindung mit den emissionsmindernden Maßnahmen des
Schutzleitfadens 222 der Reihe 200 umzusetzen. Die Maßnahmen beruhen auf einer beispielhaften Zoneneinteilung in
Abhängigkeit einer Objektabsaugung. Wird nachgewiesen, dass die Emissionsminderungsmaßnahmen oder ein Substitut die
Freisetzung von brennbaren Dämpfen vermeidet, kann die Ausdehnung der Zonen verringert werden. Bei Lackierarbeiten,
Spritz- und Beschichtungsverfahren wird stets eine Objektabsaugung empfohlen. Zoneneinteilung mit Objektabsaugung
Zone 1 in der Spritzkabine und in einem Umkreis von 2,5 m
Zone 2 im Umkreis von 2,5 m um Zone 1</t>
  </si>
  <si>
    <t>Es muss eine klare Kennzeichnung des Arbeitsbereichs und der Arbeitsmittel erfolgen.</t>
  </si>
  <si>
    <t>Die Anlage ist schon bei der Planung für eine leichte Wartung und Instandhaltung auszulegen.</t>
  </si>
  <si>
    <t>Fehlende Kennzeichnung des Arbeitsbereiches und der Arbeitsmittel</t>
  </si>
  <si>
    <t>Erschwerte Bedingungen für Wartung und Instandsetzung</t>
  </si>
  <si>
    <t>Der Handschuhkasten schon bei der Planung so auszulegen, dass er leicht gewartet und instand gehalten werden kann.</t>
  </si>
  <si>
    <t>Oberflächen in dem Handschuhkasten sollten glatt, undurchlässig und leicht zu reinigen sein. Empfohlen werden leicht zu reinigende Auskleidungen aus Kunststoff.</t>
  </si>
  <si>
    <t>Schwer zu reinigende Oberflächen im Inneren des Handschuhkastens</t>
  </si>
  <si>
    <t>Fehlende Luftschleusen</t>
  </si>
  <si>
    <t>Die Bedienungselemente von elektrischen und anderen Vorrichtungen, die im Innern des Handschuhkastens verwendet werden, sollten von außen zugänglich sein.</t>
  </si>
  <si>
    <t xml:space="preserve"> Mangelhaft angebrachte Bedienungselemente</t>
  </si>
  <si>
    <t>Mangelhafte Handschuhe</t>
  </si>
  <si>
    <t>Eine Zwangsbelüftung mit leichtem Unterdruck ist sicherzustellen und es sind Einwegfilter für die Luftzufuhr zu verwenden.</t>
  </si>
  <si>
    <t>Die Abluft aus dem Handschuhkasten ist vor Ableitung durch einen Wäscher oder einen wirksamen Partikelfilter zu leiten.</t>
  </si>
  <si>
    <t>Mangelhafte Belüftung /fehlende Filter Im Handschuhkasten</t>
  </si>
  <si>
    <t>Fehlende Filter bdei der Abluftleitung</t>
  </si>
  <si>
    <t xml:space="preserve"> Es ist sicherzustellen, dass alle Einrichtungen wie vom Hersteller vorgesehen gewartet und instand gehalten werden, Einweg- und Partikelfilter auswechseln sobald erforderlich.</t>
  </si>
  <si>
    <t>Manglehafte Wartung und ungenügender Wechsel der Filter</t>
  </si>
  <si>
    <t>Gefahr beim Einstieg in  enge Räume oder Behälter</t>
  </si>
  <si>
    <t>Für Probenahmen sollen möglichst emissionsarme Systeme installiert werden. Falls ein kurzzeitiges Öffnen des geschlossenen
Systems erforderlich ist, muss eine  lokale Absaugung vorhanden sein.</t>
  </si>
  <si>
    <t>Gefahr bei Probenahmen</t>
  </si>
  <si>
    <t>Es ist für die Einrichtung eines Erlaubnisscheinverfahrens
für alle Instandhaltungsarbeiten zu sorgen.</t>
  </si>
  <si>
    <t>Fehlender Erlaubnisschein für  Instandhaltungsarbeiten</t>
  </si>
  <si>
    <t>Das geschlossene System soll so geplant werden, dass es leicht gewartet und instand gehalten werden kann.</t>
  </si>
  <si>
    <t>Erschwerte Möglichkeiten zur Wartung und Instandsetzung</t>
  </si>
  <si>
    <t>Falls für das geschlossene Systeme Druckbehälter verwendet werden, dürfen nur solche Behälter verwendet werden, die die Voraussetzungen für das Inverkehrbringen erfüllen (Vorliegen der Konformitätserklärung, CEKennzeichnung, Bedienungsanleitung, Gefahrenhinweise des Herstellers für den Benutzer).</t>
  </si>
  <si>
    <t xml:space="preserve">Fehlende Voraussetzungen der Druckbehälter für das Inverkehrbringen </t>
  </si>
  <si>
    <t>Fehlende Informationen des Herstellers</t>
  </si>
  <si>
    <t>Es sind vom Hersteller alle Informationen, die für das sichere Betreiben des Systems erforderlich sind, zu beschaffen</t>
  </si>
  <si>
    <t>System ist , wenn möglich, unter Unterdruck zu halten, damit die Freisetzung von Gefahrstoffen verhindert wird.</t>
  </si>
  <si>
    <t>Freisetzung von Gefahrstoffen durch fehlenden Unterdruck</t>
  </si>
  <si>
    <t>Es ist eine gute Belüftung des Arbeitsbereiches sicherzustellen.</t>
  </si>
  <si>
    <t>Schlechte Belüftung in den Arbeitsbereichen</t>
  </si>
  <si>
    <t xml:space="preserve"> Der Arbeitsreich ist  für eine leichte Instandhaltung einzurichten, es sind soweit möglich Arbeitsmittel zu benutzen, die sich leicht instand halten lassen.</t>
  </si>
  <si>
    <t>Ungeeignete Einrichtung des Arbeitsbereiches (erschwerte Instandhaltung)</t>
  </si>
  <si>
    <t>Überschüssiges Füllgut</t>
  </si>
  <si>
    <t>Es ist sicherzustellen, dass an dem Befüllarm eine Auffangeinrichtung  (Wanne o. ä.) für überschüssiges Füllgut vorhanden ist, durch Gewichts- oder Volumenmessung ist  Überfüllung zu verhindern.</t>
  </si>
  <si>
    <t>Bei brennbaren Flüssigkeiten ist sicherzustellen, dass geeignete Pumpen und Lüfter verwendet werden und die Anlage sachgemäß geerdet ist, um Zündfunken zu vermeiden.</t>
  </si>
  <si>
    <t>Brennbare Flüssigkeiten</t>
  </si>
  <si>
    <t>Zu geringe Luftströme  im Beschickungs- und Verschlussbereich</t>
  </si>
  <si>
    <t>Die Befülleinrichtung ist  unter Unterdruck halten, soweit das Verfahren dies zulässt.</t>
  </si>
  <si>
    <t>Es muss eine regelmäßige Überprüfung der Messeinrichtungen gegen Überfüllung erfolgen.</t>
  </si>
  <si>
    <t>Fehlende Kontrolle gegen Überfüllung</t>
  </si>
  <si>
    <t>Es ist sicherzustellen, dass alle Einrichtungen wie vom Hersteller vorgesehen gewartet und instand gehalten werden.</t>
  </si>
  <si>
    <t>Mangelhafte Belüftung im Arbeitsbereich</t>
  </si>
  <si>
    <t>Gute Belüftung des Arbeitsbereiches ist  sicherzustellen.</t>
  </si>
  <si>
    <t>Es ist sicherzustellen, dass die Pumpe für die Förderflüssigkeit ausgelegt ist.</t>
  </si>
  <si>
    <t>Ungeeignete Pumpe</t>
  </si>
  <si>
    <t>Es ist eine Hülse o. ä. für das Saugrohr zu benutzen, um beim Herausnehmen des Saugrohres Tropfverluste zu vermeiden.</t>
  </si>
  <si>
    <t>Tropfverluste</t>
  </si>
  <si>
    <t>Es sind Vorkehrungen zum Zurückhalten von verschütteten Flüssigkeiten zu treffen.</t>
  </si>
  <si>
    <t>Verschüttete Flüssigkeiten</t>
  </si>
  <si>
    <t>Bewegen des Fasses von Hand ist  zu vermeiden, vor Arbeitsbeginn sind Verfahrensweisen für das Bewegen des Fasses festzulegen.</t>
  </si>
  <si>
    <t>Bewegen des Fasses von Hand</t>
  </si>
  <si>
    <t>Geeignetes Werkzeug zum Öffnen und Verschließen des Fasses ist bereitzuhalten.</t>
  </si>
  <si>
    <t>Die Anlage ist unter Unterdruck halten, soweit das Verfahren dies zulässt.</t>
  </si>
  <si>
    <t>Fehlender Unterdruck der Anlage</t>
  </si>
  <si>
    <t>Es muss ein guter Zugang für Stapler geschaffen werden.</t>
  </si>
  <si>
    <t>Zugangsöffnungen sind mit Dichtungen versehen. Verbindungen dürfen nur durch geeignete, hochwertige Ventile und Kupplungen hergestellt werden. Es ist sicherzustellen, dass Ventil und Kupplung nicht lecken.</t>
  </si>
  <si>
    <t>Undichte Zugangsöffnungen und Verbindungen</t>
  </si>
  <si>
    <t>Explosionsgefahr bei  brennbaren Feststoffe</t>
  </si>
  <si>
    <t>Es sind Explosionsschutzmaßnahmen für brennbare Feststoffe zu berücksichtigen, für geeignete Erdung der Anlage ist zu sorgen.</t>
  </si>
  <si>
    <t>Arbeitsbereich ist  regelmäßig zu reinigen, empfohlen ist jede Woche.</t>
  </si>
  <si>
    <t>Bei freigesetzten Stäuben zur Reinigung sind keine Besen oder Druckluft zu verwenden,   Industriestaubsauger benutzen oder nass aufwischen.</t>
  </si>
  <si>
    <t>Beseitigung von freigesetzten Stäuben</t>
  </si>
  <si>
    <t>Atemschutz sollte für Routinearbeiten nicht erforderlich sein, jedoch bei besonderen Tätigkeiten, z. B. der Entsorgung von Abfällen eingesetzt werden.</t>
  </si>
  <si>
    <t>Fehlender Atemschutz bei besonderen Tätigkeiten, z. B. der Entsorgung von Abfällen</t>
  </si>
  <si>
    <t>Verdrängte Luft ist an einen sicheren Ort entweichen zu lassen, vorzugsweise durch Gaspendelung.</t>
  </si>
  <si>
    <t>Verdrängte Luft</t>
  </si>
  <si>
    <t>Die Anlage in einem ordnungsgemäßen und funktionsfähigen Betriebszustand halten. Bedienungsanleitungen beachten. Es ist sicherzustellen, dass alle Einrichtungen wie vom Hersteller vorgesehen gewartet und instandgehalten werden.</t>
  </si>
  <si>
    <t xml:space="preserve">Es sind Maßnahmen gegen Überfüllung zu ergreifen, z. B. durch Gewichtsmessung. Füllrate kontrollieren, angemessene Füllraten nicht übersteigen. </t>
  </si>
  <si>
    <t>Es müssen besondere Maßnahmen festgelegt und beachtet werden, die erforderlich sind, ehe das System geöffnet werden kann, z. B.
zum Reinigen. Die Einrichtung eines Erlaubnisscheinverfahrens für alle Instandhaltungsarbeiten ist vorzunehmen.</t>
  </si>
  <si>
    <t>Die erforderlichen Brandschutzmaßnahmen müssen unabhängig von den Maßnahmen zur Zündquellenvermeidung ermittelt, umgesetzt und dokumentiert werden.</t>
  </si>
  <si>
    <t>Mangelhafte Ermittlung, Umsetzung und Dokumentation von Brandschutzmaßnahmen</t>
  </si>
  <si>
    <t>Gestaltung des Arbeitsverfahrens: 
- Der Spritzstrahl muss senkrecht zur Oberfläche geführt werden.
- Spritzgeräte sollen möglichst nahe (ca. 20-30 cm) an die zu  spritzende Fläche geführt werden. 
- Die Spritzstrahlbreite muss an die Werkstücksabmessung angepasst werden. 
- Der Zerstäubungsdruck ist möglichst gering zu halten 
- Das Werkstück muss möglichst nah zur Spritzwand aufgestellt werden
- Es muss immer in Richtung Spritzwand gespritzt werden, ggf. ist eine drehbare Werkstückauflage zu verwenden.
- Die Hinweise zur Optimierung des Lackauftragswirkungsgrades in
der Betriebsanleitung sind zu beachten</t>
  </si>
  <si>
    <t>Mängel bei der Gestaltung des Arbeitsverfahrens</t>
  </si>
  <si>
    <t>In den Tätigkeitsbereichen beziehungsweise Lackierräumen ist die
Lüftung so zu gestalten, dass gefährliche explosionsfähige Atmosphäre verhindert wird,  ein Austreten von Spritz- und Sprühnebel aus dem Tätigkeitsbereich verhindert wird und starke Verwirbelungen vermieden werden zum Beispiel durch Quellschläuche mit impulsarmer Zuluft</t>
  </si>
  <si>
    <t>Mangelhafte Lüftung in den Tätigkeitsbereichen</t>
  </si>
  <si>
    <t>Alle Bauteile müssen kleiner als der Absaugbereich sein</t>
  </si>
  <si>
    <t>Beeinträchtigung der Absaugwirksamkeit durch zu große Bauteile</t>
  </si>
  <si>
    <t>Gefahr durch Stromschlag</t>
  </si>
  <si>
    <t>Bei Spritzarbeiten mit elektrostatischer Unterstützung muss der Lackierer zusätzlich über einen geeigneten leitfähigenHandgriff der Lackpistole geerdet sein. Die verwendeten Handschuhe müssen leitfähig sein.
Alle leitfähigen Gegenstände im Tätigkeitsbereich, wie zum Beispiel Spritzpistolen, Werkstücke und Metallobjekte müssen geerdet sein.</t>
  </si>
  <si>
    <t>Die Fußböden müssen  elektrostatisch ableitfähig sein. Der Ableitwiderstand des Fußbodenbelags muss unter 0,1 Gigaohm betragen.</t>
  </si>
  <si>
    <t>Nicht ableitfähige Fußböden</t>
  </si>
  <si>
    <t>In explosionsfähigen Bereichen dürfen keine Gegenstände oder Einrichtungen aus isolierenden Materialien verwendet werden.
Ist dies nicht möglich, sind weitere Schutzmaßnahmen umzusetzen. Zum Beispiel sind leitfähige oder ableitfähige Beschichtungen auf isolierenden Gegenstände oder Einrichtungen aufzubringen, Beimischung von Antistatika oder leitfähige Fäden in Textilien bzw. sicher wirkende organisatorische Maßnahmen sind zu ergreifen. Explosionsgefährdete Bereiche gelten immer gleichzeitig als feuergefährdete Bereiche.</t>
  </si>
  <si>
    <t>Explosionsfähige Bereiche</t>
  </si>
  <si>
    <t>Elektrische und nicht elektrische Geräte müssen die Anforderungen zur Zündquellenfreiheit entsprechend der Zoneneinteilung erfüllen- auch kleine elektrische Geräte, wie Handlampen</t>
  </si>
  <si>
    <t xml:space="preserve">Fehlende Zündqzuellenfreiheit von elektrischen und nicht elektrischen Geräten </t>
  </si>
  <si>
    <t>Zum Reinigen dürfen keine funkenerzeugende Werkzeuge verwendet werden</t>
  </si>
  <si>
    <t>Verwendung von funkenerzeugenden Werkzeugen</t>
  </si>
  <si>
    <t>Gegenstände wie Heizplatten, die heiße Oberflächen erzeugen können, müssen ausgeschlossen werden.</t>
  </si>
  <si>
    <t>Verwendung von Gegenständen,  die heiße Oberflächen erzeugen</t>
  </si>
  <si>
    <t>Explosionsgeschützte Elektromotoren sollten möglichst nicht im Inneren von Abluftableitungen von Spritzwänden, -ständen und –kabinen und ähnlichen Einrichtungen verbaut werden, um die Entzündung von Ablagerungen zu vermeiden.</t>
  </si>
  <si>
    <t xml:space="preserve"> Entzündung von Ablagerungen </t>
  </si>
  <si>
    <t>Die verwendeten Ventilatoren müssen die Anforderungen an elektrische Betriebsmittel entsprechend der Zoneneinteilung erfüllen. Eine gefährliche Funkenbildung durch Berühren der Ventilatorflügel ist somit sicher verhindert</t>
  </si>
  <si>
    <t>Ungeeignete Ventilatoren</t>
  </si>
  <si>
    <t>Die Tätigkeitsbereiche mit Explosionsgefährdungen müssen vor erstmaligem Tätigkeitsbeginn und nach Einführung neuer
Arbeitsmittel von einer befähigten Person gemäß TRBS 1203 auf Explosionssicherheit geprüft werden</t>
  </si>
  <si>
    <t xml:space="preserve">Fehlende Prüfung der Tätigkeitsbereiche mit Explosionsgefährdungen vor erstmaligem Tätigkeitsbeginn und nach Einführung neuer
Arbeitsmittel </t>
  </si>
  <si>
    <t>Überwachungsbedürftige Anlagen in explosionsgefährdeten Bereichen müssen nach der Erstprüfung wiederkehrend mindestens alle 3 Jahre geprüft werden. Hierzu zählen alle explosionsgeschützten Geräte und Anlagen im Sinne der EG-Richtlinie 94/9/EG alle Alt-Geräte und -Anlagen, die vor dem 30.6.2003 errichtet wurden und in den Geltungsbereich der ElexV fielen sowie nichtelektrische Alt-Geräte und -Komponenten</t>
  </si>
  <si>
    <t>Fehlende turnusmäßige Prüfung überwachungsbedürftiger Anlagen</t>
  </si>
  <si>
    <t>Emissionsmindernde Maßnahmen</t>
  </si>
  <si>
    <t>4.6</t>
  </si>
  <si>
    <t>4.7</t>
  </si>
  <si>
    <t>Schutzmaßnahmen und Verhaltensregeln</t>
  </si>
  <si>
    <t>Schlechte Zugänglichkeit und schwergängige Bedienung von Zu- und Abluftöffnungen</t>
  </si>
  <si>
    <t>Zu- und Abluftöffnungen müssen leicht zugänglich und sicher zu bedienen sein .</t>
  </si>
  <si>
    <t>Zu- und Abluftöffnungen sollten so  gewählt sein , dass die Wirksamkeit der Lüftung nicht eingeschränkt wird.</t>
  </si>
  <si>
    <t>Eingeschränkte Wirksamkeit von Zu- und Abluftöffnungen durch falsche Platzierung</t>
  </si>
  <si>
    <t>Fehlender Anfahrschutz bei freistehenden Lagereinrichtungen und Behältern.</t>
  </si>
  <si>
    <t>Ungeeignete Fußböden und Auffangwannen</t>
  </si>
  <si>
    <t>Am Arbeitsplatz darf nur die für den Tages- oder Schichtbedarf erforderliche Menge an Gefahrstoff bereitgestellt werden. Bei regelmäßigen Tätigkeiten mit kleinen Mengen muss die jeweils handelsüblich kleinste Gebindegröße bereitgestellt werden.</t>
  </si>
  <si>
    <t>Platzierung von Druckgaskartuschen und Aerosolpackungen in Schaufenstern</t>
  </si>
  <si>
    <t>Fehlende oder unzureichende Lagerflächenkennzeichnung</t>
  </si>
  <si>
    <t>Fehlendes, veraltetes oder unvollständiges Gefahrenstoffverzeichnis.</t>
  </si>
  <si>
    <t>Es muss ein Gefahrstoffverzeichnis geführt werden , welches bei der Einführung neuer Gefahrstoffe ergänzt und spätestens beim Eingang neuer Sicherheitsdatenblätter aktualisiert werden muss.</t>
  </si>
  <si>
    <t>Fehlende oder unzureichende zeitliche oder räumliche Trennung der belasteten Beschäftigten.</t>
  </si>
  <si>
    <t>Unaufgeräumte, verschmutze Arbeitsplätze.</t>
  </si>
  <si>
    <t>Fehlende Überprüfung auf funktionierende Sicherheitseinrichtungen und sichtbare Mängel vor dem Einsatz von Arbeitsmitteln</t>
  </si>
  <si>
    <t>Vor dem Einsatz von Arbeitsmitteln muss der Benutzer prüfen, ob die Sicherheitseinrichtungen funktionieren und keine
sichtbaren Mängel vorliegen.</t>
  </si>
  <si>
    <t>Fehlende Betriebsbegehungen  um die Einhaltung von Mindeststandards und  sachgerechte Entsorgung  zu kontrollieren.</t>
  </si>
  <si>
    <t>Ungeeignete Hautschutzmittel bei Tätigkeiten mit wässrigen Lösungen.</t>
  </si>
  <si>
    <t>Ungeeignete Hautschutzmittel bei Tätigkeiten mit sowohl wasserlöslichen als auch wasserunlöslichen Arbeitsstoffen.</t>
  </si>
  <si>
    <t>Durch Kennzeichnung mit dem „DGUV Test“ Prüfzeichen oder dem Umweltzeichen „Der Blaue Engel“ soll gewährleistet sein , dass Drucker und Kopiergeräte den grundlegenden Sicherheits- und Gesundheits- Anforderungen entsprechen.</t>
  </si>
  <si>
    <t>Eine ausreichende Belüftung nach Vorgaben der Arbeitsstätten - Verordnung muss vorhanden sein . Dabei kann es sich um eine Belüftung durch Fenster, Tür oder eine lüftungstechnische Anlage handeln.</t>
  </si>
  <si>
    <t>Produktbezeichnung / Handelsname</t>
  </si>
  <si>
    <t>Hersteller / Lieferant</t>
  </si>
  <si>
    <t>Sicherheitsdatenblatt vom:</t>
  </si>
  <si>
    <t>Produktbezeichnung / Handelsname:</t>
  </si>
  <si>
    <t>Hersteller / Lieferant:</t>
  </si>
  <si>
    <t>Einsatzweck / interne Verwendung:</t>
  </si>
  <si>
    <t>Wassergefährdungsklasse (WGK):</t>
  </si>
  <si>
    <t>Zustandsform:</t>
  </si>
  <si>
    <t>Bearbeiter:</t>
  </si>
  <si>
    <t>Kennzeichnung gemäß CLP-VO (EG) 1272/2008</t>
  </si>
  <si>
    <t>Kennzeichnung gemäß CLP-VO (EG) 1272/2008:</t>
  </si>
  <si>
    <t>Maßnahmenreihe EMGK "Brand und Explosion":</t>
  </si>
  <si>
    <t>Tätigkeiten mit geringer Gefährdung (TRGS 400):</t>
  </si>
  <si>
    <t>SDB</t>
  </si>
  <si>
    <t>Übersicht der Gefährdungsbeurteilungen für Gefahrstoffe nach § 6 GefStoffV</t>
  </si>
  <si>
    <t>SDB öffnen</t>
  </si>
  <si>
    <t>GBU öffnen</t>
  </si>
  <si>
    <t>Sicherheitsdatenblatt vom</t>
  </si>
  <si>
    <t>Zustandsform</t>
  </si>
  <si>
    <t>Einsatzweck / interne Verwendung</t>
  </si>
  <si>
    <t>Wassergefährdungsklasse (WGK)</t>
  </si>
  <si>
    <t>Tätigkeiten mit geringer Gefährdung (TRGS 400)</t>
  </si>
  <si>
    <t>Maßnahmenreihe EMGK "Einatmen"</t>
  </si>
  <si>
    <t>Maßnahmenreihe EMGK "Hautkontakt"</t>
  </si>
  <si>
    <t>Maßnahmenreihe EMGK "Brand und Explosion"</t>
  </si>
  <si>
    <t>Name des Unternehmens</t>
  </si>
  <si>
    <t>Anschrift</t>
  </si>
  <si>
    <t>H-Sätze: Physikalische Gefahren</t>
  </si>
  <si>
    <t>H-Sätze: Gesundheitsgefahren</t>
  </si>
  <si>
    <t>H-Sätze: Umweltgefahren</t>
  </si>
  <si>
    <t>H-Sätze: EUH</t>
  </si>
  <si>
    <t>P-Sätze: Allgemeines</t>
  </si>
  <si>
    <t>P-Sätze: Prävention</t>
  </si>
  <si>
    <t>P-Sätze: Reaktion</t>
  </si>
  <si>
    <t>P-Sätze: Aufbewahrung</t>
  </si>
  <si>
    <t>P-Sätze: Entsorgung</t>
  </si>
  <si>
    <t>Pulver</t>
  </si>
  <si>
    <t>H410</t>
  </si>
  <si>
    <t>P405</t>
  </si>
  <si>
    <t>P501</t>
  </si>
  <si>
    <t>Stand:</t>
  </si>
  <si>
    <t>Stoff / Gemisch</t>
  </si>
  <si>
    <t>Gemisch</t>
  </si>
  <si>
    <t>Zusätzliche Einflussfaktoren wie z.B. Hitze, körperliche Arbeit, Vorschädigung der Haut, verstärkte Hautgängigkeit durch andere Stoffe (Hautmittel, Chemikalien) müssen beachtet  werden .</t>
  </si>
  <si>
    <t>Allgemeine Angaben</t>
  </si>
  <si>
    <t>Nummer:</t>
  </si>
  <si>
    <t>Herr Kim Marius Gräfe (Fachkraft für Arbeitssicherheit)</t>
  </si>
  <si>
    <t>Status</t>
  </si>
  <si>
    <t>Technische Schutzmaßnahmen</t>
  </si>
  <si>
    <t>Organisatorische Schutzmaßnahmen</t>
  </si>
  <si>
    <t>Personenbezogene Schutzmaßnahmen</t>
  </si>
  <si>
    <t>Umweltschutzmaßnahmen</t>
  </si>
  <si>
    <t>o</t>
  </si>
  <si>
    <t>wirksam</t>
  </si>
  <si>
    <t>þ</t>
  </si>
  <si>
    <t>038</t>
  </si>
  <si>
    <t xml:space="preserve">Bei unzureichender Belüftung geeigneten Atemschutz verwenden. </t>
  </si>
  <si>
    <t>Nicht in Oberflächengewässer oder Kanalisation gelangen lassen.</t>
  </si>
  <si>
    <t>Methoden und Material für Rückhaltung und Reinigung</t>
  </si>
  <si>
    <t>Verschüttetes Material mit Staubsauger aufnehmen oder mit Schaufel und Besen o.ä. aufnehmen.</t>
  </si>
  <si>
    <t>Bei der Verwendung dieses Produkts nicht essen, trinken oder rauchen.</t>
  </si>
  <si>
    <t>Vor dem Verlassen des Arbeitsplatzes Hände und andere kontaminierte Körperteile mit Wasser und Seife waschen.</t>
  </si>
  <si>
    <t>Vermeiden Sie die Freisetzung in die Umwelt vermeiden.</t>
  </si>
  <si>
    <t>Handschutz: Schutzhandschuhe tragen.</t>
  </si>
  <si>
    <t>Allgemeine Hygienemaßnahmen am Arbeitsplatz einhalten.</t>
  </si>
  <si>
    <t>Lagerhaltung und Reaktivität</t>
  </si>
  <si>
    <t>Jährliche Unterweisung der Beschäftigten im Umgang mit dem Gefahrstoff durchführen.</t>
  </si>
  <si>
    <t>Betriebsanweisung nach § 14 GefStoffV und TRGS 555 erstellen und kommunizieren.</t>
  </si>
  <si>
    <t>Farbe</t>
  </si>
  <si>
    <t>gelblich</t>
  </si>
  <si>
    <t>Maßnahmenreihe EMGK "Einatmen" Bezeichnung</t>
  </si>
  <si>
    <t>Maßnahmenreihe EMGK "Hautkontakt" Bezeichnung</t>
  </si>
  <si>
    <t>Maßnahmenreihe EMGK "Brand und Explosion" Bezeichnung</t>
  </si>
  <si>
    <t>Staubentwicklung vermeiden.</t>
  </si>
  <si>
    <t>Staubbildung und Staubablagerung vermeiden.</t>
  </si>
  <si>
    <t>Bei Staubbildung Absaugung vorsehen.</t>
  </si>
  <si>
    <t>Atemschutz: Partikelfilter Typ P2 tragen, wenn eine Inhalation aufgewirbelter Stäube zu erwarten ist.</t>
  </si>
  <si>
    <t>H-Sätze [H2XX / H3XX / H4XX / EUHXXX]:</t>
  </si>
  <si>
    <t>P-Sätze [P1XX / P2XX / P3XX / P4XX / P5XX]:</t>
  </si>
  <si>
    <t>ý</t>
  </si>
  <si>
    <t>Von Zündquellen und heißen Oberflächen fernhalten.</t>
  </si>
  <si>
    <t>Trocken lagern.</t>
  </si>
  <si>
    <t>Getrennt von anderen Gefahrstoffen lagern.</t>
  </si>
  <si>
    <t>Beschreibung der Tätigkeit, 
Häufigkeit der Anwendung, Lager- und Verwendungsmengen am Arbeitsplatz:</t>
  </si>
  <si>
    <t>Für ausreichende Raumbelüftung sorgen.</t>
  </si>
  <si>
    <t>Waschgelegenheiten bereithalten.</t>
  </si>
  <si>
    <t>Für Verfügbarkeit von Erste-Hilfe-Material / Augenspülflaschen in der Nähe zum Arbeitsplatz sorgen</t>
  </si>
  <si>
    <t>Absaugung: Nur bei Rauch, Gas, Dämpfen oder Nebel</t>
  </si>
  <si>
    <t>Zutrittsbeschränkungen zum Arbeitsbereich definieren.</t>
  </si>
  <si>
    <t>Ex-Schutz-Dokument erstellen.</t>
  </si>
  <si>
    <t>Hautschutzprodukte bereitstellen und Hautschutzplan visualisieren.</t>
  </si>
  <si>
    <t>Behälter dicht verschlossen an einem kühlen, trockenen, gut belüfteten Ort aufbewahren.</t>
  </si>
  <si>
    <t>Zu vermeidende Bedingungen: Hitze, starke Erwärmung, Feuchtigkeit</t>
  </si>
  <si>
    <t>Substitution</t>
  </si>
  <si>
    <t>S</t>
  </si>
  <si>
    <t>T</t>
  </si>
  <si>
    <t>O</t>
  </si>
  <si>
    <t>P</t>
  </si>
  <si>
    <t>Arbeitsmedizinische Vorsorgeuntersuchungen durchführen.</t>
  </si>
  <si>
    <t>Beschreibung von Ausmaß, Art und Dauer der Exposition / Expositionswege:</t>
  </si>
  <si>
    <t>Augenschutz: Dichtschließende Schutzbrillen tragen, wenn eine Kontamination der Augen zu erwarten ist.</t>
  </si>
  <si>
    <t>Kein Feuer und offenes Licht im Arbeitsbereich.</t>
  </si>
  <si>
    <t>Die allgemeinen Hautschutz- und Hygienemaßnahmen werden eingehalten.</t>
  </si>
  <si>
    <t>Kontaminierte Kleidung und Schutzausrüstung vor Pausen / Arbeitsende ausziehen und waschen.</t>
  </si>
  <si>
    <t>Maßnahmenreihe nach EMGK "Hautkontakt":</t>
  </si>
  <si>
    <t>Maßnahmenreihe nach EMGK "Einatmen":</t>
  </si>
  <si>
    <t>Hautresorptive Eigenschaften:</t>
  </si>
  <si>
    <t>Hautgefährdende Eigenschaften:</t>
  </si>
  <si>
    <t>Gefährdungen durch Hautkontakt (TRGS 401):</t>
  </si>
  <si>
    <t>H314, H315, H317, EUH066, EUH204, EUH205, EUH208</t>
  </si>
  <si>
    <t>H310, H311, H312, H370, H371, H372, H373</t>
  </si>
  <si>
    <t>Sonstige hautgefährdende Eigenschaften:</t>
  </si>
  <si>
    <t>Tätigkeitsbedingte Feuchtarbeit:</t>
  </si>
  <si>
    <t>z. B. Schnitte, Stiche, scharfkantige Partikel oder künstliche Mineralfasern</t>
  </si>
  <si>
    <t>Sichtbare Verschmutzung der Haut:</t>
  </si>
  <si>
    <t>z. B. Hitze, Kälte, UV-Strahlung</t>
  </si>
  <si>
    <t>Kontakt mit wässrigen Flüssigkeiten &gt;2 Std./Tag; Händewaschen &gt;15x/Tag</t>
  </si>
  <si>
    <t>Gefährdungen durch Einatmen (TRGS 402):</t>
  </si>
  <si>
    <t>Arbeitsplatzmessungen:</t>
  </si>
  <si>
    <t>Nichtmesstechnische Ermittlungsmethoden:</t>
  </si>
  <si>
    <t>nwg: nicht wassergefährdend</t>
  </si>
  <si>
    <t>awg: allgemein wassergefährdend</t>
  </si>
  <si>
    <t>WGK 1: schwach wassergefährdend</t>
  </si>
  <si>
    <t>WGK 2: wassergefährdend</t>
  </si>
  <si>
    <t>WGK 3: stark wassergefährdend</t>
  </si>
  <si>
    <t>WGK</t>
  </si>
  <si>
    <t>WGK_Bezechnung</t>
  </si>
  <si>
    <t>nwg</t>
  </si>
  <si>
    <t>awg</t>
  </si>
  <si>
    <t>Arbeitsplatzgrenzwerte (TRGS 900):</t>
  </si>
  <si>
    <t>AGW</t>
  </si>
  <si>
    <t>Angaben zu den CMR-Bestandteilen:</t>
  </si>
  <si>
    <t>CMR1_a</t>
  </si>
  <si>
    <t>CMR1_b</t>
  </si>
  <si>
    <t>CMR1_c</t>
  </si>
  <si>
    <t>CMR1_d</t>
  </si>
  <si>
    <t>CMR1_e</t>
  </si>
  <si>
    <t>CMR2_a</t>
  </si>
  <si>
    <t>CMR2_b</t>
  </si>
  <si>
    <t>CMR2_c</t>
  </si>
  <si>
    <t>CMR2_d</t>
  </si>
  <si>
    <t>CMR2_e</t>
  </si>
  <si>
    <t>CMR3_a</t>
  </si>
  <si>
    <t>CMR3_b</t>
  </si>
  <si>
    <t>CMR3_c</t>
  </si>
  <si>
    <t>CMR3_d</t>
  </si>
  <si>
    <t>CMR3_e</t>
  </si>
  <si>
    <t>Kat. 2</t>
  </si>
  <si>
    <t>keine</t>
  </si>
  <si>
    <t>entfällt</t>
  </si>
  <si>
    <t>Einstufung und Gefahren / Toxikologie</t>
  </si>
  <si>
    <t>Anwendung der Technischen Regeln für Gefahrstoffe (TRGS)</t>
  </si>
  <si>
    <t>Expositionsbeschreibung</t>
  </si>
  <si>
    <t>PSA_Handschutz</t>
  </si>
  <si>
    <t>PSA_Augenschutz</t>
  </si>
  <si>
    <t>PSA_Atemschutz</t>
  </si>
  <si>
    <t>PSA_Körperschutz</t>
  </si>
  <si>
    <t>Chemikalien-Schutzhandschuhe</t>
  </si>
  <si>
    <t>Dichtschließende Schutzbrille mit Seitenschutz</t>
  </si>
  <si>
    <t>Vollmaske</t>
  </si>
  <si>
    <t>Einwegoverall</t>
  </si>
  <si>
    <t>(nicht definiert)</t>
  </si>
  <si>
    <t>Halbmaske</t>
  </si>
  <si>
    <t>Arbeitskleidung</t>
  </si>
  <si>
    <t>(nicht erforderlich)</t>
  </si>
  <si>
    <t>FFP2-Staubschutzmaske</t>
  </si>
  <si>
    <t>Kombinationsfiltergerät</t>
  </si>
  <si>
    <t>Persönliche Schutzausrüstung: Hand-/ Hautschutz:</t>
  </si>
  <si>
    <t>Chemikalienbeständige Schutzhandschuhe (EN 374)</t>
  </si>
  <si>
    <t>Persönliche Schutzausrüstung: Atemschutz:</t>
  </si>
  <si>
    <t>Das Produkt ist nicht brennbar und nicht explosionsgefährlich.</t>
  </si>
  <si>
    <t>Die allgemeinen Brandschutzmaßnahmen werden eingehalten.</t>
  </si>
  <si>
    <t>Ausmaß der Auswirkungen von Explosionen:</t>
  </si>
  <si>
    <t>nicht relevant</t>
  </si>
  <si>
    <t>keine Zündquellen vorhanden</t>
  </si>
  <si>
    <t>Ortsbewegliche Behälter (TRGS 510):</t>
  </si>
  <si>
    <t>Ortsfeste Behälter (TRGS 509):</t>
  </si>
  <si>
    <t>Substitution (TRGS 600):</t>
  </si>
  <si>
    <t>Stoffspezifisch "Blei" (TRGS 505):</t>
  </si>
  <si>
    <t>Technische Schutzmaßnahmen:</t>
  </si>
  <si>
    <t>Brand- und Explosionsgefährdung (TRGS 721):</t>
  </si>
  <si>
    <t>Wahrscheinlichkeit und Dauer Explosionsgefahr:</t>
  </si>
  <si>
    <t>Wirksame Zündquellen:</t>
  </si>
  <si>
    <t>Verletzung der Haut bei der Tätigkeit:</t>
  </si>
  <si>
    <t>Besondere physikalische Bedingungen:</t>
  </si>
  <si>
    <t>Explosionsschutzdokument:</t>
  </si>
  <si>
    <t xml:space="preserve"> Aufgrund des technischen Knowhows dieses Produktes ist eine Substitution zurzeit nicht möglich.</t>
  </si>
  <si>
    <t>Der Gefahrstoff wird zum xxxxx eingesetzt.</t>
  </si>
  <si>
    <t xml:space="preserve">Die gefahrbringende Komponente ist </t>
  </si>
  <si>
    <t>002</t>
  </si>
  <si>
    <t>010</t>
  </si>
  <si>
    <t>018</t>
  </si>
  <si>
    <t>019</t>
  </si>
  <si>
    <t>020</t>
  </si>
  <si>
    <t>024</t>
  </si>
  <si>
    <t>027</t>
  </si>
  <si>
    <t>029</t>
  </si>
  <si>
    <t>031</t>
  </si>
  <si>
    <t>036</t>
  </si>
  <si>
    <t>037</t>
  </si>
  <si>
    <t>039</t>
  </si>
  <si>
    <t>040</t>
  </si>
  <si>
    <t>041</t>
  </si>
  <si>
    <t>043</t>
  </si>
  <si>
    <t>044</t>
  </si>
  <si>
    <t>047</t>
  </si>
  <si>
    <t>049</t>
  </si>
  <si>
    <t>050</t>
  </si>
  <si>
    <t>051</t>
  </si>
  <si>
    <t>053</t>
  </si>
  <si>
    <t>054</t>
  </si>
  <si>
    <t>055</t>
  </si>
  <si>
    <t>056</t>
  </si>
  <si>
    <t>058</t>
  </si>
  <si>
    <t>061</t>
  </si>
  <si>
    <t>062</t>
  </si>
  <si>
    <t>063</t>
  </si>
  <si>
    <t>067</t>
  </si>
  <si>
    <t>068</t>
  </si>
  <si>
    <t>069</t>
  </si>
  <si>
    <t>075</t>
  </si>
  <si>
    <t>076</t>
  </si>
  <si>
    <t>077</t>
  </si>
  <si>
    <t>078</t>
  </si>
  <si>
    <t>079</t>
  </si>
  <si>
    <t>080</t>
  </si>
  <si>
    <t>083</t>
  </si>
  <si>
    <t>085</t>
  </si>
  <si>
    <t>086</t>
  </si>
  <si>
    <t>087</t>
  </si>
  <si>
    <t>089</t>
  </si>
  <si>
    <t>090</t>
  </si>
  <si>
    <t>091</t>
  </si>
  <si>
    <t>092</t>
  </si>
  <si>
    <t>093</t>
  </si>
  <si>
    <t>094</t>
  </si>
  <si>
    <t>096</t>
  </si>
  <si>
    <t>097</t>
  </si>
  <si>
    <t>098</t>
  </si>
  <si>
    <t>099</t>
  </si>
  <si>
    <t>100</t>
  </si>
  <si>
    <t>101</t>
  </si>
  <si>
    <t>102</t>
  </si>
  <si>
    <t>103</t>
  </si>
  <si>
    <t>108</t>
  </si>
  <si>
    <t>109</t>
  </si>
  <si>
    <t>110</t>
  </si>
  <si>
    <t>111</t>
  </si>
  <si>
    <t>112</t>
  </si>
  <si>
    <t>113</t>
  </si>
  <si>
    <t>114</t>
  </si>
  <si>
    <t>115</t>
  </si>
  <si>
    <t>116</t>
  </si>
  <si>
    <t>117</t>
  </si>
  <si>
    <t>118</t>
  </si>
  <si>
    <t>121</t>
  </si>
  <si>
    <t>122</t>
  </si>
  <si>
    <t>125</t>
  </si>
  <si>
    <t>126</t>
  </si>
  <si>
    <t>128</t>
  </si>
  <si>
    <t>130</t>
  </si>
  <si>
    <t>131</t>
  </si>
  <si>
    <t>134</t>
  </si>
  <si>
    <t>135</t>
  </si>
  <si>
    <t>136</t>
  </si>
  <si>
    <t>137</t>
  </si>
  <si>
    <t>140</t>
  </si>
  <si>
    <t>143</t>
  </si>
  <si>
    <t>144</t>
  </si>
  <si>
    <t>145</t>
  </si>
  <si>
    <t>146</t>
  </si>
  <si>
    <t>147</t>
  </si>
  <si>
    <t>148</t>
  </si>
  <si>
    <t>149</t>
  </si>
  <si>
    <t>150</t>
  </si>
  <si>
    <t>151</t>
  </si>
  <si>
    <t>152</t>
  </si>
  <si>
    <t>156</t>
  </si>
  <si>
    <t>157</t>
  </si>
  <si>
    <t>Stoff</t>
  </si>
  <si>
    <t>Organisations- und Hygienemaßnahmen "Haut"</t>
  </si>
  <si>
    <t>Beratung</t>
  </si>
  <si>
    <t>158</t>
  </si>
  <si>
    <t>159</t>
  </si>
  <si>
    <t>Flüssigkeit</t>
  </si>
  <si>
    <t>nicht als gefährlich eingestuft</t>
  </si>
  <si>
    <t>weiß</t>
  </si>
  <si>
    <t/>
  </si>
  <si>
    <t>P102</t>
  </si>
  <si>
    <t>H411</t>
  </si>
  <si>
    <t>GHS 05, GHS 07, Gefahr</t>
  </si>
  <si>
    <t>H314, H317</t>
  </si>
  <si>
    <t>P261, P280</t>
  </si>
  <si>
    <t>P391</t>
  </si>
  <si>
    <t>H341</t>
  </si>
  <si>
    <t>Kann vermutlich genetische Defekte verursachen.</t>
  </si>
  <si>
    <t>GHS 07, Achtung</t>
  </si>
  <si>
    <t>P264, P280</t>
  </si>
  <si>
    <t>GHS 02, GHS 07, Achtung</t>
  </si>
  <si>
    <t>H226</t>
  </si>
  <si>
    <t>P280</t>
  </si>
  <si>
    <t>GHS 05, Gefahr</t>
  </si>
  <si>
    <t>H315, H318</t>
  </si>
  <si>
    <t>GHS 08, Gefahr</t>
  </si>
  <si>
    <t>H304</t>
  </si>
  <si>
    <t>GHS 07, GHS 08, Gefahr</t>
  </si>
  <si>
    <t>P260, P280, P284</t>
  </si>
  <si>
    <t>H315, H319</t>
  </si>
  <si>
    <t>Aerosol</t>
  </si>
  <si>
    <t>H412</t>
  </si>
  <si>
    <t>P273, P280</t>
  </si>
  <si>
    <t>H361d</t>
  </si>
  <si>
    <t>Kann vermutlich das Kind im Mutterleib schädigen.</t>
  </si>
  <si>
    <t>Kat. 1B</t>
  </si>
  <si>
    <t>P201, P202, P280</t>
  </si>
  <si>
    <t>Gefährdungsbeurteilung</t>
  </si>
  <si>
    <t>Borsäure</t>
  </si>
  <si>
    <t>H360</t>
  </si>
  <si>
    <t>Kann die Fruchtbarkeit beeinträchtigen oder das Kind im Mutterleib schädigen.</t>
  </si>
  <si>
    <t>H360FD</t>
  </si>
  <si>
    <t>Kann die Fruchtbarkeit beeinträchtigen. Kann das Kind im Mutterleib schädigen.</t>
  </si>
  <si>
    <t>farblos</t>
  </si>
  <si>
    <t>GHS 02, GHS 07, Gefahr</t>
  </si>
  <si>
    <t>H225</t>
  </si>
  <si>
    <t>H319</t>
  </si>
  <si>
    <t>P210, P280</t>
  </si>
  <si>
    <t>P305+P351+P338, P337+P313</t>
  </si>
  <si>
    <t>H222, H229</t>
  </si>
  <si>
    <t>EUH066</t>
  </si>
  <si>
    <t>P101, P102</t>
  </si>
  <si>
    <t>GHS 02, GHS 07, GHS 09, Gefahr</t>
  </si>
  <si>
    <t>H336</t>
  </si>
  <si>
    <t>GHS 02, GHS 05, GHS 07, Gefahr</t>
  </si>
  <si>
    <t>P305+P351+P338, P310</t>
  </si>
  <si>
    <t>P305+P351+P338</t>
  </si>
  <si>
    <t>P273</t>
  </si>
  <si>
    <t>H361f</t>
  </si>
  <si>
    <t>Kann vermutlich die Fruchtbarkeit beeinträchtigen.</t>
  </si>
  <si>
    <t>schwarz</t>
  </si>
  <si>
    <t>GHS 05, GHS 07, GHS 08, Gefahr</t>
  </si>
  <si>
    <t>H360D</t>
  </si>
  <si>
    <t>Kann das Kind im Mutterleib schädigen.</t>
  </si>
  <si>
    <t>GHS 02, Gefahr</t>
  </si>
  <si>
    <t>GHS 02, GHS 07, GHS 08, Gefahr</t>
  </si>
  <si>
    <t>P403+P235</t>
  </si>
  <si>
    <t>H360F</t>
  </si>
  <si>
    <t>Kann die Fruchtbarkeit beeinträchtigen.</t>
  </si>
  <si>
    <t>Schmierstoff</t>
  </si>
  <si>
    <t>GHS 05, GHS 07, GHS 09, Gefahr</t>
  </si>
  <si>
    <t>EUH032</t>
  </si>
  <si>
    <t>P314</t>
  </si>
  <si>
    <t>Feststoff</t>
  </si>
  <si>
    <t>braun</t>
  </si>
  <si>
    <t>blau</t>
  </si>
  <si>
    <t>H361</t>
  </si>
  <si>
    <t>Kann vermutlich die Fruchtbarkeit beeinträchtigen oder das Kind im Mutterleib schädigen.</t>
  </si>
  <si>
    <t>grün</t>
  </si>
  <si>
    <t>Essigsäure</t>
  </si>
  <si>
    <t>orange</t>
  </si>
  <si>
    <t>H314, H335</t>
  </si>
  <si>
    <t>H350i</t>
  </si>
  <si>
    <t>Kann bei Einatmen Krebs erzeugen.</t>
  </si>
  <si>
    <t>P260, P280</t>
  </si>
  <si>
    <t>GHS 02, GHS 07, GHS 08, GHS 09, Gefahr</t>
  </si>
  <si>
    <t>EUH208</t>
  </si>
  <si>
    <t>P403+P233</t>
  </si>
  <si>
    <t>rot</t>
  </si>
  <si>
    <t>P264, P273, P280</t>
  </si>
  <si>
    <t>P201, P280</t>
  </si>
  <si>
    <t>P308+P313</t>
  </si>
  <si>
    <t>weißlich</t>
  </si>
  <si>
    <t>P303+P361+P353, P305+P351+P338, P310</t>
  </si>
  <si>
    <t>H290</t>
  </si>
  <si>
    <t>H314</t>
  </si>
  <si>
    <t>P301+P330+P331, P303+P361+P353, P305+P351+P338, P310</t>
  </si>
  <si>
    <t>Ethanol</t>
  </si>
  <si>
    <t>gelb</t>
  </si>
  <si>
    <t>5-10</t>
  </si>
  <si>
    <t>H350</t>
  </si>
  <si>
    <t>Kann Krebs erzeugen.</t>
  </si>
  <si>
    <t>GHS 09, Achtung</t>
  </si>
  <si>
    <t>Granulat</t>
  </si>
  <si>
    <t>P303 + P361 + P353, P305 + P351 + P338, P310</t>
  </si>
  <si>
    <t>Carl Roth GmbH + Co KG</t>
  </si>
  <si>
    <t>P210, P233</t>
  </si>
  <si>
    <t>GHS 07, GHS 08, Achtung</t>
  </si>
  <si>
    <t>P260, P264, P280</t>
  </si>
  <si>
    <t>OKS Spezialschmierstoffe GmbH</t>
  </si>
  <si>
    <t>hellgelb</t>
  </si>
  <si>
    <t>Flammpunkt</t>
  </si>
  <si>
    <t>explosive Eigen-schaften</t>
  </si>
  <si>
    <t>UEG 
[Vol.-%]</t>
  </si>
  <si>
    <t>OEG 
[Vol.-%]</t>
  </si>
  <si>
    <t>Flammpunkt:</t>
  </si>
  <si>
    <t>Explosionsgrenzen (UEG / OEG):</t>
  </si>
  <si>
    <t>Substitution_1</t>
  </si>
  <si>
    <t>P202, P280</t>
  </si>
  <si>
    <t xml:space="preserve">H315, H319, </t>
  </si>
  <si>
    <t>200</t>
  </si>
  <si>
    <t>P406</t>
  </si>
  <si>
    <t>H272</t>
  </si>
  <si>
    <t>H302, H312, H332</t>
  </si>
  <si>
    <t>rotbraun</t>
  </si>
  <si>
    <t>227</t>
  </si>
  <si>
    <t>hellbraun</t>
  </si>
  <si>
    <t>230</t>
  </si>
  <si>
    <t>10</t>
  </si>
  <si>
    <t>P305+P351+P338, P303+P361+P353, P310</t>
  </si>
  <si>
    <t>GHS 05, GHS 09, Achtung</t>
  </si>
  <si>
    <t>H315</t>
  </si>
  <si>
    <t>120</t>
  </si>
  <si>
    <t>Merck KGaA</t>
  </si>
  <si>
    <t>diverse</t>
  </si>
  <si>
    <t>H226, H290</t>
  </si>
  <si>
    <t>P301 + P330 + P331, P305 + P351 + P338, P308 + P310</t>
  </si>
  <si>
    <t>farbig</t>
  </si>
  <si>
    <t>220</t>
  </si>
  <si>
    <t>bernsteinfarben</t>
  </si>
  <si>
    <t>H318</t>
  </si>
  <si>
    <t>P260</t>
  </si>
  <si>
    <t>GHS 05, GHS 09, Gefahr</t>
  </si>
  <si>
    <t>H314, H318</t>
  </si>
  <si>
    <t>P403 + P235</t>
  </si>
  <si>
    <t>dunkelbraun</t>
  </si>
  <si>
    <t>EUH066, EUH208</t>
  </si>
  <si>
    <t>P305+P351+P338, P313</t>
  </si>
  <si>
    <t>(alte Kennzeichnung)</t>
  </si>
  <si>
    <t>Chemetall GmbH</t>
  </si>
  <si>
    <t>Korrosionsschutzmittel</t>
  </si>
  <si>
    <t>H317, H318</t>
  </si>
  <si>
    <t>Phenolphthalein</t>
  </si>
  <si>
    <t>GHS 05, Achtung</t>
  </si>
  <si>
    <t>P234</t>
  </si>
  <si>
    <t>P390</t>
  </si>
  <si>
    <t>P301 + P310, P331</t>
  </si>
  <si>
    <t>196</t>
  </si>
  <si>
    <t>250</t>
  </si>
  <si>
    <t>beige</t>
  </si>
  <si>
    <t>P234, P280</t>
  </si>
  <si>
    <t>Schwefelsäure</t>
  </si>
  <si>
    <t>H400, H411</t>
  </si>
  <si>
    <t>199</t>
  </si>
  <si>
    <t>k.A.</t>
  </si>
  <si>
    <t>hellgrün</t>
  </si>
  <si>
    <t>P302+P352, P305+P351+P338, P337+P313</t>
  </si>
  <si>
    <t>Salpetersäure</t>
  </si>
  <si>
    <t>dunkelgrün</t>
  </si>
  <si>
    <t>GHS 05, GHS 08, Gefahr</t>
  </si>
  <si>
    <t>Natriumhydroxid</t>
  </si>
  <si>
    <t>P210, P233, P280</t>
  </si>
  <si>
    <t>PETROFER-CHEMIE</t>
  </si>
  <si>
    <t xml:space="preserve">
Achtung Gefahr</t>
  </si>
  <si>
    <t>000</t>
  </si>
  <si>
    <t>Verantwortliche Führungskraft</t>
  </si>
  <si>
    <t>Funktion</t>
  </si>
  <si>
    <t>003</t>
  </si>
  <si>
    <t>004</t>
  </si>
  <si>
    <t>005</t>
  </si>
  <si>
    <t>006</t>
  </si>
  <si>
    <t>007</t>
  </si>
  <si>
    <t>008</t>
  </si>
  <si>
    <t>009</t>
  </si>
  <si>
    <t>011</t>
  </si>
  <si>
    <t>012</t>
  </si>
  <si>
    <t>013</t>
  </si>
  <si>
    <t>014</t>
  </si>
  <si>
    <t>015</t>
  </si>
  <si>
    <t>016</t>
  </si>
  <si>
    <t>017</t>
  </si>
  <si>
    <t>021</t>
  </si>
  <si>
    <t>022</t>
  </si>
  <si>
    <t>023</t>
  </si>
  <si>
    <t>025</t>
  </si>
  <si>
    <t>026</t>
  </si>
  <si>
    <t>028</t>
  </si>
  <si>
    <t>030</t>
  </si>
  <si>
    <t>032</t>
  </si>
  <si>
    <t>033</t>
  </si>
  <si>
    <t>034</t>
  </si>
  <si>
    <t>035</t>
  </si>
  <si>
    <t>042</t>
  </si>
  <si>
    <t>045</t>
  </si>
  <si>
    <t>046</t>
  </si>
  <si>
    <t>048</t>
  </si>
  <si>
    <t>052</t>
  </si>
  <si>
    <t>057</t>
  </si>
  <si>
    <t>059</t>
  </si>
  <si>
    <t>060</t>
  </si>
  <si>
    <t>064</t>
  </si>
  <si>
    <t>065</t>
  </si>
  <si>
    <t>066</t>
  </si>
  <si>
    <t>070</t>
  </si>
  <si>
    <t>071</t>
  </si>
  <si>
    <t>072</t>
  </si>
  <si>
    <t>073</t>
  </si>
  <si>
    <t>074</t>
  </si>
  <si>
    <t>081</t>
  </si>
  <si>
    <t>082</t>
  </si>
  <si>
    <t>084</t>
  </si>
  <si>
    <t>088</t>
  </si>
  <si>
    <t>095</t>
  </si>
  <si>
    <t>104</t>
  </si>
  <si>
    <t>105</t>
  </si>
  <si>
    <t>106</t>
  </si>
  <si>
    <t>107</t>
  </si>
  <si>
    <t>119</t>
  </si>
  <si>
    <t>123</t>
  </si>
  <si>
    <t>124</t>
  </si>
  <si>
    <t>127</t>
  </si>
  <si>
    <t>129</t>
  </si>
  <si>
    <t>132</t>
  </si>
  <si>
    <t>133</t>
  </si>
  <si>
    <t>138</t>
  </si>
  <si>
    <t>139</t>
  </si>
  <si>
    <t>141</t>
  </si>
  <si>
    <t>142</t>
  </si>
  <si>
    <t>153</t>
  </si>
  <si>
    <t>154</t>
  </si>
  <si>
    <t>155</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</si>
  <si>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</si>
  <si>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</si>
  <si>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</si>
  <si>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</si>
  <si>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</si>
  <si>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</si>
  <si>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</si>
  <si>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</si>
  <si>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</si>
  <si>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</si>
  <si>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</si>
  <si>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</si>
  <si>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</si>
  <si>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</si>
  <si>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</si>
  <si>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</si>
  <si>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</si>
  <si>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</si>
  <si>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</si>
  <si>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</si>
  <si>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</si>
  <si>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</si>
  <si>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</si>
  <si>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</si>
  <si>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</si>
  <si>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</si>
  <si>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</si>
  <si>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</si>
  <si>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</si>
  <si>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</si>
  <si>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</si>
  <si>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</si>
  <si>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</si>
  <si>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</si>
  <si>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</si>
  <si>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</si>
  <si>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197</t>
  </si>
  <si>
    <t>198</t>
  </si>
  <si>
    <t>201</t>
  </si>
  <si>
    <t>202</t>
  </si>
  <si>
    <t>203</t>
  </si>
  <si>
    <t>204</t>
  </si>
  <si>
    <t>205</t>
  </si>
  <si>
    <t>206</t>
  </si>
  <si>
    <t>207</t>
  </si>
  <si>
    <t>208</t>
  </si>
  <si>
    <t>209</t>
  </si>
  <si>
    <t>210</t>
  </si>
  <si>
    <t>211</t>
  </si>
  <si>
    <t>212</t>
  </si>
  <si>
    <t>213</t>
  </si>
  <si>
    <t>214</t>
  </si>
  <si>
    <t>215</t>
  </si>
  <si>
    <t>216</t>
  </si>
  <si>
    <t>217</t>
  </si>
  <si>
    <t>218</t>
  </si>
  <si>
    <t>219</t>
  </si>
  <si>
    <t>221</t>
  </si>
  <si>
    <t>222</t>
  </si>
  <si>
    <t>223</t>
  </si>
  <si>
    <t>224</t>
  </si>
  <si>
    <t>225</t>
  </si>
  <si>
    <t>226</t>
  </si>
  <si>
    <t>OTH Oberflächentechnik Hagen GmbH &amp; Co. KG</t>
  </si>
  <si>
    <t>Selbecker Str. 145-149, 58091 Hagen</t>
  </si>
  <si>
    <t>Herr Udo Gensowski</t>
  </si>
  <si>
    <t>Geschäftsführer</t>
  </si>
  <si>
    <t>228</t>
  </si>
  <si>
    <t>229</t>
  </si>
  <si>
    <t>231</t>
  </si>
  <si>
    <t>232</t>
  </si>
  <si>
    <t>233</t>
  </si>
  <si>
    <t>234</t>
  </si>
  <si>
    <t>235</t>
  </si>
  <si>
    <t>236</t>
  </si>
  <si>
    <t>237</t>
  </si>
  <si>
    <t>238</t>
  </si>
  <si>
    <t>239</t>
  </si>
  <si>
    <t>240</t>
  </si>
  <si>
    <t>241</t>
  </si>
  <si>
    <t>242</t>
  </si>
  <si>
    <t>243</t>
  </si>
  <si>
    <t>244</t>
  </si>
  <si>
    <t>245</t>
  </si>
  <si>
    <t>246</t>
  </si>
  <si>
    <t>247</t>
  </si>
  <si>
    <t>248</t>
  </si>
  <si>
    <t>249</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</si>
  <si>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</si>
  <si>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</si>
  <si>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</si>
  <si>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</si>
  <si>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</si>
  <si>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</si>
  <si>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</si>
  <si>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</si>
  <si>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</si>
  <si>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</si>
  <si>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</si>
  <si>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</si>
  <si>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</si>
  <si>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</si>
  <si>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</si>
  <si>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</si>
  <si>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</si>
  <si>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</si>
  <si>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</si>
  <si>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</si>
  <si>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</si>
  <si>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</si>
  <si>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</si>
  <si>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</si>
  <si>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</si>
  <si>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</si>
  <si>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</si>
  <si>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</si>
  <si>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</si>
  <si>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</si>
  <si>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</si>
  <si>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</si>
  <si>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</si>
  <si>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</si>
  <si>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</si>
  <si>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</si>
  <si>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</si>
  <si>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</si>
  <si>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</si>
  <si>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</si>
  <si>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</si>
  <si>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</si>
  <si>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</si>
  <si>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</si>
  <si>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</si>
  <si>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</si>
  <si>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</si>
  <si>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Steinex 22</t>
  </si>
  <si>
    <t>Alufinish GmbH &amp; Co. KG</t>
  </si>
  <si>
    <t>Beizen</t>
  </si>
  <si>
    <t>Substitutionen sind im Galvanikbereich nicht zielführend (vgl. ASA vom 05.05.2025)</t>
  </si>
  <si>
    <t>Alfideox 82/3</t>
  </si>
  <si>
    <t>GHS 05, GHS 06, Gefahr</t>
  </si>
  <si>
    <t>H301, H310, H314, H331</t>
  </si>
  <si>
    <t xml:space="preserve">P260, P280, </t>
  </si>
  <si>
    <t>P301+P310, P303+P361+P353, P305+P351+P338</t>
  </si>
  <si>
    <t xml:space="preserve">Schwefelsäure, Hydrogenfluorid, </t>
  </si>
  <si>
    <t>k.A</t>
  </si>
  <si>
    <t>Alfiflex 450</t>
  </si>
  <si>
    <t>P310, P303+P361+P353, P305+P351+P338</t>
  </si>
  <si>
    <t>Phosphorsäure, Schwefelsäure</t>
  </si>
  <si>
    <t>CHEMOPUR Trockensäure</t>
  </si>
  <si>
    <t>CHEMOPUR H. Brand GmbH</t>
  </si>
  <si>
    <t>H302, H314</t>
  </si>
  <si>
    <t>P310, P303+P361+P353, P305+P351+P338 , P304+P340, P301+P330+P331</t>
  </si>
  <si>
    <t xml:space="preserve">Natriumhydrogendifluorid, </t>
  </si>
  <si>
    <t>FerroChem KE</t>
  </si>
  <si>
    <t>ElpoChem AG</t>
  </si>
  <si>
    <t>Metalloberflächenbehandlung</t>
  </si>
  <si>
    <t>GHS 03, GHS 05, GHS 06, Gefahr</t>
  </si>
  <si>
    <t>H301, H314</t>
  </si>
  <si>
    <t>P210, P220, P221, P260, P264, P270, P280</t>
  </si>
  <si>
    <t>P301+P310, P303+P361+P353, P305+P351+P338, P301+P330+P331, P304+P34, P310, P321, P330, P363, P370+P378</t>
  </si>
  <si>
    <t>Stahlbeize RSK</t>
  </si>
  <si>
    <t>P301+P330+P331, P303+P361+P353, P304+P340, P305+P351+P338, P310, P321, P363</t>
  </si>
  <si>
    <t>GLEITMO 625</t>
  </si>
  <si>
    <t>Eissing GmbH / FUCHS LUBRITECH GmbH</t>
  </si>
  <si>
    <t>Gleitmittelfilm</t>
  </si>
  <si>
    <t>P210, P262</t>
  </si>
  <si>
    <t>Isopropanol</t>
  </si>
  <si>
    <t>GLEITMO 2345 V</t>
  </si>
  <si>
    <t>GLEITMO 605</t>
  </si>
  <si>
    <t>HESSOPAS BP-400</t>
  </si>
  <si>
    <t>Dr. HESSE GmbH &amp; Cie KG</t>
  </si>
  <si>
    <t>GHS 05, GHS 08, GHS 09, Gefahr</t>
  </si>
  <si>
    <t xml:space="preserve">H314, H317, H334, H350i, H360f, H341, </t>
  </si>
  <si>
    <t xml:space="preserve">P201, P202, P260, </t>
  </si>
  <si>
    <t>P310, P321</t>
  </si>
  <si>
    <t>siehe tätigkeitsspezifische Gefährdungsbeurteilung</t>
  </si>
  <si>
    <t>HESSONIC MP-4 Teil A</t>
  </si>
  <si>
    <t>GHS 08, GHS 09, Gefahr</t>
  </si>
  <si>
    <t>H317, H334, H341, H350i, H360D, H372</t>
  </si>
  <si>
    <t>P314, P342+P311</t>
  </si>
  <si>
    <t>DINATRIUMTETRABORATDECAHYDRAT</t>
  </si>
  <si>
    <t>HESSONIC MP-4,Teil B</t>
  </si>
  <si>
    <t xml:space="preserve">H315, H317, H318, H334, H341, H350i, H360D, H372, </t>
  </si>
  <si>
    <t>BORSÄURE</t>
  </si>
  <si>
    <t>HESSONIC MP-4,Teil C</t>
  </si>
  <si>
    <t>P260, P264</t>
  </si>
  <si>
    <t>P405, P403+P233</t>
  </si>
  <si>
    <t>SUPRAGAL NOVA Träger AS 100</t>
  </si>
  <si>
    <t>SUPRAGAL NOVA, Glanz 100</t>
  </si>
  <si>
    <t>SUPRAGAL NOVA Netzmittel WM 100</t>
  </si>
  <si>
    <t>P310, P321, P305+P351+P338, P302+P352</t>
  </si>
  <si>
    <t>SUPRAGAL NOVA Einebner LC 100</t>
  </si>
  <si>
    <t xml:space="preserve">P201, P202, P280, </t>
  </si>
  <si>
    <t>Entmetallisierung Ni/P EN Teil I</t>
  </si>
  <si>
    <t>H317, H319</t>
  </si>
  <si>
    <t>P261, P264, P272</t>
  </si>
  <si>
    <t>P321, P333+P313, P337+P313</t>
  </si>
  <si>
    <t>Entmetallisierung Ni/P EN Teil II</t>
  </si>
  <si>
    <t>P261, P264, P270</t>
  </si>
  <si>
    <t>P310, P321, P330</t>
  </si>
  <si>
    <t>Entmetallisierung Ni/P EN Teil III</t>
  </si>
  <si>
    <t>H314, H317, H334, H302, H312</t>
  </si>
  <si>
    <t xml:space="preserve">P260, P264, P270, </t>
  </si>
  <si>
    <t>Proseal Additiv Y</t>
  </si>
  <si>
    <t>KIESOW OBERFLÄCHENCHEMIE GmbH &amp; Co. KG</t>
  </si>
  <si>
    <t>Dunkelgelb</t>
  </si>
  <si>
    <t>EUH210</t>
  </si>
  <si>
    <t>Proseal XZ 111</t>
  </si>
  <si>
    <t>H314, H317, H334, H341, H350i, H360F</t>
  </si>
  <si>
    <t>P303+P361+P353, P305+P351+P338, P310, P321, P362+P364</t>
  </si>
  <si>
    <t xml:space="preserve">Salpetersäure 54%ig (2,5-10%), </t>
  </si>
  <si>
    <t>Kobalt(II)-Sulfat</t>
  </si>
  <si>
    <t>2,5-5</t>
  </si>
  <si>
    <t>SURFACLEAN V 149</t>
  </si>
  <si>
    <t>H302, H314. H318</t>
  </si>
  <si>
    <t xml:space="preserve">P260 </t>
  </si>
  <si>
    <t>P303+P361+P353, P305+P351+P338, P310, P321</t>
  </si>
  <si>
    <t>SURFACLEAN N 958</t>
  </si>
  <si>
    <t>dunkelgelb</t>
  </si>
  <si>
    <t>H302, H315, H318</t>
  </si>
  <si>
    <t>P305+P351+P338, P310, P321, 330, P362+P364</t>
  </si>
  <si>
    <t>SUPRAGAL NOVA Netzmittel WA 100</t>
  </si>
  <si>
    <t>H315, 318</t>
  </si>
  <si>
    <t>Ammoniumpufferlösung für die Komplexometrie PH 10</t>
  </si>
  <si>
    <t>Chemische Analytik</t>
  </si>
  <si>
    <t>Ammoniak in wässriger Lösung, Ammoniumchlorid</t>
  </si>
  <si>
    <t>BROMKRESOLPURPUR</t>
  </si>
  <si>
    <t>violett</t>
  </si>
  <si>
    <t>Heizöl</t>
  </si>
  <si>
    <t>n. n. / diverse</t>
  </si>
  <si>
    <t>Heizung</t>
  </si>
  <si>
    <t>H304, H315, H332, H351, H373</t>
  </si>
  <si>
    <t>P210, P260, P273, P280</t>
  </si>
  <si>
    <t>P403 + P233</t>
  </si>
  <si>
    <t>Brennstoffe, Diesel-</t>
  </si>
  <si>
    <t>H351</t>
  </si>
  <si>
    <t>Kann vermutlich Krebs erzeugen.</t>
  </si>
  <si>
    <t>di-Kaliumoxalat-Monohydrat</t>
  </si>
  <si>
    <t>H302+H312</t>
  </si>
  <si>
    <t>P270, P280</t>
  </si>
  <si>
    <t>P302+P352</t>
  </si>
  <si>
    <t>Staub</t>
  </si>
  <si>
    <t>Dimethylgelb Indikatorlösung 0,2 % in Ethanol,
vergällt</t>
  </si>
  <si>
    <t xml:space="preserve">P210 </t>
  </si>
  <si>
    <t xml:space="preserve">P305+P351+P338 </t>
  </si>
  <si>
    <t>Dimethylgelb</t>
  </si>
  <si>
    <t>&lt; 2,5</t>
  </si>
  <si>
    <t>Eriochromschwarz T</t>
  </si>
  <si>
    <t>GHS 07, GHS 09, Achtung</t>
  </si>
  <si>
    <t>Allgemeiner Staubgrenzwert,
Alveolengängige
Fraktion</t>
  </si>
  <si>
    <t>Ethanol ROTISOLV® Pestilyse®plus ≥99,9 %</t>
  </si>
  <si>
    <t>Natrium-EDTA-Lösung 0,05 mol/l - 1/20 M Lösung Titriermittel für METROHM</t>
  </si>
  <si>
    <t>Bernd Kraft GmbH</t>
  </si>
  <si>
    <t>Iodid-Iodat-Lösung</t>
  </si>
  <si>
    <t>GHS 08, Achtung</t>
  </si>
  <si>
    <t>H373</t>
  </si>
  <si>
    <t>Alficlean 139</t>
  </si>
  <si>
    <t>H318, H360FD</t>
  </si>
  <si>
    <t>P201, P273, P280</t>
  </si>
  <si>
    <t>P305+P351+P338, P310, P308+P313</t>
  </si>
  <si>
    <t>Boraxdecahydrat</t>
  </si>
  <si>
    <t>25 - 50</t>
  </si>
  <si>
    <t>Kalilauge 6 mol/l</t>
  </si>
  <si>
    <t>P305+P351+P338, P303+P361+P353, P309, P310, P301+P330+P331</t>
  </si>
  <si>
    <t>Kaliumchromat 10% Lösung</t>
  </si>
  <si>
    <t>CHEM-LAB NV</t>
  </si>
  <si>
    <t>GHS 07, GHS 08, GHS 09, Gefahr</t>
  </si>
  <si>
    <t>H315, H317, H319, H335, H340, H350</t>
  </si>
  <si>
    <t>P308 + P313, P305 + P351 + P338, P302 + P352</t>
  </si>
  <si>
    <t>Kaliumchromat</t>
  </si>
  <si>
    <t>H340</t>
  </si>
  <si>
    <t>Kann genetische Defekte verursachen.</t>
  </si>
  <si>
    <t>Kaliumfluoridlösung 50% reinst</t>
  </si>
  <si>
    <t>H301+H311+H331, H318</t>
  </si>
  <si>
    <t xml:space="preserve">P301+P310, P302+P352, 304+P340, P305+P351+P338, P361+P364 </t>
  </si>
  <si>
    <t xml:space="preserve">P403+P233 </t>
  </si>
  <si>
    <t>Jod-Kaliumjodidlösung nach Lugol</t>
  </si>
  <si>
    <t>Jod</t>
  </si>
  <si>
    <t>Kaliumpermanganatlösung Titrisol</t>
  </si>
  <si>
    <t>GHS 03, GHS 05, GHS 08, GHS 09, Gefahr</t>
  </si>
  <si>
    <t>H314, H361d</t>
  </si>
  <si>
    <t>P210, P273, P280</t>
  </si>
  <si>
    <t>P303 + P361 + P353, P304 + P340 + P310, P305 + P351 + P338</t>
  </si>
  <si>
    <t>Kaliumpermanganat</t>
  </si>
  <si>
    <t>&gt;= 5 - &lt; 10</t>
  </si>
  <si>
    <t>Methylorange</t>
  </si>
  <si>
    <t>GHS 06, Gefahr</t>
  </si>
  <si>
    <t>H301</t>
  </si>
  <si>
    <t>P270</t>
  </si>
  <si>
    <t>P301+P310</t>
  </si>
  <si>
    <t>Methylrot</t>
  </si>
  <si>
    <t>rot - violett</t>
  </si>
  <si>
    <t>Murexid</t>
  </si>
  <si>
    <t>Natrium- EDTA- Lösung</t>
  </si>
  <si>
    <t>Natriumhydrogencarbonatlösung</t>
  </si>
  <si>
    <t>Natriumthiosulfatlösung 
(0,1 mol/l - 0,1 N Maßlösung)</t>
  </si>
  <si>
    <t>Nickelchlorid-Hexahydrat</t>
  </si>
  <si>
    <t>Richard Steinebach GmbH &amp; Co.KG</t>
  </si>
  <si>
    <t>GHS 06, GHS 08, GHS 09, Gefahr</t>
  </si>
  <si>
    <t>H301, H315, H317, H331, H334, H341, H350i, H360D, H372</t>
  </si>
  <si>
    <t>P201, P260, P273, P285</t>
  </si>
  <si>
    <t>P301+P310, P302+P352, P304+P340, P308+P313, P314, P330, P342+P311, P362, P391</t>
  </si>
  <si>
    <t>Nickel(II)chloridhexahydrat, Nickelchlorid</t>
  </si>
  <si>
    <t>Nickel(II)chloridhexahydrat</t>
  </si>
  <si>
    <t>Kat. 1A</t>
  </si>
  <si>
    <t>Natronlauge 
(0,1 mol/l - 0,1 N, Maßlösung)</t>
  </si>
  <si>
    <t>Natronlauge 25 %, reinst</t>
  </si>
  <si>
    <t xml:space="preserve">P303+P361+P353, P305+P351+P338, P310, </t>
  </si>
  <si>
    <t>Industrie-Decklack 2150 
(RAL 5010 blau glänzend, RAL 7035 lichtgrau)</t>
  </si>
  <si>
    <t>PHARMOL Farben und Lacke GmbH</t>
  </si>
  <si>
    <t>Farben</t>
  </si>
  <si>
    <t>P210, P243, P280</t>
  </si>
  <si>
    <t>P303 + P361 + P353, P391</t>
  </si>
  <si>
    <t>Xylol, 2-Butanonoxim</t>
  </si>
  <si>
    <t>2-Butanonoxim</t>
  </si>
  <si>
    <t>0,5</t>
  </si>
  <si>
    <t>Phenolphthalein - Lösung 0,1 %</t>
  </si>
  <si>
    <t>AppliChem GmbH</t>
  </si>
  <si>
    <t>P303+P361+P353, P305+P351+P33</t>
  </si>
  <si>
    <t xml:space="preserve">P403+P235 </t>
  </si>
  <si>
    <t>0,1</t>
  </si>
  <si>
    <t>Salzsäure 20 % 1:1 reinst</t>
  </si>
  <si>
    <t>GHS 05, GHS 07, Achtung</t>
  </si>
  <si>
    <t>H315, H319, H335</t>
  </si>
  <si>
    <t>P302+P352, P305+P351+P338</t>
  </si>
  <si>
    <t>Salzsäure</t>
  </si>
  <si>
    <t>OTH-Netzmittel HLZ2000</t>
  </si>
  <si>
    <t>OTH-Oberflächentechnik</t>
  </si>
  <si>
    <t>P305, P338, P310, P351</t>
  </si>
  <si>
    <t>Salzsäure 1mol/l</t>
  </si>
  <si>
    <t>Schwefelsäure 2 mol/l - 4 N Lösung</t>
  </si>
  <si>
    <t>Schwefelsäure 62 - 63 %</t>
  </si>
  <si>
    <t>Topal 10-32</t>
  </si>
  <si>
    <t>Dr. M. Kampschulte GmbH &amp; Co. KG</t>
  </si>
  <si>
    <t>dunkelrot</t>
  </si>
  <si>
    <t>Additiv (Restbestand im Gefahrstofflager)</t>
  </si>
  <si>
    <t>GHS 05, GHS 06, GHS 07, GHS 08, GHS 09, Gefahr</t>
  </si>
  <si>
    <t>H301, H311, H314, H317, H330, H334, H335 H340, H350, H361f, H372</t>
  </si>
  <si>
    <t>P301+P310, P303+P361+P353, P305+P351+P338, P320, P361+P364</t>
  </si>
  <si>
    <t>Phosphorsäure</t>
  </si>
  <si>
    <t>Chromtrioxid</t>
  </si>
  <si>
    <t>10-25</t>
  </si>
  <si>
    <t>Schwefelsäure 96 %, VLSI Grade</t>
  </si>
  <si>
    <t>P303+P361+P353, P305+P351+P338, P310, P301+P330+P331</t>
  </si>
  <si>
    <t>Schwefelsäure 0,05mol</t>
  </si>
  <si>
    <t xml:space="preserve"> 02.11.2023</t>
  </si>
  <si>
    <t>OTH-Glanzzusatz HLZ2000</t>
  </si>
  <si>
    <t>parachem GmbH</t>
  </si>
  <si>
    <t>H319, H315, H317</t>
  </si>
  <si>
    <t>P210, P241, P261</t>
  </si>
  <si>
    <t>P302, P352, P321, P332, P313, P362, P305, P351, P338, P337, P313</t>
  </si>
  <si>
    <t>Butyldiglycol,4-Phenyl-3-buten-2-on, Isopropanol, Natriumbenzoat</t>
  </si>
  <si>
    <t>Silbernitratlösung (1 mol/l – 1 N, Maßlösung)</t>
  </si>
  <si>
    <t>Silberverbindungen,
anorganische</t>
  </si>
  <si>
    <t>Karion Sorbitsirup</t>
  </si>
  <si>
    <t>CitriSurf® 3050</t>
  </si>
  <si>
    <t>MKK GmbH</t>
  </si>
  <si>
    <t>Stärkelösung 1 %</t>
  </si>
  <si>
    <t>Wasserstoffperoxid 35 % rein, stabilisiert</t>
  </si>
  <si>
    <t>H315, H318, H335, H302+H332</t>
  </si>
  <si>
    <t xml:space="preserve">P302+P352, P304+P340, P305+P351+P338, P310, </t>
  </si>
  <si>
    <t>OTH-Buntmetallbeize 314</t>
  </si>
  <si>
    <t>P303+P361+P353, P305+P351+P338, P310, P304+ P340</t>
  </si>
  <si>
    <t>Methoxypropanol</t>
  </si>
  <si>
    <t>OTH-Glanzzusatz HLZ1000</t>
  </si>
  <si>
    <t>H315, H317, H319</t>
  </si>
  <si>
    <t>P210, P241, P261, P272, P280</t>
  </si>
  <si>
    <t xml:space="preserve">P302+P352, P332+P313, P305+P351+P338, P310, P362, P337+P313, </t>
  </si>
  <si>
    <t>Butyldiglycol, Isopropanol</t>
  </si>
  <si>
    <t>OTH-NANO-KOMBI</t>
  </si>
  <si>
    <t>Paracid BM314</t>
  </si>
  <si>
    <t>Paracid S100</t>
  </si>
  <si>
    <t>Plexon 2210</t>
  </si>
  <si>
    <t>C.H. Erbslöh GmbH</t>
  </si>
  <si>
    <t>Abwasserbehandlung</t>
  </si>
  <si>
    <t>P273, P291</t>
  </si>
  <si>
    <t>GARDOMER L 6332</t>
  </si>
  <si>
    <t>trüb / weiß</t>
  </si>
  <si>
    <t>Metaclean A</t>
  </si>
  <si>
    <t>GéUTec</t>
  </si>
  <si>
    <t>rot-orange</t>
  </si>
  <si>
    <t>Natriumchlorid</t>
  </si>
  <si>
    <t>Sigma-Aldrich Chemie GmbH</t>
  </si>
  <si>
    <t>Öladsorptionsmittel:Typ PBK3</t>
  </si>
  <si>
    <t>gelblich/grau</t>
  </si>
  <si>
    <t>ROSTEX: Rostschutz Grund grau (RAL 5010 blau)</t>
  </si>
  <si>
    <t>P303 + P361 + P353</t>
  </si>
  <si>
    <t>Xylol, Isomerengemisch, Ethanol, 2-Methoxy-1-methylethylacetat</t>
  </si>
  <si>
    <t>ROSTOP</t>
  </si>
  <si>
    <t>WÜKONIL® RT 50 F</t>
  </si>
  <si>
    <t>S E C GmbH &amp; Co. KG</t>
  </si>
  <si>
    <t>Nitro-Verdünnung E-COLL</t>
  </si>
  <si>
    <t>E/D/E - Einkaufsbüro Deutscher Eisenhändler GmbH</t>
  </si>
  <si>
    <t>Lösungsmittel</t>
  </si>
  <si>
    <t>H304, H315, H319, H336, H312+H332</t>
  </si>
  <si>
    <t>P210, P261</t>
  </si>
  <si>
    <t>P301+P310, P305+P351+P338</t>
  </si>
  <si>
    <t xml:space="preserve">Aceton, Ethylacetat, Methylacetat, n-Butylacetat, Xylol, Butanon, Ethanol, Methanol, Propan-2-ol, Butan-1-ol, Toluol, </t>
  </si>
  <si>
    <t>Toluol</t>
  </si>
  <si>
    <t>2,5-10</t>
  </si>
  <si>
    <t>UNI FLOC 75 BOM-Fe-pH-N</t>
  </si>
  <si>
    <t>De.mem-GeUTec GmbH</t>
  </si>
  <si>
    <t>H315, H318, H335</t>
  </si>
  <si>
    <t>P305+P351+P338, P304+P340, P310</t>
  </si>
  <si>
    <t>Calciumhydroxid</t>
  </si>
  <si>
    <t>Amidosulfonsäure</t>
  </si>
  <si>
    <t>H360f, H360d</t>
  </si>
  <si>
    <t>Demineralisiertes Wasser</t>
  </si>
  <si>
    <t>Eisen-II-chloridlösung 20 - 30%</t>
  </si>
  <si>
    <t>braun grünlich</t>
  </si>
  <si>
    <t>H315, H317, H318, H335</t>
  </si>
  <si>
    <t>P261</t>
  </si>
  <si>
    <t>P305+P351+P338, P321, P310</t>
  </si>
  <si>
    <t>Salzsäure 30 %</t>
  </si>
  <si>
    <t>Flußsäure (Flusssäure) 59 %</t>
  </si>
  <si>
    <t>H314, H300+H310+H330</t>
  </si>
  <si>
    <t>P301+P310, P303+P361+P353, P305+P351+P338, P320</t>
  </si>
  <si>
    <t>Fluorwasserstoffsäure, Flußsäure 71% -75 %</t>
  </si>
  <si>
    <t>Harnstoff Urea Carbamid</t>
  </si>
  <si>
    <t>Kaliumchlorid / Chlorkalium</t>
  </si>
  <si>
    <t>Kalkhydrat / Calciumdihydroxid</t>
  </si>
  <si>
    <t>H335</t>
  </si>
  <si>
    <t>P302+P352, P304+P340, P305+P351+P338, P310</t>
  </si>
  <si>
    <t>Calciumdihydroxid</t>
  </si>
  <si>
    <t>Ätznatron, Microprills
CAUSTIC SODA, microprills</t>
  </si>
  <si>
    <t>P301+P330+P331, P303 + P361 + P353, P305+P351+P338, P310</t>
  </si>
  <si>
    <t>Salpetersäure 51/53%</t>
  </si>
  <si>
    <t>H314, H331</t>
  </si>
  <si>
    <t>Salpetersäure 100 %</t>
  </si>
  <si>
    <t>Salzsäure 30%</t>
  </si>
  <si>
    <t>Covestro Deutschland AG</t>
  </si>
  <si>
    <t>P301 + P330 + P331, P303 + P361 + P353, P304 + P340 + P310, P305 + P351 + P338 + P310</t>
  </si>
  <si>
    <t xml:space="preserve">Chlorwasserstoff, </t>
  </si>
  <si>
    <t>JUBOphos SF 1910</t>
  </si>
  <si>
    <t>JUBO Technologies GmbH</t>
  </si>
  <si>
    <t xml:space="preserve">Oberflächentechnik / Korrosionsschutz </t>
  </si>
  <si>
    <t>H315, H319, H373</t>
  </si>
  <si>
    <t>P305 + P351 + P338, P314, P332 + P313, P337 + P313, P362 + P364</t>
  </si>
  <si>
    <t>Schwefelsäure 96 %</t>
  </si>
  <si>
    <t>Wasserstoffperoxid 35 %</t>
  </si>
  <si>
    <t>P305+P351+P338, P310, P321</t>
  </si>
  <si>
    <t>Ätznatron Prills</t>
  </si>
  <si>
    <t>Stockmeier Chemie GmbH &amp; Co. KG</t>
  </si>
  <si>
    <t>Amidosulfonsäure Ohne Antiback</t>
  </si>
  <si>
    <t>P305+P351+P338, P302+P352, P337+P313</t>
  </si>
  <si>
    <t>Kaliumchlorid 99% techn. o. Antiback</t>
  </si>
  <si>
    <t>Harnstoff techn.</t>
  </si>
  <si>
    <t>Weisskalkhydrat</t>
  </si>
  <si>
    <t>weiß bis gelblich</t>
  </si>
  <si>
    <t>P302+P352, P304+P340, P305+P351+P338</t>
  </si>
  <si>
    <t>Nickelchlorid</t>
  </si>
  <si>
    <t>H301, H315, H317, H331, H334, H341, H350i, H360d, H372</t>
  </si>
  <si>
    <t>P201, P264, P280</t>
  </si>
  <si>
    <t>P304+P340, P311, P333+P313, P302+P352</t>
  </si>
  <si>
    <t>Salzsäure chem. rein 37%</t>
  </si>
  <si>
    <t>P301+P330+P331, P303+P361+P353, P304+P340, P305+P351+P338, P309+P311</t>
  </si>
  <si>
    <t>Schwefelsäure 96% techn.</t>
  </si>
  <si>
    <t>Schwefelsäure (50-100%)</t>
  </si>
  <si>
    <t>Eisen II Chlorid Lsg 30 %</t>
  </si>
  <si>
    <t>H302, H317, H318</t>
  </si>
  <si>
    <t>P301+P312, P302+P352, P305+P351+P338, P310</t>
  </si>
  <si>
    <t>Salzsäure (1-10%)</t>
  </si>
  <si>
    <t>Entschäumer GU-SF</t>
  </si>
  <si>
    <t>P301+P310, P331</t>
  </si>
  <si>
    <t>Kohlenwasserstoffe C11-C14 Aliphaten</t>
  </si>
  <si>
    <t>Nickelsulfat Heptahydrat</t>
  </si>
  <si>
    <t>H302, H315, H317, H332, H334, H341, H350i, H360d, H372</t>
  </si>
  <si>
    <t>P201, P260, P280</t>
  </si>
  <si>
    <t>P342+P311, P302+P352, P304+P340, P333+P313</t>
  </si>
  <si>
    <t>Nickel(II)-sulfat-Hexahydrat (50-100%)</t>
  </si>
  <si>
    <t>Auftausalz</t>
  </si>
  <si>
    <t>Hof</t>
  </si>
  <si>
    <t>Zinkchlorid wasserfrei</t>
  </si>
  <si>
    <t>H302, H314, H335</t>
  </si>
  <si>
    <t>P260, P280, P273</t>
  </si>
  <si>
    <t>P301+P330+P331, P303+P361+P353, P305+P351+P338, P304+P340, P310</t>
  </si>
  <si>
    <t>Ammoniumhydroxidlsg. 25%</t>
  </si>
  <si>
    <t>H400</t>
  </si>
  <si>
    <t>P305+P351+P338, P304+P340</t>
  </si>
  <si>
    <t>Ammoniaklösung</t>
  </si>
  <si>
    <t>Eisen-II-chlorid-Lösung 28%</t>
  </si>
  <si>
    <t>P305+P351+P338, P301+P312, P310</t>
  </si>
  <si>
    <t>Salpetersäure 52/53%</t>
  </si>
  <si>
    <t xml:space="preserve">H314, H331, </t>
  </si>
  <si>
    <t>EUH071</t>
  </si>
  <si>
    <t>Metalclean A</t>
  </si>
  <si>
    <t>P301+P330+P331, P303+P361+P353, P305+P351+P338, P304+P340, P309+P311</t>
  </si>
  <si>
    <t>KRUSE GmbH &amp; Co. KG</t>
  </si>
  <si>
    <t>P202, P281</t>
  </si>
  <si>
    <t>Wasserstoffperoxid 35%</t>
  </si>
  <si>
    <t>H235</t>
  </si>
  <si>
    <t>P305+P351+P338, P301+P312, P302+P352, P304+P340</t>
  </si>
  <si>
    <t>ACTICIDE 14</t>
  </si>
  <si>
    <t>Thor GmbH</t>
  </si>
  <si>
    <t>Biozidprodukt</t>
  </si>
  <si>
    <t>H302+H312, H314, H317</t>
  </si>
  <si>
    <t>P303+P361+P353, P305+P351+P338, P333+P313, P391</t>
  </si>
  <si>
    <t>ZWEZ-Clean 5340/1</t>
  </si>
  <si>
    <t>ZWEZ-CHEMIE GmbH</t>
  </si>
  <si>
    <t xml:space="preserve">P303+P361+P353, P305+P351+P338, P310, P321, </t>
  </si>
  <si>
    <t>ZWEZ-Cond MN 6/4</t>
  </si>
  <si>
    <t>ZWEZ-Cond MN 6/1</t>
  </si>
  <si>
    <t>hellbeige</t>
  </si>
  <si>
    <t xml:space="preserve"> P260, P273</t>
  </si>
  <si>
    <t>ZWEZ-Cond ZN 20</t>
  </si>
  <si>
    <t>H302, H318</t>
  </si>
  <si>
    <t>P301+P312, P305+P351+P338, P330, P310</t>
  </si>
  <si>
    <t>Natriumfluorid</t>
  </si>
  <si>
    <t>ZWEZ-Cond ZN 9</t>
  </si>
  <si>
    <t>H302, H315, H319</t>
  </si>
  <si>
    <t>P301+P312, P305+P351+P338, P330</t>
  </si>
  <si>
    <t>ZWEZ-Coat 334</t>
  </si>
  <si>
    <t>H314, H317, H350i</t>
  </si>
  <si>
    <t>P303+P361+P353, P305+P351+P338, P362+P364, P310, P321</t>
  </si>
  <si>
    <t>Orthophosphorsäure (10-&lt;25%)</t>
  </si>
  <si>
    <t>Nickelmonoxid</t>
  </si>
  <si>
    <t>0,1-1</t>
  </si>
  <si>
    <t>Bis(hydroxylammonium)sulfat</t>
  </si>
  <si>
    <t>ZWEZ-Coat 629/5</t>
  </si>
  <si>
    <t>H314, H317, H335</t>
  </si>
  <si>
    <t>ZWEZ-Pass 5867</t>
  </si>
  <si>
    <t>ZWEZ-Oil E 5333/1</t>
  </si>
  <si>
    <t>P305+P351+P338, P362+P364, P310, P321</t>
  </si>
  <si>
    <t>ZWEZ-Oil E ADD 5220</t>
  </si>
  <si>
    <t>P305+P351+P338, P332+P313, P362+P364, P337+P313</t>
  </si>
  <si>
    <t>ZWEZ-ADD 5768</t>
  </si>
  <si>
    <t>H317, H332</t>
  </si>
  <si>
    <t>P304+P340, P312, P321</t>
  </si>
  <si>
    <t>1,2-Benzisothiazol-3(2H)-on, 2-Methyl-2H-isothiazol-3-on</t>
  </si>
  <si>
    <t>ZWEZ-Coat 629/1</t>
  </si>
  <si>
    <t>H302, H314, H317, H335</t>
  </si>
  <si>
    <t>Orthophosphorsäure (2,5-&lt;10%)</t>
  </si>
  <si>
    <t>ZWEZ-Coat ADD N</t>
  </si>
  <si>
    <t>frei</t>
  </si>
  <si>
    <t>PROSEAL XZ 160 Part 1</t>
  </si>
  <si>
    <t>KIESOW DR.BRINKMANN GmbH &amp; Co. KG</t>
  </si>
  <si>
    <t>dunkelblau</t>
  </si>
  <si>
    <t>PROSEAL XZ 160 Part 2</t>
  </si>
  <si>
    <t>GHS 05, GHS 07, GHS 08, GHS 09, Gefahr</t>
  </si>
  <si>
    <t>H317, H318, H332, H334, H341, H350i, H360F</t>
  </si>
  <si>
    <t>P261, P284</t>
  </si>
  <si>
    <t>Kobalt(II)-nitrat-Hexahydrat</t>
  </si>
  <si>
    <t>PROSEAL XZ 160 Part 3</t>
  </si>
  <si>
    <t>Pelox® Beizbadzusatz Revox</t>
  </si>
  <si>
    <t>Pelox</t>
  </si>
  <si>
    <t>grünlich</t>
  </si>
  <si>
    <t>Dekapass MKB Teil I</t>
  </si>
  <si>
    <t>H302, H315, H317, H319, H334, H335, H341, H350, H360</t>
  </si>
  <si>
    <t>P305+P351+P338, P321</t>
  </si>
  <si>
    <t>Cobaltdinitrat</t>
  </si>
  <si>
    <t>Dekapass MKB Teil II</t>
  </si>
  <si>
    <t>Dekacid BE-RF</t>
  </si>
  <si>
    <t>braun-gelb</t>
  </si>
  <si>
    <t>Bis-(hydroxymethyl)acetylen</t>
  </si>
  <si>
    <t>EnGraTech RH 1559</t>
  </si>
  <si>
    <t>Tritech Oberflächentechnik GmbH</t>
  </si>
  <si>
    <t>Parazink Korrekturlösung B2000</t>
  </si>
  <si>
    <t>Parazink N-2000</t>
  </si>
  <si>
    <t>P305, P351, P338, P310</t>
  </si>
  <si>
    <t>Paranox Black A</t>
  </si>
  <si>
    <t>GHS 05, GHS 06, GHS 09, Gefahr</t>
  </si>
  <si>
    <t>H311, H314, H350i</t>
  </si>
  <si>
    <t>P303, P351, P353, P305+P351+P338, P310, P361+P364, P313</t>
  </si>
  <si>
    <t>Kaliumfluorid</t>
  </si>
  <si>
    <t>Cobaltnitrat</t>
  </si>
  <si>
    <t>2,5</t>
  </si>
  <si>
    <t>Paranox Black B</t>
  </si>
  <si>
    <t>gelb-grün</t>
  </si>
  <si>
    <t>H314, H315, H334, H350i</t>
  </si>
  <si>
    <t>P261, P280, P284</t>
  </si>
  <si>
    <t>Cobaltsulfat</t>
  </si>
  <si>
    <t>Paratron 15</t>
  </si>
  <si>
    <t>opaleszierend</t>
  </si>
  <si>
    <t>P261, P262, P264, P270, P280</t>
  </si>
  <si>
    <t>amorphe Kieselsäure</t>
  </si>
  <si>
    <t>Paratron 68</t>
  </si>
  <si>
    <t>P302+P352, P321, P332+P313+P362, P305+P351+P338, P337+P313</t>
  </si>
  <si>
    <t>Natriumdithionit</t>
  </si>
  <si>
    <t>H251</t>
  </si>
  <si>
    <t>H302, H319</t>
  </si>
  <si>
    <t>EUH031</t>
  </si>
  <si>
    <t>P235+P410, P280</t>
  </si>
  <si>
    <t>P301+P312, P302+P352, 305+P351+P338</t>
  </si>
  <si>
    <t>P420</t>
  </si>
  <si>
    <t>OKS 1300</t>
  </si>
  <si>
    <t>Naphtha (Erdöl), mit Wasserstoff behandelt, schwe-re; Naphtha, was-serstoffbehandelt, niedrigsiedend</t>
  </si>
  <si>
    <t>AllPass Black Zn1</t>
  </si>
  <si>
    <t>Dipsol Europe GmbH</t>
  </si>
  <si>
    <t>AllPass Black Zn2</t>
  </si>
  <si>
    <t>Citrisurf® 2250</t>
  </si>
  <si>
    <t>H315. H317, H319, H335</t>
  </si>
  <si>
    <t>P304+P340,  P305+P351+P338, P333+P313, P312</t>
  </si>
  <si>
    <t>AllPass Base</t>
  </si>
  <si>
    <t>H302, H314, H317, H334, H341, H350i, H360F</t>
  </si>
  <si>
    <t>P101, P102, P103</t>
  </si>
  <si>
    <t>Salpetersäure, Cobaltsulfat</t>
  </si>
  <si>
    <t>Univers AC Teil 1 (Artikelnummer 6182671)</t>
  </si>
  <si>
    <t>Additiv</t>
  </si>
  <si>
    <t>GHS 07, Gefahr</t>
  </si>
  <si>
    <t>H302, H311, H314, H317, H334, H335, H330, H340, H350, H361F, H372</t>
  </si>
  <si>
    <t>P303+P361+P353, P305+P351+P338, P310, P320, P361+P364</t>
  </si>
  <si>
    <t>Univers AC Teil 2 (Artikelnummer 6182681)</t>
  </si>
  <si>
    <t>H315, H318,</t>
  </si>
  <si>
    <t>P305+P351+P338, P310, P321, P362+P364</t>
  </si>
  <si>
    <t>H304, H317</t>
  </si>
  <si>
    <t>P301+P310, P321, P331, P362+P364</t>
  </si>
  <si>
    <t>Dearomatisiertes Testbenzin, 2-(2-Butoxyethoxy)ethanol</t>
  </si>
  <si>
    <t>ZWEZ-Oil E 4999</t>
  </si>
  <si>
    <t>P305+P351+P338, P332+P313, P337+P313</t>
  </si>
  <si>
    <t>2-(2-Butoxyethoxy)ethanol (2,5-&lt;10%)</t>
  </si>
  <si>
    <t>Laugenentfetter SG-KBL</t>
  </si>
  <si>
    <t>SG-Galvanobedarf GmbH</t>
  </si>
  <si>
    <t>P303+P361+P353, P312</t>
  </si>
  <si>
    <t>Allgemeiner
Staubgrenzwert,
Alveolengängige
Fraktion, Allgemeiner
Staubgrenzwert,
Einatembare
Fraktion</t>
  </si>
  <si>
    <t>Beizenentfetter SG-KF 300</t>
  </si>
  <si>
    <t>P305+P351+P338, P310, P362+P364</t>
  </si>
  <si>
    <t>But-2-in-1,4-diol, Dipropylenglykolmonomethylether</t>
  </si>
  <si>
    <t>Olivchromatierung SG-103</t>
  </si>
  <si>
    <t>GHS 05, GHS 06, GHS 08, GHS 09, Gefahr</t>
  </si>
  <si>
    <t>H302+H332, H311, H314, H334, H317, H340, H350, H361f, H335, H372</t>
  </si>
  <si>
    <t>P303+P361+P353, P305+P351+P338, P310, P361+P364</t>
  </si>
  <si>
    <t>10-20</t>
  </si>
  <si>
    <t>Inhibitor VP 392</t>
  </si>
  <si>
    <t>P302+P352, P305+P351+P338, P332+P313, P337+P313</t>
  </si>
  <si>
    <t>Maleinsäureanhydrid (&lt;2,5%)</t>
  </si>
  <si>
    <t>SG-Nokorol 831</t>
  </si>
  <si>
    <t xml:space="preserve">Kohlenwasserstoffe, niedrigviskos, Glykol-Derivat - Dampf und
Aerosol, phenol. Antioxidans - einatembarer
Anteil, </t>
  </si>
  <si>
    <t>SG-Nokorol 831 / O</t>
  </si>
  <si>
    <t>Kohlenwasserstoff, niedrigviskos, Glykol-Derivat - Dampf und Aerosol</t>
  </si>
  <si>
    <t>TIB Lux NPS</t>
  </si>
  <si>
    <t>Passivierung SG-ULTRA</t>
  </si>
  <si>
    <t>P201, P260, P280, P284</t>
  </si>
  <si>
    <t>P303+P361+P353, P305+P351+P338, P310, P321, P342+P311</t>
  </si>
  <si>
    <t xml:space="preserve">Schwefelsäure, Natriumhydrogendifluorid, </t>
  </si>
  <si>
    <t>Ekasit BF</t>
  </si>
  <si>
    <t>H319, H360 FD</t>
  </si>
  <si>
    <t>P305+P351+P338, P308+P313, P337+P313</t>
  </si>
  <si>
    <t>Borax, Butylglykol, Terpentinöl</t>
  </si>
  <si>
    <t>Borax</t>
  </si>
  <si>
    <t>50-100</t>
  </si>
  <si>
    <t>Proseal CU 3</t>
  </si>
  <si>
    <t>Feroclean S 660</t>
  </si>
  <si>
    <t>Paracid S311 ("OTH-Kupferbeize 311")</t>
  </si>
  <si>
    <t>P303+P361+P353, P305+P351+P338, P312, P361, P304+P340, P337+P313</t>
  </si>
  <si>
    <t>Natriumchlorit ≥75 %, technisch</t>
  </si>
  <si>
    <t>GHS 03, GHS 05, GHS 06, GHS 08, GHS 09, Gefahr</t>
  </si>
  <si>
    <t>H271</t>
  </si>
  <si>
    <t>H301, H310, H314, H373</t>
  </si>
  <si>
    <t>EUH032, EUH071</t>
  </si>
  <si>
    <t>P220, P280</t>
  </si>
  <si>
    <t>P303+P361+P353, P304+P340, P305+P351+P338, P310</t>
  </si>
  <si>
    <t xml:space="preserve">Allgemeiner Staubgrenzwert,
Alveolengängige
Fraktion, Allgemeiner Staubgrenzwert,
Einatembare Fraktion, </t>
  </si>
  <si>
    <t>Elektrolytischer Entfetter SG-SEZ-II</t>
  </si>
  <si>
    <t>P301+P330+P331, P303+P361+P353, P304+P340, P305+P351+P338</t>
  </si>
  <si>
    <t>Brün VAOS 4020</t>
  </si>
  <si>
    <t>DEWE Brünofix GmbH</t>
  </si>
  <si>
    <t>H272, H290</t>
  </si>
  <si>
    <t>P260, P273, P280</t>
  </si>
  <si>
    <t>P301, P301 + P310, P331, P302 + P350, P304 + P312, P304 + P340, P305, P305 + P351 + P338</t>
  </si>
  <si>
    <t>P404</t>
  </si>
  <si>
    <t>OKS 3521 Hochtemperaturöl</t>
  </si>
  <si>
    <t>P210, P211, P251, P273</t>
  </si>
  <si>
    <t>P410 + P412</t>
  </si>
  <si>
    <t>Tris(methylphenyl)pho
sphat</t>
  </si>
  <si>
    <t>&gt;= 0,25 - &lt; 1</t>
  </si>
  <si>
    <t>Farbstoffkonzentrat SLOTOFIN 13</t>
  </si>
  <si>
    <t>Dr.-Ing. Max Schlötter GmbH &amp; Co. KG</t>
  </si>
  <si>
    <t>Versiegelungskonzentrat SLOTOFIN 11</t>
  </si>
  <si>
    <t>Alfipas 735</t>
  </si>
  <si>
    <t>≤ 0,3</t>
  </si>
  <si>
    <t>Bromphenolblau-Indikatorlösung 0,1 % in Wasser</t>
  </si>
  <si>
    <t>Salzsäure 20% reinst</t>
  </si>
  <si>
    <t>Steiner GmbH
Chemie u. Labortechnik</t>
  </si>
  <si>
    <t>P304+P340, P305+P351+P338, P312</t>
  </si>
  <si>
    <t>Silbernitratlösung 0,1 mol/l – 0,1 N Maßlösung</t>
  </si>
  <si>
    <t>Silbernitrat</t>
  </si>
  <si>
    <t>Silbernitratlösung 0,01 mol/l - 0,01 N, Maßlösung</t>
  </si>
  <si>
    <t>GHS 09</t>
  </si>
  <si>
    <t>Silbernitratlösung 5 %</t>
  </si>
  <si>
    <t>Methylorange Indikatorlösung 0,1%, in Wasser</t>
  </si>
  <si>
    <t>Methylrot Indikatorlösung 0,1 %, in Ethanol</t>
  </si>
  <si>
    <t>SG-METEX NI-CF TEIL 1</t>
  </si>
  <si>
    <t>Produkt für die Galvanotechnik</t>
  </si>
  <si>
    <t>GHS 05, GHS 08,  Gefahr</t>
  </si>
  <si>
    <t>H314, H317, H334</t>
  </si>
  <si>
    <t>P303+P361+P353, P305+P351+P338, P310, P362+P364</t>
  </si>
  <si>
    <t xml:space="preserve">Ethylendiamin, Trinatriumnitrilotriacetat, </t>
  </si>
  <si>
    <t>Trinatriumnitrilotriacetat</t>
  </si>
  <si>
    <t>≥ 5</t>
  </si>
  <si>
    <t>SG-METEX NI-CF TEIL 2</t>
  </si>
  <si>
    <t>H317, H319, H335</t>
  </si>
  <si>
    <t>Eisen III Chlorid-Lösung 40%</t>
  </si>
  <si>
    <t>Eisen-(III)-chlorid</t>
  </si>
  <si>
    <t>Kaliumfluoridlösung 33% reinst</t>
  </si>
  <si>
    <t>Kopera GmbH</t>
  </si>
  <si>
    <t>GHS 05, GHS 06, GHS 07, Gefahr</t>
  </si>
  <si>
    <t>H302, H311, H318, H331</t>
  </si>
  <si>
    <t xml:space="preserve">P305+P351+P338, P310, P330, P361+P364, </t>
  </si>
  <si>
    <t>Natronlauge 1 mol/l</t>
  </si>
  <si>
    <t>Calciumchlorid - Hexahydrat 97% reinst, Ph.Eur.</t>
  </si>
  <si>
    <t xml:space="preserve">P305+P351+P338, P337+P313 </t>
  </si>
  <si>
    <t>PROSEAL XZ 135</t>
  </si>
  <si>
    <t xml:space="preserve">H314, H317, H334, H341, H350i, H360F, </t>
  </si>
  <si>
    <t xml:space="preserve">P303+P361+P353, P305+P351+P338, P310, H321, P362+P364, </t>
  </si>
  <si>
    <t xml:space="preserve">Ammoniumbifluorid, Salpetersäure, </t>
  </si>
  <si>
    <t>Kobalt(II)-Sulfat Heptahydrat</t>
  </si>
  <si>
    <t>5 bis 10</t>
  </si>
  <si>
    <t>≥ 0,01</t>
  </si>
  <si>
    <t>Rustilo DWX 32</t>
  </si>
  <si>
    <t>Castrol Holdings Europe B.V.</t>
  </si>
  <si>
    <t>H304,  H336</t>
  </si>
  <si>
    <t xml:space="preserve">P304 + P312, P301 + P310, P331, </t>
  </si>
  <si>
    <t xml:space="preserve">Kohlenwasserstoffe C9-C11, n-Alkane, Isoalkane,
zyklische, Aromaten &lt;2%, 2-Butoxyethanol, Sulfonsäuren, Mineralöl, Kalziumsalze </t>
  </si>
  <si>
    <t>OKS 300</t>
  </si>
  <si>
    <t>EUH210, EUH208</t>
  </si>
  <si>
    <t>Destillate (Erdöl),
lösungsmittelentwachste
schwere
paraffinhaltige;
Basisöl — nicht
spezifiziert</t>
  </si>
  <si>
    <t>Kaliumperoxodisulfat ≥99 %, reinst</t>
  </si>
  <si>
    <t>Carl Roth GmbH + Co. KG</t>
  </si>
  <si>
    <t>GHS 03, GHS 07, GHS 08, Gefahr</t>
  </si>
  <si>
    <t>H302, H315, H317, H319, H334, H335</t>
  </si>
  <si>
    <t>P301+P312, P302+P352, P304+P340, P333+P313</t>
  </si>
  <si>
    <t>EBONOL SS-52</t>
  </si>
  <si>
    <t>MacDermid Enthone GmbH</t>
  </si>
  <si>
    <t>GHS 03, GHS 05, Gefahr</t>
  </si>
  <si>
    <t>P310, P303 + P361 + P353</t>
  </si>
  <si>
    <t>Kupferaktivierungssalz S 40</t>
  </si>
  <si>
    <t>weiß, blau meliert</t>
  </si>
  <si>
    <t>GHS 03, GHS 05, GHS 07, GHS 08, GHS 09, Gefahr</t>
  </si>
  <si>
    <t>H302, H315, H317, H318, H334, H335</t>
  </si>
  <si>
    <t>P305+P351+P338, P310, P321, P330, P362+P364</t>
  </si>
  <si>
    <t>Natriumpersulfat (70 – 100%), Kupfer(II)-sulfat-5-hydrat (≥ 3 – &lt; 7%)</t>
  </si>
  <si>
    <t>BT-2</t>
  </si>
  <si>
    <t>BT-3</t>
  </si>
  <si>
    <t>H317, H334, H341, H350i, H360F</t>
  </si>
  <si>
    <t>P342+P311</t>
  </si>
  <si>
    <t>&gt;25-≤50</t>
  </si>
  <si>
    <t>ZTB-118X</t>
  </si>
  <si>
    <t>GHS 07, GHS 09, Gefahr</t>
  </si>
  <si>
    <t>ZTB-447ASA</t>
  </si>
  <si>
    <t>Oxalsäure, Bernsteinsäure</t>
  </si>
  <si>
    <t>&gt;2,5-≤10</t>
  </si>
  <si>
    <t>ZTB-447ASR</t>
  </si>
  <si>
    <t>&gt;10-≤25</t>
  </si>
  <si>
    <t>ZTB-447S1</t>
  </si>
  <si>
    <t>ZTB-447S2</t>
  </si>
  <si>
    <t>ZTB-447S3</t>
  </si>
  <si>
    <t>Kupfer</t>
  </si>
  <si>
    <t>hellrot</t>
  </si>
  <si>
    <t>Laborchemikalien, Herstellung von Stoffen</t>
  </si>
  <si>
    <t>GHS 02, GHS 09, Gefahr</t>
  </si>
  <si>
    <t>H228</t>
  </si>
  <si>
    <t>P210, P240, P241, P273, P280</t>
  </si>
  <si>
    <t>P370 + P378</t>
  </si>
  <si>
    <t>Copper</t>
  </si>
  <si>
    <t>DECORRDAL 70-6</t>
  </si>
  <si>
    <t>Chemische Werke Kluthe GmbH</t>
  </si>
  <si>
    <t>Manganphosphatierung</t>
  </si>
  <si>
    <t>Phosphorsäure, Salpetersäure, Nickel(II)-nitrat - Hexahydrat</t>
  </si>
  <si>
    <t>Nickel(II)-nitrat - Hexahydrat</t>
  </si>
  <si>
    <t>0.05 - &lt; 0.1</t>
  </si>
  <si>
    <t>0.05 - &lt; 0</t>
  </si>
  <si>
    <t>Custos 70-74</t>
  </si>
  <si>
    <t>Emulgierbares Korrosionsschutzöl</t>
  </si>
  <si>
    <t>P337 + P313</t>
  </si>
  <si>
    <t>Destillate (Erdöl), mit
Wasserstoff behandelte
leichte naphthenhaltige;
Grundöl (&lt; 3% DMSO), Sulfonsäuren, Erdöl-,
Natriumsalze</t>
  </si>
  <si>
    <t>Aktivator MN A</t>
  </si>
  <si>
    <t>pink</t>
  </si>
  <si>
    <t>Produkte zur Behandlung von Metalloberflächen, einschließlich Galvanik- und
Galvanisierprodukte</t>
  </si>
  <si>
    <t xml:space="preserve"> H319, H373</t>
  </si>
  <si>
    <t>P314, P337 + P313</t>
  </si>
  <si>
    <t>Manganbis(dihydrogenphosp
hat)</t>
  </si>
  <si>
    <t>Aktivator MN B</t>
  </si>
  <si>
    <t>Aktivator</t>
  </si>
  <si>
    <t>Natriumdichromatlösung 50%</t>
  </si>
  <si>
    <t>gelb-orange</t>
  </si>
  <si>
    <t>Chemische Analytik, Laborchemikalie</t>
  </si>
  <si>
    <t xml:space="preserve">H301, H314, H317,  H330, H334, H335, H360, H372, </t>
  </si>
  <si>
    <t>P220, P260</t>
  </si>
  <si>
    <t>Natriumdichromat, dihydrat</t>
  </si>
  <si>
    <t>25-50</t>
  </si>
  <si>
    <t>HSO Beizaktivator (11093)</t>
  </si>
  <si>
    <t>HSO Herbert Schmidt GmbH &amp; Co. KG</t>
  </si>
  <si>
    <t xml:space="preserve">Versuchsanlage </t>
  </si>
  <si>
    <t>P260, P264, P270, P280</t>
  </si>
  <si>
    <t>NANOCOLOR Kupfer 7</t>
  </si>
  <si>
    <t>MACHEREY-NAGEL GmbH &amp; Co. KG</t>
  </si>
  <si>
    <t>Produkt für analytische Zwecke: Küvettentest</t>
  </si>
  <si>
    <t xml:space="preserve">Oxalsäure-bis(cyclohexylidenhydrazid), Dimethylsulfoxid, </t>
  </si>
  <si>
    <t>NANOCOLOR Nickel 4</t>
  </si>
  <si>
    <t>Feststoff / Flüssigkeit</t>
  </si>
  <si>
    <t>weiß, farblos</t>
  </si>
  <si>
    <t>GHS 03, GHS 05, GHS 07, GHS 08, Gefahr</t>
  </si>
  <si>
    <t xml:space="preserve">H303, H314, H315, H316, H317,  H319, H334, H335, H360, H372, </t>
  </si>
  <si>
    <t>Natriumperoxodisulfat, Citronensäure, Natriumhydroxid-Lösung</t>
  </si>
  <si>
    <t>NANOCOLOR Zink 4</t>
  </si>
  <si>
    <t>gelblich, farblos, rot</t>
  </si>
  <si>
    <t>GHS 03, GHS 05, GHS 06, GHS 07, GHS 08, GHS 09, Gefahr</t>
  </si>
  <si>
    <t xml:space="preserve">H300, H301, H310, H315, H318, H319, H330, H335, H360FD </t>
  </si>
  <si>
    <t>P301+P310, P302+P352, P305+P351+P338, P310</t>
  </si>
  <si>
    <t xml:space="preserve">Chloralhydrat, Wasserstoffperoxid-Harnstoff, Natriumtetraborat, Kaliumcyanid, </t>
  </si>
  <si>
    <t>Natriumtetraborat</t>
  </si>
  <si>
    <t>30 - &lt;60</t>
  </si>
  <si>
    <t>NANOCOLOR Nitrit 4</t>
  </si>
  <si>
    <t>H303</t>
  </si>
  <si>
    <t>N -(1-Naphthyl)-ethylendiamindihydrochlorid, Citronensäure</t>
  </si>
  <si>
    <t>NANOCOLOR Nitrat 250</t>
  </si>
  <si>
    <t>farblos, rosa, rötlich</t>
  </si>
  <si>
    <t>H302, H314,  H319, H336</t>
  </si>
  <si>
    <t>o -Phosphorsäure, Schwefelsäure, 2 ,6-Dimethylphenol, 2 -Propanol</t>
  </si>
  <si>
    <t>arecal Rostex (Rostlöser)</t>
  </si>
  <si>
    <t>RECA NORM GmbH</t>
  </si>
  <si>
    <t>Rostlöser</t>
  </si>
  <si>
    <t>EUH066, 
EUH208</t>
  </si>
  <si>
    <t>P210, P211, P271, P273</t>
  </si>
  <si>
    <t>Kohlenwasserstoffe C9-C11, Isoalkane,
zyklische, Aromaten &lt;2%, Propan, Isobutan</t>
  </si>
  <si>
    <t>ADDITIVE OTH Fe-RP 14</t>
  </si>
  <si>
    <t>OTH (Straetmans High TAC GmbH, Merkurring 94, 22143 Hamburg)</t>
  </si>
  <si>
    <t>bräunlich</t>
  </si>
  <si>
    <t>Korrosionsinhibitor</t>
  </si>
  <si>
    <t>P305+P351+P338, P310, P321, P332+P313, P302+P352</t>
  </si>
  <si>
    <t>2,2'-Methyliminodiethanol</t>
  </si>
  <si>
    <t>Galvanohilfsstoff</t>
  </si>
  <si>
    <t>Pufferlösung pH 10,01 / 25°C / blau (Borsäure, Kaliumchlorid, Natronlauge)</t>
  </si>
  <si>
    <t>≥0,3-≤2,5</t>
  </si>
  <si>
    <t>Schwarzpassivierung SG-ZN 150 Teil A</t>
  </si>
  <si>
    <t>Galvanik</t>
  </si>
  <si>
    <t>H302, H311, H314, H318, H350i, H360F</t>
  </si>
  <si>
    <t>Dichromtris(sulfat), Fluorwasserstoffsäure, Schwefelsäure, Cobaltdinitrat</t>
  </si>
  <si>
    <t>Schwarzpassivierung SG-ZN 150 Teil B</t>
  </si>
  <si>
    <t>H315, H317, H319, H334, H341, H350i, H360F</t>
  </si>
  <si>
    <t>Essigsäure, Phosphorsäure, Cobaltsulfat</t>
  </si>
  <si>
    <t>Kaliumiodidlösung 10 % zur Analyse in Wasser alkalisiert</t>
  </si>
  <si>
    <t>Fa. Bernd Kraft GmbH</t>
  </si>
  <si>
    <t>Laborchemikalien</t>
  </si>
  <si>
    <t>H372</t>
  </si>
  <si>
    <t>P260, P264, P270,</t>
  </si>
  <si>
    <t>Schwefelsäure 10 % reinst</t>
  </si>
  <si>
    <t>Natronlauge 20 % zur Analyse</t>
  </si>
  <si>
    <t>P301+P330+P331, P305+P351+P338, P308+P311</t>
  </si>
  <si>
    <t>Ammoniaklösung 12,5 % NH3 reinst</t>
  </si>
  <si>
    <t>H400, H412</t>
  </si>
  <si>
    <t>Ammoniak</t>
  </si>
  <si>
    <t>Ammoniumperoxodisulfat reinst</t>
  </si>
  <si>
    <t>GHS 03,  GHS 07, GHS 08, Gefahr</t>
  </si>
  <si>
    <t>P210, P220, P261, P280</t>
  </si>
  <si>
    <t>P304+P340, P342+P311</t>
  </si>
  <si>
    <t>Wasserstoffperoxid 30 % zur Analyse mit max. 1 ppm Phosphat</t>
  </si>
  <si>
    <t>H302, H332, H318</t>
  </si>
  <si>
    <t>Ammoniumhydrogendifluorid zur Analyse</t>
  </si>
  <si>
    <t>Fluoride, anorganisch (als Fluor berechnet)</t>
  </si>
  <si>
    <t>QUANTOFIX Nitrit 91311</t>
  </si>
  <si>
    <t>Cellulose</t>
  </si>
  <si>
    <t>QUANTOFIX Nitrat/Nitrit 91313</t>
  </si>
  <si>
    <t>VISOCOLOR ECO Kupfer</t>
  </si>
  <si>
    <t>Citrat-Pufferlösung, O xalsäure-bis(cyclohexylidenhydrazid)</t>
  </si>
  <si>
    <t>VISOCOLOR ECO Nickel</t>
  </si>
  <si>
    <t>farblos/ gelblich</t>
  </si>
  <si>
    <t>H302, H314,  H315, H317, H319, H334, H335</t>
  </si>
  <si>
    <t xml:space="preserve">P260, P262, P280, </t>
  </si>
  <si>
    <t>P304+P340, P342+P311, P303+361+353, P305+351+338, P310</t>
  </si>
  <si>
    <t>Ammoniumperoxodisulfat</t>
  </si>
  <si>
    <t>VISOCOLOR ECO Kupfer, Nfp.</t>
  </si>
  <si>
    <t>Citrat-Pufferlösung, O xalsäure-bis(cyclohexylidenhydrazid), D imethylsulfoxid</t>
  </si>
  <si>
    <t>VISOCOLOR ECO Nickel, Nfp.</t>
  </si>
  <si>
    <t>GHS 03,  GHS 05, GHS 07, GHS 08, Gefahr</t>
  </si>
  <si>
    <t xml:space="preserve">P260, P261, P280, </t>
  </si>
  <si>
    <t xml:space="preserve"> P342+P311, P303+361+353, P305+351+338, P310</t>
  </si>
  <si>
    <t>Ammoniumperoxodisulfat,N atriumhydroxid-Lösung</t>
  </si>
  <si>
    <t>VISOCOLOR ECO Zink, Nfp.</t>
  </si>
  <si>
    <t>H302, H312, H315, H319,  H332, H360FD</t>
  </si>
  <si>
    <t>Natriumtetraborat, Kaliumcyanid, Zincon, Chloralhydrat</t>
  </si>
  <si>
    <t>1 - &lt;4.5</t>
  </si>
  <si>
    <t>Schwefelsäure 0,5 mol/l</t>
  </si>
  <si>
    <t>Steiner GmbH</t>
  </si>
  <si>
    <t>Ammoniumperoxodisulfat zur Analyse
EMSURE® ACS,Reag. Ph Eur</t>
  </si>
  <si>
    <t>H272,</t>
  </si>
  <si>
    <t>P210, P220, P280</t>
  </si>
  <si>
    <t>P302 + P352, P305 + P351 + P338</t>
  </si>
  <si>
    <t>Titriplex® III zur Analyse
(Ethylendinitrilotetraessigsäure,
Dinatriumsalz-Dihydrat) ACS,ISO,Reag. Ph
Eur</t>
  </si>
  <si>
    <t>H332, H373</t>
  </si>
  <si>
    <t>P260, P271</t>
  </si>
  <si>
    <t>P304 + P340 + P312, P314</t>
  </si>
  <si>
    <t>Ammoniumperoxodisulfat 99% zur Analyse</t>
  </si>
  <si>
    <t>P210, P284</t>
  </si>
  <si>
    <t>P305 + P351 + P338, P304+P340</t>
  </si>
  <si>
    <t>Diammoniumperoxodisulfat</t>
  </si>
  <si>
    <t>Pufferlösung pH 7,00, 25°C, grün (Kaliumdihydrogenphosphat, di-
Natriumhydrogenphosphat</t>
  </si>
  <si>
    <t>Kaliumhexacyanoferrat(II) - Trihydrat 99% zur Analyse</t>
  </si>
  <si>
    <t>P220, P273</t>
  </si>
  <si>
    <t>Pufferlösung pH 4,00 ±0,01 (20 °C) ROTI®Calipure, ROT eingefärbt, ready-to-use</t>
  </si>
  <si>
    <t>Pufferlösung pH 7,00, 25°C, grün (Kaliumdihydrogenphosphat, di-Natriumhydrogenphosphat)</t>
  </si>
  <si>
    <t>Filter</t>
  </si>
  <si>
    <r>
      <rPr>
        <b/>
        <sz val="16"/>
        <color theme="1"/>
        <rFont val="Arial"/>
        <family val="2"/>
      </rPr>
      <t>Gefährdungsbeurteilung für Gefahrstoffe</t>
    </r>
    <r>
      <rPr>
        <sz val="14"/>
        <color theme="1"/>
        <rFont val="Arial"/>
        <family val="2"/>
      </rPr>
      <t xml:space="preserve"> nach § 6 GefStoffV, TRGS 400</t>
    </r>
  </si>
  <si>
    <t>Gefahr</t>
  </si>
  <si>
    <t>Ja, da keine gefährlichen Eigenschaften vorliegen.</t>
  </si>
  <si>
    <t>Nein, da die Einstufung H314 besteht und ein Hautkontakt nicht ausgeschlossen werden kann.</t>
  </si>
  <si>
    <t>Archiv / derzeit nicht in Verwendung</t>
  </si>
  <si>
    <t>Nein, da gefährliche Einstufungen und Eigenschaften vorliegen (siehe EMKG).</t>
  </si>
  <si>
    <t>Ja, da nur geringe Stoffmengen verwendet werden (für analytische Zwecke, Proben, Kleinarbeiten)</t>
  </si>
  <si>
    <t>Lebensgefahr bei Hautkontakt.</t>
  </si>
  <si>
    <t>Verursacht schwere Verätzungen der Haut und schwere Augenschäden.</t>
  </si>
  <si>
    <t>wirkt entfettend  //  Gefahr der Hautresorption</t>
  </si>
  <si>
    <t>Gefahr der Hautresorption.</t>
  </si>
  <si>
    <t>Definition / Typ / Klasse</t>
  </si>
  <si>
    <t>siehe gefahrstoffspezifische Gefährdungsbeurteilung</t>
  </si>
  <si>
    <t>vorhanden (Lebensgefahr bei Hautkontakt)</t>
  </si>
  <si>
    <t>vorhanden (Lebensgefahr bei Einatmen)</t>
  </si>
  <si>
    <t>H400, H410, H411, H412</t>
  </si>
  <si>
    <t>Sonstige Informationen und Hinweise:</t>
  </si>
  <si>
    <t>Der Gefahrstoff wird zum Beizen an der Edelstahlbeizanlage (Automatikanlage) eingesetzt. Hierbei fahren die Trommeln durch einer Eingabe einer Artikelnummer am Anlagenterminal automatisch in die verschiedenen Becken der Anlage. Der Anlagenführer geht regelmäßig in die Anlage während des Betriebs, um mögliche Auffälligkeiten in der Anlage zu beobachten und ggf. zu beheben. Einen direkten Kontakt zur Beize hat der Anlagenführer im Normalbetrieb der Anlage nicht. Die entsprechenden Becken sind abgesaugt.
Es werden regelmäßig Zugaben in die Edelstahlbeize gemacht, u.a. Flusssäure. Im Regelfall werden ein bis zwei Liter Flusssäure, max. einmal je Schicht zugeben (Kundenmaterialabhängig).
Wird das Kundenmaterial Titan bearbeitet, wird die Titanbeize bei Bedarf mit Flusssäure verstärkt.
An der Anlage ist ein Kanister (30 kg) Flussäure als Tagesgebrauch vorhanden.</t>
  </si>
  <si>
    <t xml:space="preserve">Die gefahrbringende Komponente ist Fluorwasserstoffsäure. - Die Exposition ist über die Aufnahme über die Haut/Schleimhäute oder über die Atemwege möglich. Bei einer 8-Stunden-Schicht ist der Anlagenführer im Regelfall einer Exposition von circa 10 min ausgesetzt.
</t>
  </si>
  <si>
    <t>Rettungs- und Erste-Hilfe-Maßnahmen:</t>
  </si>
  <si>
    <t>Notfallkit für Gefahrstoffkontaminationen, 
Mitgabe von Informationsmaterial an Rettungsdienst</t>
  </si>
  <si>
    <t>Notfallkit Flußsäure vorhanden.
Mitgabe von Informationsmaterial an Rettungsdienst möglich.</t>
  </si>
  <si>
    <t>trifft zu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</si>
</sst>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u/>
      <sz val="11"/>
      <color theme="10"/>
      <name val="Calibri"/>
      <family val="2"/>
      <scheme val="minor"/>
    </font>
    <font>
      <i/>
      <sz val="12"/>
      <color theme="1"/>
      <name val="Arial"/>
      <family val="2"/>
    </font>
    <font>
      <b/>
      <sz val="11"/>
      <color theme="0"/>
      <name val="Arial"/>
      <family val="2"/>
    </font>
    <font>
      <sz val="11"/>
      <color theme="0"/>
      <name val="Arial"/>
      <family val="2"/>
    </font>
    <font>
      <b/>
      <sz val="10"/>
      <color theme="1"/>
      <name val="Arial"/>
      <family val="2"/>
    </font>
    <font>
      <sz val="10"/>
      <color theme="1"/>
      <name val="Arial"/>
      <family val="2"/>
    </font>
    <font>
      <sz val="10"/>
      <name val="Arial"/>
      <family val="2"/>
    </font>
    <font>
      <b/>
      <sz val="13"/>
      <color theme="1"/>
      <name val="Arial"/>
      <family val="2"/>
    </font>
    <font>
      <b/>
      <sz val="10"/>
      <name val="Arial"/>
      <family val="2"/>
    </font>
    <font>
      <sz val="8"/>
      <name val="Arial"/>
      <family val="2"/>
    </font>
    <font>
      <sz val="10"/>
      <color theme="3" tint="-0.249977111117893"/>
      <name val="Arial"/>
      <family val="2"/>
    </font>
    <font>
      <b/>
      <sz val="10"/>
      <color theme="3" tint="-0.249977111117893"/>
      <name val="Arial"/>
      <family val="2"/>
    </font>
    <font>
      <sz val="8.5"/>
      <color theme="1"/>
      <name val="Arial"/>
      <family val="2"/>
    </font>
    <font>
      <sz val="9"/>
      <color theme="1"/>
      <name val="Arial"/>
      <family val="2"/>
    </font>
    <font>
      <sz val="16"/>
      <color theme="10"/>
      <name val="Wingdings"/>
      <charset val="2"/>
    </font>
    <font>
      <sz val="8"/>
      <name val="Calibri"/>
      <family val="2"/>
      <scheme val="minor"/>
    </font>
    <font>
      <b/>
      <sz val="20"/>
      <name val="Arial"/>
      <family val="2"/>
    </font>
    <font>
      <sz val="11"/>
      <name val="Times New Roman"/>
      <family val="1"/>
    </font>
    <font>
      <sz val="8"/>
      <color theme="1" tint="0.34998626667073579"/>
      <name val="Arial"/>
      <family val="2"/>
    </font>
    <font>
      <b/>
      <sz val="40"/>
      <color rgb="FF00B0F0"/>
      <name val="Times New Roman"/>
      <family val="1"/>
    </font>
    <font>
      <b/>
      <sz val="9"/>
      <color theme="0"/>
      <name val="Arial"/>
      <family val="2"/>
    </font>
    <font>
      <sz val="18"/>
      <color theme="10"/>
      <name val="Wingdings"/>
      <charset val="2"/>
    </font>
    <font>
      <b/>
      <sz val="10"/>
      <color theme="0"/>
      <name val="Arial"/>
      <family val="2"/>
    </font>
    <font>
      <b/>
      <sz val="18"/>
      <name val="Arial"/>
      <family val="2"/>
    </font>
    <font>
      <sz val="8"/>
      <color theme="0"/>
      <name val="Arial"/>
      <family val="2"/>
    </font>
    <font>
      <b/>
      <sz val="16"/>
      <name val="Arial"/>
      <family val="2"/>
    </font>
    <font>
      <b/>
      <sz val="12"/>
      <color theme="1"/>
      <name val="Arial"/>
      <family val="2"/>
    </font>
    <font>
      <sz val="9"/>
      <name val="Arial"/>
      <family val="2"/>
    </font>
    <font>
      <sz val="14"/>
      <name val="Wingdings"/>
      <charset val="2"/>
    </font>
    <font>
      <b/>
      <sz val="9"/>
      <color theme="1"/>
      <name val="Arial"/>
      <family val="2"/>
    </font>
    <font>
      <sz val="10"/>
      <color theme="0"/>
      <name val="Arial"/>
      <family val="2"/>
    </font>
    <font>
      <b/>
      <sz val="15"/>
      <color theme="1"/>
      <name val="Arial"/>
      <family val="2"/>
    </font>
    <font>
      <b/>
      <sz val="11"/>
      <color theme="1"/>
      <name val="Arial"/>
      <family val="2"/>
    </font>
    <font>
      <sz val="14"/>
      <color theme="1"/>
      <name val="Arial"/>
      <family val="2"/>
    </font>
    <font>
      <sz val="13"/>
      <color theme="1"/>
      <name val="Arial"/>
      <family val="2"/>
    </font>
    <font>
      <b/>
      <sz val="16"/>
      <color theme="1"/>
      <name val="Arial"/>
      <family val="2"/>
    </font>
    <font>
      <sz val="16"/>
      <color theme="1" tint="0.34998626667073579"/>
      <name val="Arial"/>
      <family val="2"/>
    </font>
  </fonts>
  <fills count="15">
    <fill>
      <patternFill patternType="none"/>
    </fill>
    <fill>
      <patternFill patternType="gray125"/>
    </fill>
    <fill>
      <patternFill patternType="solid">
        <fgColor theme="0" tint="-4.9989318521683403E-2"/>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79998168889431442"/>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right style="hair">
        <color indexed="64"/>
      </right>
      <top/>
      <bottom style="hair">
        <color indexed="64"/>
      </bottom>
      <diagonal/>
    </border>
    <border>
      <left/>
      <right style="hair">
        <color indexed="64"/>
      </right>
      <top/>
      <bottom/>
      <diagonal/>
    </border>
    <border>
      <left/>
      <right style="hair">
        <color indexed="64"/>
      </right>
      <top style="hair">
        <color indexed="64"/>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0" fontId="7" fillId="0" borderId="0"/>
    <xf numFmtId="0" fontId="18" fillId="0" borderId="0"/>
  </cellStyleXfs>
  <cellXfs count="142">
    <xf numFmtId="0" fontId="0" fillId="0" borderId="0" xfId="0"/>
    <xf numFmtId="0" fontId="6" fillId="0" borderId="0" xfId="0" applyFont="1" applyAlignment="1">
      <alignment vertical="center"/>
    </xf>
    <xf numFmtId="0" fontId="6" fillId="4" borderId="0" xfId="0" applyFont="1" applyFill="1" applyAlignment="1">
      <alignment vertical="center"/>
    </xf>
    <xf numFmtId="0" fontId="6" fillId="0" borderId="0" xfId="0" applyFont="1" applyAlignment="1">
      <alignment horizontal="center" vertical="center"/>
    </xf>
    <xf numFmtId="0" fontId="8" fillId="0" borderId="0" xfId="0" applyFont="1" applyAlignment="1">
      <alignment vertical="center"/>
    </xf>
    <xf numFmtId="49" fontId="3" fillId="3" borderId="1" xfId="0" applyNumberFormat="1"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3" fillId="3" borderId="2" xfId="0" applyFont="1" applyFill="1" applyBorder="1" applyAlignment="1" applyProtection="1">
      <alignment horizontal="left" vertical="center" indent="1"/>
      <protection locked="0"/>
    </xf>
    <xf numFmtId="0" fontId="11" fillId="3" borderId="2" xfId="0" applyFont="1" applyFill="1" applyBorder="1" applyAlignment="1" applyProtection="1">
      <alignment horizontal="center" vertical="center"/>
      <protection locked="0"/>
    </xf>
    <xf numFmtId="0" fontId="4" fillId="3" borderId="3" xfId="0" applyFont="1" applyFill="1" applyBorder="1" applyAlignment="1" applyProtection="1">
      <alignment vertical="center"/>
      <protection locked="0"/>
    </xf>
    <xf numFmtId="49" fontId="5" fillId="6" borderId="1" xfId="0" applyNumberFormat="1" applyFont="1" applyFill="1" applyBorder="1" applyAlignment="1" applyProtection="1">
      <alignment horizontal="left" vertical="center" indent="1"/>
      <protection locked="0"/>
    </xf>
    <xf numFmtId="0" fontId="5" fillId="6" borderId="2" xfId="0" applyFont="1" applyFill="1" applyBorder="1" applyAlignment="1" applyProtection="1">
      <alignment horizontal="center" vertical="center"/>
      <protection locked="0"/>
    </xf>
    <xf numFmtId="0" fontId="5" fillId="6" borderId="2" xfId="0" applyFont="1" applyFill="1" applyBorder="1" applyAlignment="1" applyProtection="1">
      <alignment horizontal="left" vertical="center" indent="1"/>
      <protection locked="0"/>
    </xf>
    <xf numFmtId="0" fontId="12" fillId="6" borderId="2"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6" fillId="0" borderId="4" xfId="0" applyFont="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13" fillId="0" borderId="4" xfId="0" applyFont="1" applyBorder="1" applyAlignment="1" applyProtection="1">
      <alignment horizontal="left" vertical="center" wrapText="1" indent="1"/>
      <protection locked="0"/>
    </xf>
    <xf numFmtId="0" fontId="7" fillId="2" borderId="4" xfId="0" applyFont="1" applyFill="1" applyBorder="1" applyAlignment="1" applyProtection="1">
      <alignment horizontal="center" vertical="center"/>
      <protection locked="0"/>
    </xf>
    <xf numFmtId="0" fontId="14" fillId="0" borderId="4" xfId="0" applyFont="1" applyBorder="1" applyAlignment="1" applyProtection="1">
      <alignment horizontal="center" vertical="center" wrapText="1"/>
      <protection locked="0"/>
    </xf>
    <xf numFmtId="49" fontId="6" fillId="0" borderId="4" xfId="0" applyNumberFormat="1" applyFont="1" applyBorder="1" applyAlignment="1" applyProtection="1">
      <alignment horizontal="center" vertical="center"/>
      <protection locked="0"/>
    </xf>
    <xf numFmtId="0" fontId="9" fillId="4" borderId="0" xfId="0" applyFont="1" applyFill="1" applyAlignment="1">
      <alignment horizontal="center" vertical="center"/>
    </xf>
    <xf numFmtId="0" fontId="6" fillId="7" borderId="0" xfId="0" applyFont="1" applyFill="1" applyAlignment="1">
      <alignment horizontal="center" vertical="center"/>
    </xf>
    <xf numFmtId="0" fontId="9" fillId="4" borderId="0" xfId="0" applyFont="1" applyFill="1" applyAlignment="1">
      <alignment vertical="center"/>
    </xf>
    <xf numFmtId="49" fontId="5" fillId="0" borderId="5" xfId="0" applyNumberFormat="1" applyFont="1" applyBorder="1" applyAlignment="1">
      <alignment vertical="center"/>
    </xf>
    <xf numFmtId="0" fontId="5" fillId="0" borderId="5" xfId="0" applyFont="1" applyBorder="1" applyAlignment="1">
      <alignment vertical="center"/>
    </xf>
    <xf numFmtId="0" fontId="0" fillId="0" borderId="5" xfId="0" applyBorder="1"/>
    <xf numFmtId="0" fontId="6" fillId="0" borderId="6" xfId="0" applyFont="1" applyBorder="1" applyAlignment="1">
      <alignment vertical="center"/>
    </xf>
    <xf numFmtId="0" fontId="0" fillId="0" borderId="6" xfId="0" applyBorder="1"/>
    <xf numFmtId="0" fontId="5" fillId="0" borderId="6" xfId="0" applyFont="1" applyBorder="1" applyAlignment="1">
      <alignment vertical="center"/>
    </xf>
    <xf numFmtId="49" fontId="6" fillId="0" borderId="6" xfId="0" applyNumberFormat="1" applyFont="1" applyBorder="1" applyAlignment="1">
      <alignment horizontal="left" vertical="center"/>
    </xf>
    <xf numFmtId="49" fontId="5" fillId="0" borderId="6" xfId="0" applyNumberFormat="1" applyFont="1" applyBorder="1" applyAlignment="1">
      <alignment horizontal="left" vertical="center"/>
    </xf>
    <xf numFmtId="0" fontId="5" fillId="6" borderId="2" xfId="0" applyFont="1" applyFill="1" applyBorder="1" applyAlignment="1" applyProtection="1">
      <alignment horizontal="left" vertical="center"/>
      <protection locked="0"/>
    </xf>
    <xf numFmtId="49" fontId="6" fillId="0" borderId="6" xfId="0" applyNumberFormat="1" applyFont="1" applyBorder="1" applyAlignment="1">
      <alignment vertical="center"/>
    </xf>
    <xf numFmtId="49" fontId="5" fillId="0" borderId="6" xfId="0" applyNumberFormat="1" applyFont="1" applyBorder="1" applyAlignment="1">
      <alignment vertical="center"/>
    </xf>
    <xf numFmtId="0" fontId="6" fillId="0" borderId="0" xfId="0" applyFont="1" applyAlignment="1">
      <alignment horizontal="left" vertical="center" wrapText="1" indent="1"/>
    </xf>
    <xf numFmtId="0" fontId="17" fillId="0" borderId="0" xfId="2" applyFont="1" applyAlignment="1">
      <alignment horizontal="left" vertical="center" indent="1"/>
    </xf>
    <xf numFmtId="0" fontId="6" fillId="0" borderId="0" xfId="0" applyFont="1" applyAlignment="1">
      <alignment horizontal="center" vertical="center" wrapText="1"/>
    </xf>
    <xf numFmtId="0" fontId="19" fillId="0" borderId="0" xfId="3" applyFont="1" applyAlignment="1">
      <alignment vertical="center" wrapText="1"/>
    </xf>
    <xf numFmtId="0" fontId="19" fillId="0" borderId="0" xfId="3" applyFont="1" applyAlignment="1">
      <alignment horizontal="left" vertical="center" wrapText="1" indent="1"/>
    </xf>
    <xf numFmtId="0" fontId="20" fillId="0" borderId="7" xfId="3" applyFont="1" applyBorder="1" applyAlignment="1">
      <alignment vertical="center"/>
    </xf>
    <xf numFmtId="0" fontId="19" fillId="0" borderId="7" xfId="3" applyFont="1" applyBorder="1" applyAlignment="1">
      <alignment vertical="center" wrapText="1"/>
    </xf>
    <xf numFmtId="0" fontId="21" fillId="3" borderId="4"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2" fillId="6" borderId="4" xfId="1" applyFont="1" applyFill="1" applyBorder="1" applyAlignment="1">
      <alignment horizontal="center" vertical="center"/>
    </xf>
    <xf numFmtId="14" fontId="14" fillId="0" borderId="4" xfId="0" applyNumberFormat="1" applyFont="1" applyBorder="1" applyAlignment="1">
      <alignment horizontal="center" vertical="center" wrapText="1"/>
    </xf>
    <xf numFmtId="0" fontId="6" fillId="0" borderId="0" xfId="0" applyFont="1" applyAlignment="1">
      <alignment horizontal="left" vertical="center" indent="1"/>
    </xf>
    <xf numFmtId="0" fontId="23" fillId="3" borderId="4" xfId="0" applyFont="1" applyFill="1" applyBorder="1" applyAlignment="1">
      <alignment horizontal="center" vertical="center" wrapText="1"/>
    </xf>
    <xf numFmtId="49" fontId="6" fillId="2" borderId="4" xfId="0" applyNumberFormat="1" applyFont="1" applyFill="1" applyBorder="1" applyAlignment="1">
      <alignment horizontal="center" vertical="center"/>
    </xf>
    <xf numFmtId="0" fontId="24" fillId="0" borderId="0" xfId="2" applyFont="1" applyAlignment="1">
      <alignment horizontal="left" vertical="center" indent="1"/>
    </xf>
    <xf numFmtId="0" fontId="25" fillId="3" borderId="3" xfId="0" applyFont="1" applyFill="1" applyBorder="1" applyAlignment="1">
      <alignment horizontal="center" vertical="center" wrapText="1"/>
    </xf>
    <xf numFmtId="0" fontId="25" fillId="3" borderId="4" xfId="0" applyFont="1" applyFill="1" applyBorder="1" applyAlignment="1">
      <alignment horizontal="center" vertical="center" wrapText="1"/>
    </xf>
    <xf numFmtId="49" fontId="14" fillId="0" borderId="4" xfId="0" applyNumberFormat="1" applyFont="1" applyBorder="1" applyAlignment="1">
      <alignment horizontal="left" vertical="center" wrapText="1" indent="1"/>
    </xf>
    <xf numFmtId="49" fontId="14" fillId="0" borderId="4" xfId="0" applyNumberFormat="1" applyFont="1" applyBorder="1" applyAlignment="1">
      <alignment horizontal="center" vertical="center" wrapText="1"/>
    </xf>
    <xf numFmtId="0" fontId="2" fillId="0" borderId="0" xfId="0" applyFont="1" applyAlignment="1">
      <alignment horizontal="left" vertical="top"/>
    </xf>
    <xf numFmtId="0" fontId="7" fillId="0" borderId="0" xfId="0" applyFont="1" applyAlignment="1">
      <alignment horizontal="right" vertical="center" indent="1"/>
    </xf>
    <xf numFmtId="0" fontId="9" fillId="4" borderId="0" xfId="0" applyFont="1" applyFill="1"/>
    <xf numFmtId="49" fontId="10" fillId="5" borderId="8" xfId="0" applyNumberFormat="1" applyFont="1" applyFill="1" applyBorder="1" applyAlignment="1">
      <alignment horizontal="center" vertical="center" wrapText="1"/>
    </xf>
    <xf numFmtId="0" fontId="6" fillId="4" borderId="0" xfId="0" applyFont="1" applyFill="1" applyAlignment="1">
      <alignment horizontal="center" vertical="center"/>
    </xf>
    <xf numFmtId="0" fontId="7" fillId="4" borderId="0" xfId="0" applyFont="1" applyFill="1" applyAlignment="1">
      <alignment horizontal="right" vertical="center" indent="1"/>
    </xf>
    <xf numFmtId="0" fontId="27" fillId="4" borderId="0" xfId="0" applyFont="1" applyFill="1" applyAlignment="1">
      <alignment horizontal="left" vertical="top" indent="1"/>
    </xf>
    <xf numFmtId="0" fontId="5" fillId="2" borderId="7" xfId="0" applyFont="1" applyFill="1" applyBorder="1" applyAlignment="1">
      <alignment horizontal="left" vertical="top" wrapText="1"/>
    </xf>
    <xf numFmtId="0" fontId="9" fillId="5" borderId="4" xfId="0" applyFont="1" applyFill="1" applyBorder="1" applyAlignment="1">
      <alignment horizontal="center" vertical="center" wrapText="1"/>
    </xf>
    <xf numFmtId="0" fontId="9" fillId="5" borderId="4" xfId="0" applyFont="1" applyFill="1" applyBorder="1" applyAlignment="1">
      <alignment vertical="center"/>
    </xf>
    <xf numFmtId="0" fontId="9" fillId="5" borderId="4" xfId="0" applyFont="1" applyFill="1" applyBorder="1" applyAlignment="1">
      <alignment horizontal="left" vertical="center" indent="1"/>
    </xf>
    <xf numFmtId="0" fontId="9" fillId="5" borderId="4" xfId="0" applyFont="1" applyFill="1" applyBorder="1" applyAlignment="1">
      <alignment horizontal="left" vertical="center" wrapText="1" indent="1"/>
    </xf>
    <xf numFmtId="0" fontId="13" fillId="0" borderId="4" xfId="0" applyFont="1" applyBorder="1" applyAlignment="1" applyProtection="1">
      <alignment horizontal="left" vertical="top" wrapText="1" indent="1"/>
      <protection locked="0"/>
    </xf>
    <xf numFmtId="0" fontId="13" fillId="0" borderId="0" xfId="0" applyFont="1" applyAlignment="1">
      <alignment horizontal="left" vertical="center" indent="1"/>
    </xf>
    <xf numFmtId="0" fontId="13" fillId="0" borderId="0" xfId="0" applyFont="1" applyAlignment="1">
      <alignment horizontal="left" vertical="center" wrapText="1" indent="1"/>
    </xf>
    <xf numFmtId="0" fontId="9" fillId="5" borderId="1" xfId="0" applyFont="1" applyFill="1" applyBorder="1" applyAlignment="1">
      <alignment horizontal="center" vertical="center" wrapText="1"/>
    </xf>
    <xf numFmtId="0" fontId="9" fillId="5" borderId="3" xfId="0" applyFont="1" applyFill="1" applyBorder="1" applyAlignment="1">
      <alignment horizontal="center" vertical="center"/>
    </xf>
    <xf numFmtId="0" fontId="9" fillId="5" borderId="2" xfId="0" applyFont="1" applyFill="1" applyBorder="1" applyAlignment="1">
      <alignment horizontal="center" vertical="center" wrapText="1"/>
    </xf>
    <xf numFmtId="0" fontId="6" fillId="2" borderId="7" xfId="0" applyFont="1" applyFill="1" applyBorder="1" applyAlignment="1">
      <alignment horizontal="left" vertical="top" wrapText="1"/>
    </xf>
    <xf numFmtId="0" fontId="7" fillId="2" borderId="7" xfId="0" applyFont="1" applyFill="1" applyBorder="1" applyAlignment="1">
      <alignment vertical="center"/>
    </xf>
    <xf numFmtId="0" fontId="28" fillId="0" borderId="0" xfId="0" applyFont="1" applyAlignment="1">
      <alignment horizontal="right" vertical="center" indent="1"/>
    </xf>
    <xf numFmtId="0" fontId="14" fillId="0" borderId="0" xfId="0" applyFont="1" applyAlignment="1">
      <alignment vertical="center"/>
    </xf>
    <xf numFmtId="0" fontId="28" fillId="4" borderId="0" xfId="0" applyFont="1" applyFill="1" applyAlignment="1">
      <alignment horizontal="right" vertical="center" indent="1"/>
    </xf>
    <xf numFmtId="0" fontId="14" fillId="0" borderId="0" xfId="0" applyFont="1" applyAlignment="1">
      <alignment horizontal="right" vertical="top" indent="1"/>
    </xf>
    <xf numFmtId="0" fontId="14" fillId="0" borderId="0" xfId="0" applyFont="1" applyAlignment="1">
      <alignment horizontal="right" vertical="top" wrapText="1" indent="1"/>
    </xf>
    <xf numFmtId="0" fontId="6" fillId="0" borderId="7" xfId="0" applyFont="1" applyBorder="1" applyAlignment="1">
      <alignment horizontal="center" vertical="center"/>
    </xf>
    <xf numFmtId="0" fontId="7" fillId="0" borderId="7" xfId="0" applyFont="1" applyBorder="1" applyAlignment="1">
      <alignment horizontal="right" vertical="center" indent="1"/>
    </xf>
    <xf numFmtId="0" fontId="6" fillId="0" borderId="7" xfId="0" applyFont="1" applyBorder="1" applyAlignment="1">
      <alignment vertical="center"/>
    </xf>
    <xf numFmtId="49" fontId="26" fillId="0" borderId="0" xfId="0" applyNumberFormat="1" applyFont="1" applyAlignment="1">
      <alignment horizontal="right"/>
    </xf>
    <xf numFmtId="0" fontId="6" fillId="2" borderId="7" xfId="0" applyFont="1" applyFill="1" applyBorder="1" applyAlignment="1">
      <alignment horizontal="left" vertical="center"/>
    </xf>
    <xf numFmtId="14" fontId="6" fillId="2" borderId="7" xfId="0" applyNumberFormat="1" applyFont="1" applyFill="1" applyBorder="1" applyAlignment="1">
      <alignment horizontal="left" vertical="center"/>
    </xf>
    <xf numFmtId="0" fontId="14" fillId="0" borderId="0" xfId="0" applyFont="1" applyAlignment="1">
      <alignment horizontal="right" vertical="center" indent="1"/>
    </xf>
    <xf numFmtId="0" fontId="14" fillId="0" borderId="0" xfId="0" applyFont="1" applyAlignment="1">
      <alignment horizontal="right" vertical="center" wrapText="1" indent="1"/>
    </xf>
    <xf numFmtId="0" fontId="6" fillId="10" borderId="0" xfId="0" applyFont="1" applyFill="1" applyAlignment="1">
      <alignment vertical="center"/>
    </xf>
    <xf numFmtId="0" fontId="14" fillId="0" borderId="4" xfId="0" applyFont="1" applyBorder="1" applyAlignment="1" applyProtection="1">
      <alignment horizontal="center" vertical="center"/>
      <protection locked="0"/>
    </xf>
    <xf numFmtId="0" fontId="14" fillId="2" borderId="4" xfId="0" applyFont="1" applyFill="1" applyBorder="1" applyAlignment="1" applyProtection="1">
      <alignment horizontal="center" vertical="center"/>
      <protection locked="0"/>
    </xf>
    <xf numFmtId="0" fontId="7" fillId="2" borderId="7" xfId="0" applyFont="1" applyFill="1" applyBorder="1" applyAlignment="1">
      <alignment horizontal="left" vertical="top" wrapText="1"/>
    </xf>
    <xf numFmtId="0" fontId="29" fillId="0" borderId="0" xfId="0" applyFont="1" applyAlignment="1" applyProtection="1">
      <alignment horizontal="center" vertical="center"/>
      <protection locked="0"/>
    </xf>
    <xf numFmtId="0" fontId="7" fillId="2" borderId="7" xfId="0" applyFont="1" applyFill="1" applyBorder="1" applyAlignment="1">
      <alignment horizontal="left" vertical="center" wrapText="1"/>
    </xf>
    <xf numFmtId="0" fontId="30" fillId="0" borderId="0" xfId="0" applyFont="1" applyAlignment="1">
      <alignment horizontal="right" vertical="center" indent="1"/>
    </xf>
    <xf numFmtId="0" fontId="9" fillId="4" borderId="10" xfId="0" applyFont="1" applyFill="1" applyBorder="1"/>
    <xf numFmtId="0" fontId="1" fillId="0" borderId="9" xfId="1" applyBorder="1"/>
    <xf numFmtId="0" fontId="15" fillId="0" borderId="9" xfId="1" applyFont="1" applyBorder="1" applyAlignment="1">
      <alignment vertical="center"/>
    </xf>
    <xf numFmtId="0" fontId="0" fillId="0" borderId="11" xfId="0" applyBorder="1"/>
    <xf numFmtId="0" fontId="31" fillId="0" borderId="0" xfId="0" applyFont="1" applyAlignment="1">
      <alignment horizontal="left" vertical="center"/>
    </xf>
    <xf numFmtId="14" fontId="14" fillId="0" borderId="7" xfId="0" applyNumberFormat="1" applyFont="1" applyBorder="1" applyAlignment="1">
      <alignment horizontal="center" vertical="top"/>
    </xf>
    <xf numFmtId="0" fontId="28" fillId="0" borderId="0" xfId="0" applyFont="1" applyAlignment="1">
      <alignment horizontal="right" indent="1"/>
    </xf>
    <xf numFmtId="0" fontId="14" fillId="0" borderId="7" xfId="0" applyFont="1" applyBorder="1" applyAlignment="1">
      <alignment horizontal="right" vertical="top" indent="1"/>
    </xf>
    <xf numFmtId="0" fontId="6" fillId="2" borderId="0" xfId="0" applyFont="1" applyFill="1" applyAlignment="1">
      <alignment horizontal="left" vertical="top" wrapText="1"/>
    </xf>
    <xf numFmtId="0" fontId="32" fillId="0" borderId="0" xfId="0" applyFont="1" applyAlignment="1">
      <alignment vertical="center"/>
    </xf>
    <xf numFmtId="0" fontId="6" fillId="0" borderId="0" xfId="0" applyFont="1"/>
    <xf numFmtId="0" fontId="5" fillId="12" borderId="0" xfId="0" applyFont="1" applyFill="1" applyAlignment="1">
      <alignment horizontal="left" vertical="center"/>
    </xf>
    <xf numFmtId="0" fontId="6" fillId="13" borderId="0" xfId="0" applyFont="1" applyFill="1" applyAlignment="1">
      <alignment horizontal="left" vertical="center"/>
    </xf>
    <xf numFmtId="0" fontId="6" fillId="6" borderId="0" xfId="0" applyFont="1" applyFill="1" applyAlignment="1">
      <alignment vertical="center"/>
    </xf>
    <xf numFmtId="0" fontId="6" fillId="6" borderId="0" xfId="0" applyFont="1" applyFill="1" applyAlignment="1">
      <alignment horizontal="left" vertical="center"/>
    </xf>
    <xf numFmtId="0" fontId="5" fillId="4" borderId="0" xfId="0" applyFont="1" applyFill="1" applyAlignment="1">
      <alignment horizontal="center" vertical="center"/>
    </xf>
    <xf numFmtId="0" fontId="5" fillId="4" borderId="0" xfId="0" applyFont="1" applyFill="1" applyAlignment="1">
      <alignment vertical="center"/>
    </xf>
    <xf numFmtId="0" fontId="6" fillId="8" borderId="0" xfId="0" applyFont="1" applyFill="1" applyAlignment="1">
      <alignment vertical="center"/>
    </xf>
    <xf numFmtId="0" fontId="6" fillId="9" borderId="0" xfId="0" applyFont="1" applyFill="1" applyAlignment="1">
      <alignment vertical="center"/>
    </xf>
    <xf numFmtId="0" fontId="6" fillId="11" borderId="0" xfId="0" applyFont="1" applyFill="1" applyAlignment="1">
      <alignment horizontal="center" vertical="center"/>
    </xf>
    <xf numFmtId="0" fontId="6" fillId="11" borderId="0" xfId="0" applyFont="1" applyFill="1" applyAlignment="1">
      <alignment vertical="center"/>
    </xf>
    <xf numFmtId="0" fontId="7" fillId="2" borderId="7" xfId="0" applyFont="1" applyFill="1" applyBorder="1" applyAlignment="1">
      <alignment horizontal="left" vertical="center"/>
    </xf>
    <xf numFmtId="0" fontId="6" fillId="2" borderId="7" xfId="0" applyFont="1" applyFill="1" applyBorder="1" applyAlignment="1">
      <alignment vertical="center"/>
    </xf>
    <xf numFmtId="0" fontId="6" fillId="2" borderId="2" xfId="0" applyFont="1" applyFill="1" applyBorder="1" applyAlignment="1">
      <alignment vertical="center"/>
    </xf>
    <xf numFmtId="0" fontId="7" fillId="2" borderId="2" xfId="0" applyFont="1" applyFill="1" applyBorder="1" applyAlignment="1">
      <alignment horizontal="left" vertical="center" wrapText="1"/>
    </xf>
    <xf numFmtId="0" fontId="7" fillId="0" borderId="0" xfId="0" applyFont="1" applyAlignment="1">
      <alignment vertical="center"/>
    </xf>
    <xf numFmtId="0" fontId="5" fillId="6" borderId="3" xfId="0" applyFont="1" applyFill="1" applyBorder="1" applyAlignment="1" applyProtection="1">
      <alignment horizontal="left" vertical="center"/>
      <protection locked="0"/>
    </xf>
    <xf numFmtId="0" fontId="29" fillId="0" borderId="12" xfId="0" applyFont="1" applyBorder="1" applyAlignment="1" applyProtection="1">
      <alignment horizontal="center" vertical="center"/>
      <protection locked="0"/>
    </xf>
    <xf numFmtId="0" fontId="29" fillId="0" borderId="13" xfId="0" applyFont="1" applyBorder="1" applyAlignment="1" applyProtection="1">
      <alignment horizontal="center" vertical="center"/>
      <protection locked="0"/>
    </xf>
    <xf numFmtId="0" fontId="33" fillId="0" borderId="0" xfId="0" applyFont="1" applyAlignment="1">
      <alignment horizontal="left" vertical="top" wrapText="1"/>
    </xf>
    <xf numFmtId="0" fontId="6" fillId="14" borderId="0" xfId="0" applyFont="1" applyFill="1" applyAlignment="1">
      <alignment vertical="center"/>
    </xf>
    <xf numFmtId="0" fontId="35" fillId="0" borderId="7" xfId="0" applyFont="1" applyBorder="1" applyAlignment="1">
      <alignment horizontal="left" vertical="top"/>
    </xf>
    <xf numFmtId="0" fontId="37" fillId="0" borderId="7" xfId="0" applyFont="1" applyBorder="1" applyAlignment="1">
      <alignment horizontal="left" vertical="top" indent="1"/>
    </xf>
    <xf numFmtId="0" fontId="5" fillId="14" borderId="0" xfId="0" applyFont="1" applyFill="1" applyAlignment="1">
      <alignment horizontal="center" vertical="center"/>
    </xf>
    <xf numFmtId="0" fontId="6" fillId="2" borderId="7" xfId="0" applyFont="1" applyFill="1" applyBorder="1" applyAlignment="1">
      <alignment horizontal="left" vertical="center" wrapText="1"/>
    </xf>
    <xf numFmtId="49" fontId="26" fillId="0" borderId="0" xfId="0" applyNumberFormat="1" applyFont="1" applyAlignment="1" applyProtection="1">
      <alignment horizontal="right"/>
      <protection locked="0"/>
    </xf>
    <xf numFmtId="0" fontId="7" fillId="2" borderId="7" xfId="0" applyFont="1" applyFill="1" applyBorder="1" applyAlignment="1" applyProtection="1">
      <alignment vertical="center"/>
      <protection locked="0"/>
    </xf>
    <xf numFmtId="0" fontId="7" fillId="2" borderId="7" xfId="0" applyFont="1" applyFill="1" applyBorder="1" applyAlignment="1" applyProtection="1">
      <alignment horizontal="left" vertical="top" wrapText="1"/>
      <protection locked="0"/>
    </xf>
    <xf numFmtId="0" fontId="6" fillId="2" borderId="7" xfId="0" applyFont="1" applyFill="1" applyBorder="1" applyAlignment="1" applyProtection="1">
      <alignment horizontal="left" vertical="center"/>
      <protection locked="0"/>
    </xf>
    <xf numFmtId="0" fontId="6" fillId="2" borderId="7" xfId="0" applyFont="1" applyFill="1" applyBorder="1" applyAlignment="1" applyProtection="1">
      <alignment horizontal="left" vertical="top" wrapText="1"/>
      <protection locked="0"/>
    </xf>
    <xf numFmtId="0" fontId="7" fillId="2" borderId="7" xfId="0" applyFont="1" applyFill="1" applyBorder="1" applyAlignment="1" applyProtection="1">
      <alignment horizontal="left" vertical="center"/>
      <protection locked="0"/>
    </xf>
    <xf numFmtId="0" fontId="7" fillId="2" borderId="7" xfId="0" applyFont="1" applyFill="1" applyBorder="1" applyAlignment="1" applyProtection="1">
      <alignment horizontal="left" vertical="center" wrapText="1"/>
      <protection locked="0"/>
    </xf>
    <xf numFmtId="0" fontId="29" fillId="0" borderId="14" xfId="0" applyFont="1" applyBorder="1" applyAlignment="1" applyProtection="1">
      <alignment horizontal="center" vertical="center"/>
      <protection locked="0"/>
    </xf>
    <xf numFmtId="0" fontId="30" fillId="0" borderId="0" xfId="0" applyFont="1" applyAlignment="1">
      <alignment horizontal="right" vertical="top" indent="1"/>
    </xf>
    <xf numFmtId="0" fontId="29" fillId="0" borderId="0" xfId="0" applyFont="1" applyAlignment="1" applyProtection="1">
      <alignment horizontal="center" vertical="top"/>
      <protection locked="0"/>
    </xf>
    <xf numFmtId="0" fontId="7" fillId="0" borderId="1" xfId="0" applyFont="1" applyBorder="1" applyAlignment="1">
      <alignment horizontal="left" vertical="center" indent="1"/>
    </xf>
    <xf numFmtId="0" fontId="7" fillId="0" borderId="2" xfId="0" applyFont="1" applyBorder="1" applyAlignment="1">
      <alignment horizontal="left" vertical="center" indent="1"/>
    </xf>
    <xf numFmtId="0" fontId="33" fillId="0" borderId="0" xfId="0" applyFont="1" applyAlignment="1">
      <alignment vertical="center"/>
    </xf>
  </cellXfs>
  <cellStyles count="4">
    <cellStyle name="Link" xfId="1" builtinId="8"/>
    <cellStyle name="Standard" xfId="0" builtinId="0"/>
    <cellStyle name="Standard 2" xfId="3" xr:uid="{DA5207AB-9102-4E25-BF56-1458E50ABEAC}"/>
    <cellStyle name="Standard 4" xfId="2" xr:uid="{0D4C835D-98C4-4321-9091-E3DF4D108768}"/>
  </cellStyles>
  <dxfs count="137">
    <dxf>
      <font>
        <color theme="1" tint="0.499984740745262"/>
      </font>
    </dxf>
    <dxf>
      <font>
        <color rgb="FF00B05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FF0000"/>
      </font>
    </dxf>
    <dxf>
      <font>
        <color theme="1" tint="0.499984740745262"/>
      </font>
    </dxf>
    <dxf>
      <font>
        <color rgb="FF00B05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FF0000"/>
      </font>
    </dxf>
    <dxf>
      <font>
        <color theme="1" tint="0.499984740745262"/>
      </font>
    </dxf>
    <dxf>
      <font>
        <color rgb="FF00B05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FF0000"/>
      </font>
    </dxf>
    <dxf>
      <font>
        <color theme="1" tint="0.499984740745262"/>
      </font>
    </dxf>
    <dxf>
      <font>
        <color rgb="FF00B050"/>
      </font>
    </dxf>
    <dxf>
      <font>
        <color theme="1" tint="0.499984740745262"/>
      </font>
    </dxf>
    <dxf>
      <font>
        <color rgb="FF00B050"/>
      </font>
    </dxf>
    <dxf>
      <font>
        <color rgb="FF00B050"/>
      </font>
    </dxf>
    <dxf>
      <font>
        <color rgb="FF00B050"/>
      </font>
    </dxf>
    <dxf>
      <font>
        <color theme="1" tint="0.499984740745262"/>
      </font>
    </dxf>
    <dxf>
      <font>
        <color rgb="FFFF000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theme="1" tint="0.499984740745262"/>
      </font>
    </dxf>
    <dxf>
      <font>
        <color rgb="FF00B050"/>
      </font>
    </dxf>
    <dxf>
      <font>
        <color theme="1" tint="0.499984740745262"/>
      </font>
    </dxf>
    <dxf>
      <font>
        <color rgb="FF00B050"/>
      </font>
    </dxf>
    <dxf>
      <font>
        <color theme="1" tint="0.499984740745262"/>
      </font>
    </dxf>
    <dxf>
      <font>
        <color rgb="FFFF0000"/>
      </font>
    </dxf>
    <dxf>
      <font>
        <color theme="1" tint="0.499984740745262"/>
      </font>
    </dxf>
    <dxf>
      <font>
        <color rgb="FF00B050"/>
      </font>
    </dxf>
    <dxf>
      <font>
        <color theme="1" tint="0.499984740745262"/>
      </font>
    </dxf>
    <dxf>
      <font>
        <color rgb="FF00B050"/>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00B050"/>
      </font>
    </dxf>
    <dxf>
      <font>
        <color theme="1" tint="0.499984740745262"/>
      </font>
    </dxf>
    <dxf>
      <font>
        <color rgb="FFFF0000"/>
      </font>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 Id="rId9" Type="http://schemas.openxmlformats.org/officeDocument/2006/relationships/image" Target="../media/image11.emf"/></Relationships>
</file>

<file path=xl/drawings/_rels/drawing2.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3.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3.emf"/><Relationship Id="rId1" Type="http://schemas.openxmlformats.org/officeDocument/2006/relationships/image" Target="../media/image4.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 Id="rId9" Type="http://schemas.openxmlformats.org/officeDocument/2006/relationships/image" Target="../media/image11.emf"/></Relationships>
</file>

<file path=xl/drawings/_rels/drawing4.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3.emf"/><Relationship Id="rId1" Type="http://schemas.openxmlformats.org/officeDocument/2006/relationships/image" Target="../media/image4.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 Id="rId9" Type="http://schemas.openxmlformats.org/officeDocument/2006/relationships/image" Target="../media/image11.emf"/></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22860</xdr:colOff>
      <xdr:row>9</xdr:row>
      <xdr:rowOff>83820</xdr:rowOff>
    </xdr:from>
    <xdr:to>
      <xdr:col>6</xdr:col>
      <xdr:colOff>558660</xdr:colOff>
      <xdr:row>11</xdr:row>
      <xdr:rowOff>86220</xdr:rowOff>
    </xdr:to>
    <xdr:pic>
      <xdr:nvPicPr>
        <xdr:cNvPr id="2" name="Grafik 1">
          <a:extLst>
            <a:ext uri="{FF2B5EF4-FFF2-40B4-BE49-F238E27FC236}">
              <a16:creationId xmlns:a16="http://schemas.microsoft.com/office/drawing/2014/main" id="{71DC7C7D-8EC4-4829-A7DE-332AF243A1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189738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30480</xdr:colOff>
      <xdr:row>9</xdr:row>
      <xdr:rowOff>0</xdr:rowOff>
    </xdr:from>
    <xdr:to>
      <xdr:col>9</xdr:col>
      <xdr:colOff>642480</xdr:colOff>
      <xdr:row>11</xdr:row>
      <xdr:rowOff>2400</xdr:rowOff>
    </xdr:to>
    <xdr:pic>
      <xdr:nvPicPr>
        <xdr:cNvPr id="3" name="Grafik 2">
          <a:extLst>
            <a:ext uri="{FF2B5EF4-FFF2-40B4-BE49-F238E27FC236}">
              <a16:creationId xmlns:a16="http://schemas.microsoft.com/office/drawing/2014/main" id="{EF422317-1CE5-4D89-9DA8-D6956CC327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3920" y="18135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449580</xdr:colOff>
      <xdr:row>9</xdr:row>
      <xdr:rowOff>358140</xdr:rowOff>
    </xdr:from>
    <xdr:to>
      <xdr:col>9</xdr:col>
      <xdr:colOff>1061580</xdr:colOff>
      <xdr:row>12</xdr:row>
      <xdr:rowOff>131940</xdr:rowOff>
    </xdr:to>
    <xdr:pic>
      <xdr:nvPicPr>
        <xdr:cNvPr id="13" name="Grafik 12">
          <a:extLst>
            <a:ext uri="{FF2B5EF4-FFF2-40B4-BE49-F238E27FC236}">
              <a16:creationId xmlns:a16="http://schemas.microsoft.com/office/drawing/2014/main" id="{5029BA4E-FFDB-4143-896F-95A8D6C45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3020" y="217170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30480</xdr:colOff>
      <xdr:row>11</xdr:row>
      <xdr:rowOff>76200</xdr:rowOff>
    </xdr:from>
    <xdr:to>
      <xdr:col>9</xdr:col>
      <xdr:colOff>642480</xdr:colOff>
      <xdr:row>13</xdr:row>
      <xdr:rowOff>231000</xdr:rowOff>
    </xdr:to>
    <xdr:pic>
      <xdr:nvPicPr>
        <xdr:cNvPr id="14" name="Grafik 13">
          <a:extLst>
            <a:ext uri="{FF2B5EF4-FFF2-40B4-BE49-F238E27FC236}">
              <a16:creationId xmlns:a16="http://schemas.microsoft.com/office/drawing/2014/main" id="{F84B25D5-C0D5-46E5-BA14-B08E6ADBCA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03920" y="24993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464820</xdr:colOff>
      <xdr:row>12</xdr:row>
      <xdr:rowOff>213360</xdr:rowOff>
    </xdr:from>
    <xdr:to>
      <xdr:col>9</xdr:col>
      <xdr:colOff>1076820</xdr:colOff>
      <xdr:row>15</xdr:row>
      <xdr:rowOff>101460</xdr:rowOff>
    </xdr:to>
    <xdr:pic>
      <xdr:nvPicPr>
        <xdr:cNvPr id="15" name="Grafik 14">
          <a:extLst>
            <a:ext uri="{FF2B5EF4-FFF2-40B4-BE49-F238E27FC236}">
              <a16:creationId xmlns:a16="http://schemas.microsoft.com/office/drawing/2014/main" id="{74DD81BA-D620-4AE8-94CC-680F293432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38260" y="28651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38100</xdr:colOff>
      <xdr:row>13</xdr:row>
      <xdr:rowOff>342900</xdr:rowOff>
    </xdr:from>
    <xdr:to>
      <xdr:col>9</xdr:col>
      <xdr:colOff>650100</xdr:colOff>
      <xdr:row>15</xdr:row>
      <xdr:rowOff>459600</xdr:rowOff>
    </xdr:to>
    <xdr:pic>
      <xdr:nvPicPr>
        <xdr:cNvPr id="16" name="Grafik 15">
          <a:extLst>
            <a:ext uri="{FF2B5EF4-FFF2-40B4-BE49-F238E27FC236}">
              <a16:creationId xmlns:a16="http://schemas.microsoft.com/office/drawing/2014/main" id="{AC0D99B3-00D3-48FB-9FCB-4B9E1580655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11540" y="32232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472440</xdr:colOff>
      <xdr:row>15</xdr:row>
      <xdr:rowOff>220980</xdr:rowOff>
    </xdr:from>
    <xdr:to>
      <xdr:col>9</xdr:col>
      <xdr:colOff>1084440</xdr:colOff>
      <xdr:row>15</xdr:row>
      <xdr:rowOff>832980</xdr:rowOff>
    </xdr:to>
    <xdr:pic>
      <xdr:nvPicPr>
        <xdr:cNvPr id="17" name="Grafik 16">
          <a:extLst>
            <a:ext uri="{FF2B5EF4-FFF2-40B4-BE49-F238E27FC236}">
              <a16:creationId xmlns:a16="http://schemas.microsoft.com/office/drawing/2014/main" id="{D9AA6F17-5BE5-4786-98D6-F9AF9A7A42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945880" y="359664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579120</xdr:rowOff>
    </xdr:from>
    <xdr:to>
      <xdr:col>9</xdr:col>
      <xdr:colOff>612000</xdr:colOff>
      <xdr:row>15</xdr:row>
      <xdr:rowOff>1191120</xdr:rowOff>
    </xdr:to>
    <xdr:pic>
      <xdr:nvPicPr>
        <xdr:cNvPr id="18" name="Grafik 17">
          <a:extLst>
            <a:ext uri="{FF2B5EF4-FFF2-40B4-BE49-F238E27FC236}">
              <a16:creationId xmlns:a16="http://schemas.microsoft.com/office/drawing/2014/main" id="{B9157094-1283-469E-B2E5-BD0A5496D02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473440" y="395478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495300</xdr:colOff>
      <xdr:row>15</xdr:row>
      <xdr:rowOff>937260</xdr:rowOff>
    </xdr:from>
    <xdr:to>
      <xdr:col>9</xdr:col>
      <xdr:colOff>1107300</xdr:colOff>
      <xdr:row>15</xdr:row>
      <xdr:rowOff>1549260</xdr:rowOff>
    </xdr:to>
    <xdr:pic>
      <xdr:nvPicPr>
        <xdr:cNvPr id="19" name="Grafik 18">
          <a:extLst>
            <a:ext uri="{FF2B5EF4-FFF2-40B4-BE49-F238E27FC236}">
              <a16:creationId xmlns:a16="http://schemas.microsoft.com/office/drawing/2014/main" id="{DA0E351D-C048-46D2-9CA2-0BC214A98C6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68740" y="43129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15240</xdr:colOff>
      <xdr:row>15</xdr:row>
      <xdr:rowOff>1295400</xdr:rowOff>
    </xdr:from>
    <xdr:to>
      <xdr:col>9</xdr:col>
      <xdr:colOff>627240</xdr:colOff>
      <xdr:row>15</xdr:row>
      <xdr:rowOff>1907400</xdr:rowOff>
    </xdr:to>
    <xdr:pic>
      <xdr:nvPicPr>
        <xdr:cNvPr id="20" name="Grafik 19">
          <a:extLst>
            <a:ext uri="{FF2B5EF4-FFF2-40B4-BE49-F238E27FC236}">
              <a16:creationId xmlns:a16="http://schemas.microsoft.com/office/drawing/2014/main" id="{145F4E8C-84DA-42B9-8DDB-69A2EFF4E3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488680" y="46710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9</xdr:row>
      <xdr:rowOff>0</xdr:rowOff>
    </xdr:from>
    <xdr:to>
      <xdr:col>7</xdr:col>
      <xdr:colOff>2400</xdr:colOff>
      <xdr:row>11</xdr:row>
      <xdr:rowOff>2400</xdr:rowOff>
    </xdr:to>
    <xdr:pic>
      <xdr:nvPicPr>
        <xdr:cNvPr id="12" name="Grafik 11">
          <a:extLst>
            <a:ext uri="{FF2B5EF4-FFF2-40B4-BE49-F238E27FC236}">
              <a16:creationId xmlns:a16="http://schemas.microsoft.com/office/drawing/2014/main" id="{7DD9003E-6C95-45A0-8E00-2491C33A3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0460" y="18135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xdr:row>
      <xdr:rowOff>0</xdr:rowOff>
    </xdr:from>
    <xdr:to>
      <xdr:col>7</xdr:col>
      <xdr:colOff>2400</xdr:colOff>
      <xdr:row>13</xdr:row>
      <xdr:rowOff>154800</xdr:rowOff>
    </xdr:to>
    <xdr:pic>
      <xdr:nvPicPr>
        <xdr:cNvPr id="13" name="Grafik 12">
          <a:extLst>
            <a:ext uri="{FF2B5EF4-FFF2-40B4-BE49-F238E27FC236}">
              <a16:creationId xmlns:a16="http://schemas.microsoft.com/office/drawing/2014/main" id="{35C02676-3ACA-449B-A00D-AE94350F0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0460" y="24231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30480</xdr:colOff>
      <xdr:row>9</xdr:row>
      <xdr:rowOff>0</xdr:rowOff>
    </xdr:from>
    <xdr:to>
      <xdr:col>9</xdr:col>
      <xdr:colOff>642480</xdr:colOff>
      <xdr:row>11</xdr:row>
      <xdr:rowOff>2400</xdr:rowOff>
    </xdr:to>
    <xdr:pic>
      <xdr:nvPicPr>
        <xdr:cNvPr id="3" name="Grafik 2">
          <a:extLst>
            <a:ext uri="{FF2B5EF4-FFF2-40B4-BE49-F238E27FC236}">
              <a16:creationId xmlns:a16="http://schemas.microsoft.com/office/drawing/2014/main" id="{86D1E1CC-CCBA-4A06-9B0E-31DF18095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3920" y="18135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449580</xdr:colOff>
      <xdr:row>9</xdr:row>
      <xdr:rowOff>358140</xdr:rowOff>
    </xdr:from>
    <xdr:to>
      <xdr:col>9</xdr:col>
      <xdr:colOff>1061580</xdr:colOff>
      <xdr:row>12</xdr:row>
      <xdr:rowOff>131940</xdr:rowOff>
    </xdr:to>
    <xdr:pic>
      <xdr:nvPicPr>
        <xdr:cNvPr id="4" name="Grafik 3">
          <a:extLst>
            <a:ext uri="{FF2B5EF4-FFF2-40B4-BE49-F238E27FC236}">
              <a16:creationId xmlns:a16="http://schemas.microsoft.com/office/drawing/2014/main" id="{7719BED9-7EE5-45B7-A8D6-E7B66CF15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3020" y="217170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30480</xdr:colOff>
      <xdr:row>11</xdr:row>
      <xdr:rowOff>76200</xdr:rowOff>
    </xdr:from>
    <xdr:to>
      <xdr:col>9</xdr:col>
      <xdr:colOff>642480</xdr:colOff>
      <xdr:row>13</xdr:row>
      <xdr:rowOff>231000</xdr:rowOff>
    </xdr:to>
    <xdr:pic>
      <xdr:nvPicPr>
        <xdr:cNvPr id="5" name="Grafik 4">
          <a:extLst>
            <a:ext uri="{FF2B5EF4-FFF2-40B4-BE49-F238E27FC236}">
              <a16:creationId xmlns:a16="http://schemas.microsoft.com/office/drawing/2014/main" id="{53414D1C-A084-481B-A9B5-8678EA2F33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03920" y="24993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464820</xdr:colOff>
      <xdr:row>12</xdr:row>
      <xdr:rowOff>213360</xdr:rowOff>
    </xdr:from>
    <xdr:to>
      <xdr:col>9</xdr:col>
      <xdr:colOff>1076820</xdr:colOff>
      <xdr:row>15</xdr:row>
      <xdr:rowOff>101460</xdr:rowOff>
    </xdr:to>
    <xdr:pic>
      <xdr:nvPicPr>
        <xdr:cNvPr id="6" name="Grafik 5">
          <a:extLst>
            <a:ext uri="{FF2B5EF4-FFF2-40B4-BE49-F238E27FC236}">
              <a16:creationId xmlns:a16="http://schemas.microsoft.com/office/drawing/2014/main" id="{E0F14AB0-E58E-4DD8-B3C3-A7AE42ADEE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38260" y="28651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45720</xdr:colOff>
      <xdr:row>9</xdr:row>
      <xdr:rowOff>38100</xdr:rowOff>
    </xdr:from>
    <xdr:to>
      <xdr:col>6</xdr:col>
      <xdr:colOff>581520</xdr:colOff>
      <xdr:row>11</xdr:row>
      <xdr:rowOff>40500</xdr:rowOff>
    </xdr:to>
    <xdr:pic>
      <xdr:nvPicPr>
        <xdr:cNvPr id="7" name="Grafik 6">
          <a:extLst>
            <a:ext uri="{FF2B5EF4-FFF2-40B4-BE49-F238E27FC236}">
              <a16:creationId xmlns:a16="http://schemas.microsoft.com/office/drawing/2014/main" id="{C2F4036C-AE1F-4C24-ADE8-07E5BD0AB6F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59980" y="18516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45720</xdr:colOff>
      <xdr:row>11</xdr:row>
      <xdr:rowOff>68580</xdr:rowOff>
    </xdr:from>
    <xdr:to>
      <xdr:col>6</xdr:col>
      <xdr:colOff>581520</xdr:colOff>
      <xdr:row>13</xdr:row>
      <xdr:rowOff>223380</xdr:rowOff>
    </xdr:to>
    <xdr:pic>
      <xdr:nvPicPr>
        <xdr:cNvPr id="8" name="Grafik 7">
          <a:extLst>
            <a:ext uri="{FF2B5EF4-FFF2-40B4-BE49-F238E27FC236}">
              <a16:creationId xmlns:a16="http://schemas.microsoft.com/office/drawing/2014/main" id="{4C46E479-8A1E-495F-8428-5E1D31D852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459980" y="249174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579120</xdr:rowOff>
    </xdr:from>
    <xdr:to>
      <xdr:col>9</xdr:col>
      <xdr:colOff>612000</xdr:colOff>
      <xdr:row>15</xdr:row>
      <xdr:rowOff>1191120</xdr:rowOff>
    </xdr:to>
    <xdr:pic>
      <xdr:nvPicPr>
        <xdr:cNvPr id="9" name="Grafik 8">
          <a:extLst>
            <a:ext uri="{FF2B5EF4-FFF2-40B4-BE49-F238E27FC236}">
              <a16:creationId xmlns:a16="http://schemas.microsoft.com/office/drawing/2014/main" id="{7A4DC149-2C5B-4D44-802C-11A17DED20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473440" y="395478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495300</xdr:colOff>
      <xdr:row>15</xdr:row>
      <xdr:rowOff>937260</xdr:rowOff>
    </xdr:from>
    <xdr:to>
      <xdr:col>9</xdr:col>
      <xdr:colOff>1107300</xdr:colOff>
      <xdr:row>15</xdr:row>
      <xdr:rowOff>1549260</xdr:rowOff>
    </xdr:to>
    <xdr:pic>
      <xdr:nvPicPr>
        <xdr:cNvPr id="10" name="Grafik 9">
          <a:extLst>
            <a:ext uri="{FF2B5EF4-FFF2-40B4-BE49-F238E27FC236}">
              <a16:creationId xmlns:a16="http://schemas.microsoft.com/office/drawing/2014/main" id="{49798BDC-A6C2-407B-87BB-D95ECC951F6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68740" y="43129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15240</xdr:colOff>
      <xdr:row>15</xdr:row>
      <xdr:rowOff>1295400</xdr:rowOff>
    </xdr:from>
    <xdr:to>
      <xdr:col>9</xdr:col>
      <xdr:colOff>627240</xdr:colOff>
      <xdr:row>15</xdr:row>
      <xdr:rowOff>1907400</xdr:rowOff>
    </xdr:to>
    <xdr:pic>
      <xdr:nvPicPr>
        <xdr:cNvPr id="11" name="Grafik 10">
          <a:extLst>
            <a:ext uri="{FF2B5EF4-FFF2-40B4-BE49-F238E27FC236}">
              <a16:creationId xmlns:a16="http://schemas.microsoft.com/office/drawing/2014/main" id="{2C179B8B-69B8-4D1F-A6E4-2700F2142BF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488680" y="46710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30480</xdr:colOff>
      <xdr:row>9</xdr:row>
      <xdr:rowOff>0</xdr:rowOff>
    </xdr:from>
    <xdr:to>
      <xdr:col>9</xdr:col>
      <xdr:colOff>642480</xdr:colOff>
      <xdr:row>11</xdr:row>
      <xdr:rowOff>2400</xdr:rowOff>
    </xdr:to>
    <xdr:pic>
      <xdr:nvPicPr>
        <xdr:cNvPr id="3" name="Grafik 2">
          <a:extLst>
            <a:ext uri="{FF2B5EF4-FFF2-40B4-BE49-F238E27FC236}">
              <a16:creationId xmlns:a16="http://schemas.microsoft.com/office/drawing/2014/main" id="{1E1CF4F1-8EA1-4CFF-BFDA-EDE3E9A1F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3920" y="18135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449580</xdr:colOff>
      <xdr:row>9</xdr:row>
      <xdr:rowOff>358140</xdr:rowOff>
    </xdr:from>
    <xdr:to>
      <xdr:col>9</xdr:col>
      <xdr:colOff>1061580</xdr:colOff>
      <xdr:row>12</xdr:row>
      <xdr:rowOff>131940</xdr:rowOff>
    </xdr:to>
    <xdr:pic>
      <xdr:nvPicPr>
        <xdr:cNvPr id="4" name="Grafik 3">
          <a:extLst>
            <a:ext uri="{FF2B5EF4-FFF2-40B4-BE49-F238E27FC236}">
              <a16:creationId xmlns:a16="http://schemas.microsoft.com/office/drawing/2014/main" id="{30C99283-03ED-472B-AC07-851AD7F69F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3020" y="217170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30480</xdr:colOff>
      <xdr:row>11</xdr:row>
      <xdr:rowOff>76200</xdr:rowOff>
    </xdr:from>
    <xdr:to>
      <xdr:col>9</xdr:col>
      <xdr:colOff>642480</xdr:colOff>
      <xdr:row>13</xdr:row>
      <xdr:rowOff>231000</xdr:rowOff>
    </xdr:to>
    <xdr:pic>
      <xdr:nvPicPr>
        <xdr:cNvPr id="5" name="Grafik 4">
          <a:extLst>
            <a:ext uri="{FF2B5EF4-FFF2-40B4-BE49-F238E27FC236}">
              <a16:creationId xmlns:a16="http://schemas.microsoft.com/office/drawing/2014/main" id="{1B5F4ACD-3310-480D-9CE9-D2743E57CD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03920" y="24993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464820</xdr:colOff>
      <xdr:row>12</xdr:row>
      <xdr:rowOff>213360</xdr:rowOff>
    </xdr:from>
    <xdr:to>
      <xdr:col>9</xdr:col>
      <xdr:colOff>1076820</xdr:colOff>
      <xdr:row>15</xdr:row>
      <xdr:rowOff>101460</xdr:rowOff>
    </xdr:to>
    <xdr:pic>
      <xdr:nvPicPr>
        <xdr:cNvPr id="6" name="Grafik 5">
          <a:extLst>
            <a:ext uri="{FF2B5EF4-FFF2-40B4-BE49-F238E27FC236}">
              <a16:creationId xmlns:a16="http://schemas.microsoft.com/office/drawing/2014/main" id="{922AEE6E-5851-4668-BE25-2909C20B57A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38260" y="28651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xdr:colOff>
      <xdr:row>9</xdr:row>
      <xdr:rowOff>30480</xdr:rowOff>
    </xdr:from>
    <xdr:to>
      <xdr:col>6</xdr:col>
      <xdr:colOff>589140</xdr:colOff>
      <xdr:row>11</xdr:row>
      <xdr:rowOff>32880</xdr:rowOff>
    </xdr:to>
    <xdr:pic>
      <xdr:nvPicPr>
        <xdr:cNvPr id="7" name="Grafik 6">
          <a:extLst>
            <a:ext uri="{FF2B5EF4-FFF2-40B4-BE49-F238E27FC236}">
              <a16:creationId xmlns:a16="http://schemas.microsoft.com/office/drawing/2014/main" id="{BC86541A-3695-4C20-BD07-B4F94B15D6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67600" y="184404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472440</xdr:colOff>
      <xdr:row>15</xdr:row>
      <xdr:rowOff>220980</xdr:rowOff>
    </xdr:from>
    <xdr:to>
      <xdr:col>9</xdr:col>
      <xdr:colOff>1084440</xdr:colOff>
      <xdr:row>15</xdr:row>
      <xdr:rowOff>832980</xdr:rowOff>
    </xdr:to>
    <xdr:pic>
      <xdr:nvPicPr>
        <xdr:cNvPr id="8" name="Grafik 7">
          <a:extLst>
            <a:ext uri="{FF2B5EF4-FFF2-40B4-BE49-F238E27FC236}">
              <a16:creationId xmlns:a16="http://schemas.microsoft.com/office/drawing/2014/main" id="{C8FE3EEE-2385-4DBE-91BF-A719FFB601D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945880" y="359664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53340</xdr:colOff>
      <xdr:row>11</xdr:row>
      <xdr:rowOff>60960</xdr:rowOff>
    </xdr:from>
    <xdr:to>
      <xdr:col>6</xdr:col>
      <xdr:colOff>589140</xdr:colOff>
      <xdr:row>13</xdr:row>
      <xdr:rowOff>215760</xdr:rowOff>
    </xdr:to>
    <xdr:pic>
      <xdr:nvPicPr>
        <xdr:cNvPr id="9" name="Grafik 8">
          <a:extLst>
            <a:ext uri="{FF2B5EF4-FFF2-40B4-BE49-F238E27FC236}">
              <a16:creationId xmlns:a16="http://schemas.microsoft.com/office/drawing/2014/main" id="{CFE94B62-FF31-4D6F-B839-8CCE17979F0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67600" y="24841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495300</xdr:colOff>
      <xdr:row>15</xdr:row>
      <xdr:rowOff>937260</xdr:rowOff>
    </xdr:from>
    <xdr:to>
      <xdr:col>9</xdr:col>
      <xdr:colOff>1107300</xdr:colOff>
      <xdr:row>15</xdr:row>
      <xdr:rowOff>1549260</xdr:rowOff>
    </xdr:to>
    <xdr:pic>
      <xdr:nvPicPr>
        <xdr:cNvPr id="10" name="Grafik 9">
          <a:extLst>
            <a:ext uri="{FF2B5EF4-FFF2-40B4-BE49-F238E27FC236}">
              <a16:creationId xmlns:a16="http://schemas.microsoft.com/office/drawing/2014/main" id="{6E38F193-FAFB-499D-8C7B-496F528745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68740" y="43129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15240</xdr:colOff>
      <xdr:row>15</xdr:row>
      <xdr:rowOff>1295400</xdr:rowOff>
    </xdr:from>
    <xdr:to>
      <xdr:col>9</xdr:col>
      <xdr:colOff>627240</xdr:colOff>
      <xdr:row>15</xdr:row>
      <xdr:rowOff>1907400</xdr:rowOff>
    </xdr:to>
    <xdr:pic>
      <xdr:nvPicPr>
        <xdr:cNvPr id="11" name="Grafik 10">
          <a:extLst>
            <a:ext uri="{FF2B5EF4-FFF2-40B4-BE49-F238E27FC236}">
              <a16:creationId xmlns:a16="http://schemas.microsoft.com/office/drawing/2014/main" id="{95EEBBF0-F14F-44F0-9971-783381C7585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488680" y="467106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22860</xdr:colOff>
      <xdr:row>9</xdr:row>
      <xdr:rowOff>22860</xdr:rowOff>
    </xdr:from>
    <xdr:to>
      <xdr:col>6</xdr:col>
      <xdr:colOff>558660</xdr:colOff>
      <xdr:row>11</xdr:row>
      <xdr:rowOff>25260</xdr:rowOff>
    </xdr:to>
    <xdr:pic>
      <xdr:nvPicPr>
        <xdr:cNvPr id="7" name="Grafik 6">
          <a:extLst>
            <a:ext uri="{FF2B5EF4-FFF2-40B4-BE49-F238E27FC236}">
              <a16:creationId xmlns:a16="http://schemas.microsoft.com/office/drawing/2014/main" id="{41D33B10-CC93-4163-A21D-66F56B93EB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7120" y="1836420"/>
          <a:ext cx="61200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Informationspool\_AMS\Pr&#252;fpflichtige%20Anlagen%20und%20Arbeitsmittel\Pr&#252;fverzeichnis%202023.xlsx" TargetMode="External"/><Relationship Id="rId1" Type="http://schemas.openxmlformats.org/officeDocument/2006/relationships/externalLinkPath" Target="/Informationspool/_AMS/Pr&#252;fpflichtige%20Anlagen%20und%20Arbeitsmittel/Pr&#252;fverzeichnis%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MG_Fileserver\To%20Do%20Mitarbeiter\Kunden\_Demokunde\Gef&#228;hrdungsbeurteilungen\AMS\GefDok_Datenbank_KMG.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üfverzeichnis"/>
      <sheetName val="Daten"/>
      <sheetName val="ABA"/>
      <sheetName val="AWG"/>
      <sheetName val="BMA"/>
      <sheetName val="BSK"/>
      <sheetName val="BST"/>
      <sheetName val="FSA"/>
      <sheetName val="FLR"/>
      <sheetName val="HYD"/>
      <sheetName val="LOA"/>
      <sheetName val="NSB"/>
      <sheetName val="RMR"/>
      <sheetName val="RWA"/>
      <sheetName val="BSA"/>
      <sheetName val="ELK"/>
      <sheetName val="EHI"/>
      <sheetName val="FZG"/>
      <sheetName val="FFZ"/>
      <sheetName val="FGA"/>
      <sheetName val="FKS"/>
      <sheetName val="GWA"/>
      <sheetName val="HEB"/>
      <sheetName val="HSL"/>
      <sheetName val="ABS"/>
      <sheetName val="FEU"/>
      <sheetName val="HEI"/>
      <sheetName val="KAA"/>
      <sheetName val="RLT"/>
      <sheetName val="KRA"/>
      <sheetName val="LAD"/>
      <sheetName val="LAA"/>
      <sheetName val="LAL"/>
      <sheetName val="LAT"/>
      <sheetName val="LTR"/>
      <sheetName val="PRE"/>
      <sheetName val="PSA"/>
      <sheetName val="REG"/>
      <sheetName val="SER"/>
      <sheetName val="TRW"/>
      <sheetName val="TTO"/>
      <sheetName val="ABF"/>
      <sheetName val="AZG"/>
      <sheetName val="RIU"/>
      <sheetName val="DBH1"/>
      <sheetName val="IN1"/>
      <sheetName val="IN2"/>
      <sheetName val="IN3"/>
      <sheetName val="WHZ"/>
    </sheetNames>
    <sheetDataSet>
      <sheetData sheetId="0"/>
      <sheetData sheetId="1">
        <row r="3">
          <cell r="B3" t="str">
            <v>alle Gebäude</v>
          </cell>
          <cell r="C3" t="str">
            <v>alle Bereiche</v>
          </cell>
          <cell r="G3" t="str">
            <v>ja</v>
          </cell>
          <cell r="H3" t="str">
            <v>R32</v>
          </cell>
        </row>
        <row r="4">
          <cell r="C4" t="str">
            <v>keine Zuordnung</v>
          </cell>
          <cell r="G4" t="str">
            <v>nein</v>
          </cell>
          <cell r="H4" t="str">
            <v>R134a</v>
          </cell>
        </row>
        <row r="5">
          <cell r="H5" t="str">
            <v>R290</v>
          </cell>
        </row>
        <row r="6">
          <cell r="H6" t="str">
            <v>R404A</v>
          </cell>
        </row>
        <row r="7">
          <cell r="H7" t="str">
            <v>R407C</v>
          </cell>
        </row>
        <row r="8">
          <cell r="H8" t="str">
            <v>R407F</v>
          </cell>
        </row>
        <row r="9">
          <cell r="H9" t="str">
            <v>R410A</v>
          </cell>
        </row>
        <row r="10">
          <cell r="H10" t="str">
            <v>R422D</v>
          </cell>
        </row>
        <row r="11">
          <cell r="H11" t="str">
            <v>R449A</v>
          </cell>
        </row>
        <row r="12">
          <cell r="H12" t="str">
            <v>R600a</v>
          </cell>
        </row>
        <row r="13">
          <cell r="H13" t="str">
            <v>R717</v>
          </cell>
        </row>
        <row r="14">
          <cell r="H14" t="str">
            <v>R744</v>
          </cell>
        </row>
        <row r="15">
          <cell r="H15" t="str">
            <v>R1234yf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Deckblatt"/>
      <sheetName val="Revisionen"/>
      <sheetName val="Faktorenübersicht"/>
      <sheetName val="Gefährdungsbeurteilung"/>
      <sheetName val="Risikobewertung"/>
      <sheetName val="Daten"/>
    </sheetNames>
    <sheetDataSet>
      <sheetData sheetId="0">
        <row r="21">
          <cell r="B21" t="str">
            <v>180101D</v>
          </cell>
        </row>
        <row r="22">
          <cell r="B22" t="str">
            <v>180102D</v>
          </cell>
        </row>
        <row r="23">
          <cell r="B23" t="str">
            <v>180103D</v>
          </cell>
        </row>
        <row r="24">
          <cell r="B24" t="str">
            <v>180104D</v>
          </cell>
        </row>
        <row r="25">
          <cell r="B25" t="str">
            <v>180105D</v>
          </cell>
        </row>
        <row r="26">
          <cell r="B26" t="str">
            <v>180609D</v>
          </cell>
        </row>
        <row r="27">
          <cell r="B27" t="str">
            <v>180811D</v>
          </cell>
        </row>
        <row r="28">
          <cell r="B28" t="str">
            <v>180812P</v>
          </cell>
        </row>
        <row r="29">
          <cell r="B29" t="str">
            <v>181013D</v>
          </cell>
        </row>
        <row r="30">
          <cell r="B30" t="str">
            <v>181014D</v>
          </cell>
        </row>
        <row r="31">
          <cell r="B31" t="str">
            <v>181015D</v>
          </cell>
        </row>
        <row r="32">
          <cell r="B32" t="str">
            <v>181016D</v>
          </cell>
        </row>
        <row r="33">
          <cell r="B33" t="str">
            <v>181117D</v>
          </cell>
        </row>
        <row r="34">
          <cell r="B34" t="str">
            <v>181118D</v>
          </cell>
        </row>
        <row r="35">
          <cell r="B35" t="str">
            <v>190119D</v>
          </cell>
        </row>
        <row r="36">
          <cell r="B36" t="str">
            <v>190120D</v>
          </cell>
        </row>
        <row r="37">
          <cell r="B37" t="str">
            <v>190121D</v>
          </cell>
        </row>
        <row r="38">
          <cell r="B38" t="str">
            <v>190222D</v>
          </cell>
        </row>
        <row r="39">
          <cell r="B39" t="str">
            <v>190223D</v>
          </cell>
        </row>
        <row r="40">
          <cell r="B40" t="str">
            <v>190324D_1</v>
          </cell>
        </row>
        <row r="41">
          <cell r="B41" t="str">
            <v>190324D_2</v>
          </cell>
        </row>
        <row r="42">
          <cell r="B42" t="str">
            <v>190325D</v>
          </cell>
        </row>
        <row r="43">
          <cell r="B43" t="str">
            <v>190428D</v>
          </cell>
        </row>
        <row r="44">
          <cell r="B44" t="str">
            <v>190429D</v>
          </cell>
        </row>
        <row r="45">
          <cell r="B45" t="str">
            <v>190532D</v>
          </cell>
        </row>
        <row r="46">
          <cell r="B46" t="str">
            <v>190733D</v>
          </cell>
        </row>
        <row r="47">
          <cell r="B47" t="str">
            <v>190834D</v>
          </cell>
        </row>
        <row r="48">
          <cell r="B48" t="str">
            <v>190835P</v>
          </cell>
        </row>
        <row r="49">
          <cell r="B49" t="str">
            <v>191036D</v>
          </cell>
        </row>
        <row r="50">
          <cell r="B50" t="str">
            <v>191037D</v>
          </cell>
        </row>
        <row r="51">
          <cell r="B51" t="str">
            <v>191141D</v>
          </cell>
        </row>
        <row r="52">
          <cell r="B52" t="str">
            <v>200143D</v>
          </cell>
        </row>
        <row r="53">
          <cell r="B53" t="str">
            <v>200144D</v>
          </cell>
        </row>
        <row r="54">
          <cell r="B54" t="str">
            <v>200145D</v>
          </cell>
        </row>
        <row r="55">
          <cell r="B55" t="str">
            <v>200146D</v>
          </cell>
        </row>
        <row r="56">
          <cell r="B56" t="str">
            <v>200247D</v>
          </cell>
        </row>
        <row r="57">
          <cell r="B57" t="str">
            <v>200248D</v>
          </cell>
        </row>
        <row r="58">
          <cell r="B58" t="str">
            <v>200549D</v>
          </cell>
        </row>
        <row r="59">
          <cell r="B59" t="str">
            <v>201150D</v>
          </cell>
        </row>
        <row r="68">
          <cell r="B68" t="str">
            <v>ASO_100</v>
          </cell>
        </row>
        <row r="69">
          <cell r="B69" t="str">
            <v>Flurförderzeuge</v>
          </cell>
        </row>
        <row r="70">
          <cell r="B70" t="str">
            <v>Regale / Lagereinrichtungen</v>
          </cell>
        </row>
        <row r="71">
          <cell r="B71" t="str">
            <v>Gießerei</v>
          </cell>
        </row>
        <row r="72">
          <cell r="B72" t="str">
            <v>Gewindebohrautomaten (Vöhrs)</v>
          </cell>
        </row>
        <row r="73">
          <cell r="B73" t="str">
            <v>Aufzugsanlagen</v>
          </cell>
        </row>
        <row r="74">
          <cell r="B74" t="str">
            <v>Leitern und Tritte</v>
          </cell>
        </row>
        <row r="75">
          <cell r="B75" t="str">
            <v>Spritzgießmaschine</v>
          </cell>
        </row>
        <row r="76">
          <cell r="B76" t="str">
            <v>Hubarbeitsbühne</v>
          </cell>
        </row>
        <row r="77">
          <cell r="B77" t="str">
            <v>Außendienst</v>
          </cell>
        </row>
        <row r="78">
          <cell r="B78" t="str">
            <v>arbeitsmedizinische Vorsorge</v>
          </cell>
        </row>
        <row r="79">
          <cell r="B79" t="str">
            <v>Müllpresse</v>
          </cell>
        </row>
        <row r="80">
          <cell r="B80" t="str">
            <v>Fremdfirmenmanagement</v>
          </cell>
        </row>
        <row r="81">
          <cell r="B81" t="str">
            <v>R58 - Einschäummaschine</v>
          </cell>
        </row>
        <row r="82">
          <cell r="B82" t="str">
            <v>Gefahrstofflagerung</v>
          </cell>
        </row>
        <row r="83">
          <cell r="B83" t="str">
            <v>Lackieranlage / Lackieren</v>
          </cell>
        </row>
        <row r="84">
          <cell r="B84" t="str">
            <v>Arbeiten in Gleisnähe</v>
          </cell>
        </row>
        <row r="85">
          <cell r="B85">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678F-0D94-4195-8F9B-18BB7FE47B6A}">
  <sheetPr>
    <outlinePr summaryRight="0"/>
  </sheetPr>
  <dimension ref="A1:AW300"/>
  <sheetViews>
    <sheetView showGridLines="0" zoomScaleNormal="100" zoomScaleSheetLayoutView="100" workbookViewId="0">
      <pane xSplit="3" ySplit="3" topLeftCell="D75" activePane="bottomRight" state="frozen"/>
      <selection pane="topRight" activeCell="D1" sqref="D1"/>
      <selection pane="bottomLeft" activeCell="A4" sqref="A4"/>
      <selection pane="bottomRight" activeCell="C88" sqref="C88"/>
    </sheetView>
  </sheetViews>
  <sheetFormatPr baseColWidth="10" defaultColWidth="11.44140625" defaultRowHeight="18.75" customHeight="1" x14ac:dyDescent="0.3"/>
  <cols>
    <col min="1" max="1" width="7.109375" style="46" customWidth="1"/>
    <col min="2" max="3" width="5.6640625" style="37" customWidth="1"/>
    <col min="4" max="5" width="22" style="35" customWidth="1"/>
    <col min="6" max="11" width="22" style="3" customWidth="1"/>
    <col min="12" max="21" width="20" style="3" customWidth="1"/>
    <col min="22" max="29" width="22" style="3" customWidth="1"/>
    <col min="30" max="48" width="11.44140625" style="1"/>
    <col min="49" max="49" width="13.6640625" style="1" customWidth="1"/>
    <col min="50" max="16384" width="11.44140625" style="1"/>
  </cols>
  <sheetData>
    <row r="1" spans="1:49" ht="30" customHeight="1" x14ac:dyDescent="0.3">
      <c r="A1" s="49" t="s">
        <v>1118</v>
      </c>
      <c r="C1" s="36"/>
      <c r="F1" s="38"/>
      <c r="G1" s="39"/>
      <c r="H1" s="39"/>
      <c r="I1" s="39"/>
      <c r="J1" s="39"/>
      <c r="K1" s="39"/>
      <c r="L1" s="38"/>
      <c r="M1" s="38"/>
      <c r="N1" s="38"/>
      <c r="O1" s="38"/>
      <c r="P1" s="39"/>
      <c r="Q1" s="39"/>
      <c r="R1" s="39"/>
      <c r="S1" s="39"/>
      <c r="T1" s="39"/>
      <c r="U1" s="39"/>
      <c r="V1" s="39"/>
      <c r="W1" s="39"/>
      <c r="X1" s="38"/>
      <c r="Y1" s="38"/>
      <c r="Z1" s="39"/>
      <c r="AA1" s="38"/>
      <c r="AB1" s="39"/>
      <c r="AC1" s="38"/>
    </row>
    <row r="2" spans="1:49" ht="24" customHeight="1" x14ac:dyDescent="0.3">
      <c r="A2" s="126" t="s">
        <v>1686</v>
      </c>
      <c r="F2" s="40"/>
      <c r="G2" s="40"/>
      <c r="H2" s="40"/>
      <c r="I2" s="41"/>
      <c r="J2" s="41"/>
      <c r="K2" s="127" t="s">
        <v>2515</v>
      </c>
      <c r="L2" s="40"/>
      <c r="M2" s="40"/>
      <c r="N2" s="40"/>
      <c r="O2" s="40"/>
      <c r="P2" s="40"/>
      <c r="Q2" s="40"/>
      <c r="R2" s="40"/>
      <c r="S2" s="40"/>
      <c r="T2" s="40"/>
      <c r="U2" s="40"/>
      <c r="V2" s="41"/>
      <c r="X2" s="40"/>
      <c r="Y2" s="40"/>
      <c r="Z2" s="40"/>
      <c r="AA2" s="40"/>
      <c r="AB2" s="41"/>
      <c r="AC2" s="40"/>
    </row>
    <row r="3" spans="1:49" ht="30" customHeight="1" x14ac:dyDescent="0.3">
      <c r="A3" s="47" t="s">
        <v>1117</v>
      </c>
      <c r="B3" s="50" t="s">
        <v>1119</v>
      </c>
      <c r="C3" s="51" t="s">
        <v>1120</v>
      </c>
      <c r="D3" s="42" t="s">
        <v>1104</v>
      </c>
      <c r="E3" s="42" t="s">
        <v>1105</v>
      </c>
      <c r="F3" s="43" t="s">
        <v>1121</v>
      </c>
      <c r="G3" s="42" t="s">
        <v>1122</v>
      </c>
      <c r="H3" s="42" t="s">
        <v>1172</v>
      </c>
      <c r="I3" s="42" t="s">
        <v>1145</v>
      </c>
      <c r="J3" s="42" t="s">
        <v>1123</v>
      </c>
      <c r="K3" s="42" t="s">
        <v>1113</v>
      </c>
      <c r="L3" s="43" t="s">
        <v>1131</v>
      </c>
      <c r="M3" s="43" t="s">
        <v>1132</v>
      </c>
      <c r="N3" s="43" t="s">
        <v>1133</v>
      </c>
      <c r="O3" s="43" t="s">
        <v>1134</v>
      </c>
      <c r="P3" s="42" t="s">
        <v>1135</v>
      </c>
      <c r="Q3" s="42" t="s">
        <v>1136</v>
      </c>
      <c r="R3" s="42" t="s">
        <v>1137</v>
      </c>
      <c r="S3" s="42" t="s">
        <v>1138</v>
      </c>
      <c r="T3" s="42" t="s">
        <v>1139</v>
      </c>
      <c r="U3" s="42" t="s">
        <v>1234</v>
      </c>
      <c r="V3" s="42" t="s">
        <v>1124</v>
      </c>
      <c r="W3" s="42" t="s">
        <v>1125</v>
      </c>
      <c r="X3" s="43" t="s">
        <v>1126</v>
      </c>
      <c r="Y3" s="43" t="s">
        <v>1174</v>
      </c>
      <c r="Z3" s="42" t="s">
        <v>1127</v>
      </c>
      <c r="AA3" s="43" t="s">
        <v>1175</v>
      </c>
      <c r="AB3" s="42" t="s">
        <v>1128</v>
      </c>
      <c r="AC3" s="43" t="s">
        <v>1176</v>
      </c>
      <c r="AD3" s="42" t="s">
        <v>1236</v>
      </c>
      <c r="AE3" s="42" t="s">
        <v>1237</v>
      </c>
      <c r="AF3" s="42" t="s">
        <v>1238</v>
      </c>
      <c r="AG3" s="42" t="s">
        <v>1239</v>
      </c>
      <c r="AH3" s="42" t="s">
        <v>1240</v>
      </c>
      <c r="AI3" s="42" t="s">
        <v>1241</v>
      </c>
      <c r="AJ3" s="42" t="s">
        <v>1242</v>
      </c>
      <c r="AK3" s="42" t="s">
        <v>1243</v>
      </c>
      <c r="AL3" s="42" t="s">
        <v>1244</v>
      </c>
      <c r="AM3" s="42" t="s">
        <v>1245</v>
      </c>
      <c r="AN3" s="42" t="s">
        <v>1246</v>
      </c>
      <c r="AO3" s="42" t="s">
        <v>1247</v>
      </c>
      <c r="AP3" s="42" t="s">
        <v>1248</v>
      </c>
      <c r="AQ3" s="42" t="s">
        <v>1249</v>
      </c>
      <c r="AR3" s="42" t="s">
        <v>1250</v>
      </c>
      <c r="AS3" s="42" t="s">
        <v>1493</v>
      </c>
      <c r="AT3" s="42" t="s">
        <v>1494</v>
      </c>
      <c r="AU3" s="42" t="s">
        <v>1495</v>
      </c>
      <c r="AV3" s="42" t="s">
        <v>1496</v>
      </c>
      <c r="AW3" s="42" t="s">
        <v>1499</v>
      </c>
    </row>
    <row r="4" spans="1:49" ht="30" customHeight="1" x14ac:dyDescent="0.3">
      <c r="A4" s="48" t="s">
        <v>2</v>
      </c>
      <c r="B4" s="44" t="str">
        <f t="shared" ref="B4:B67" si="0">HYPERLINK(CONCATENATE("..\SDB\SDB_",A4,".pdf"),"2")</f>
        <v>2</v>
      </c>
      <c r="C4" s="44" t="str">
        <f t="shared" ref="C4:C67" si="1">HYPERLINK("#"&amp;CONCATENATE(A4,"!B1"),"2")</f>
        <v>2</v>
      </c>
      <c r="D4" s="52" t="s">
        <v>1758</v>
      </c>
      <c r="E4" s="52" t="s">
        <v>1759</v>
      </c>
      <c r="F4" s="45">
        <v>45839</v>
      </c>
      <c r="G4" s="53" t="s">
        <v>1388</v>
      </c>
      <c r="H4" s="53" t="s">
        <v>1425</v>
      </c>
      <c r="I4" s="53" t="s">
        <v>1146</v>
      </c>
      <c r="J4" s="53" t="s">
        <v>1760</v>
      </c>
      <c r="K4" s="53" t="s">
        <v>1389</v>
      </c>
      <c r="L4" s="53" t="s">
        <v>3</v>
      </c>
      <c r="M4" s="53" t="s">
        <v>3</v>
      </c>
      <c r="N4" s="53" t="s">
        <v>3</v>
      </c>
      <c r="O4" s="53" t="s">
        <v>1468</v>
      </c>
      <c r="P4" s="53" t="s">
        <v>3</v>
      </c>
      <c r="Q4" s="53" t="s">
        <v>3</v>
      </c>
      <c r="R4" s="53" t="s">
        <v>3</v>
      </c>
      <c r="S4" s="53" t="s">
        <v>3</v>
      </c>
      <c r="T4" s="53" t="s">
        <v>3</v>
      </c>
      <c r="U4" s="53" t="s">
        <v>3</v>
      </c>
      <c r="V4" s="53">
        <v>1</v>
      </c>
      <c r="W4" s="53" t="s">
        <v>2518</v>
      </c>
      <c r="X4" s="53" t="s">
        <v>48</v>
      </c>
      <c r="Y4" s="53" t="s">
        <v>105</v>
      </c>
      <c r="Z4" s="53" t="s">
        <v>51</v>
      </c>
      <c r="AA4" s="53" t="s">
        <v>1384</v>
      </c>
      <c r="AB4" s="53" t="s">
        <v>95</v>
      </c>
      <c r="AC4" s="53" t="s">
        <v>124</v>
      </c>
      <c r="AD4" s="53" t="s">
        <v>3</v>
      </c>
      <c r="AE4" s="53">
        <v>0</v>
      </c>
      <c r="AF4" s="53" t="s">
        <v>3</v>
      </c>
      <c r="AG4" s="53" t="s">
        <v>1252</v>
      </c>
      <c r="AH4" s="53" t="s">
        <v>1253</v>
      </c>
      <c r="AI4" s="53" t="s">
        <v>3</v>
      </c>
      <c r="AJ4" s="53">
        <v>0</v>
      </c>
      <c r="AK4" s="53" t="s">
        <v>3</v>
      </c>
      <c r="AL4" s="53" t="s">
        <v>1252</v>
      </c>
      <c r="AM4" s="53" t="s">
        <v>1253</v>
      </c>
      <c r="AN4" s="53" t="s">
        <v>3</v>
      </c>
      <c r="AO4" s="53">
        <v>0</v>
      </c>
      <c r="AP4" s="53" t="s">
        <v>3</v>
      </c>
      <c r="AQ4" s="53" t="s">
        <v>1252</v>
      </c>
      <c r="AR4" s="53" t="s">
        <v>1253</v>
      </c>
      <c r="AS4" s="53" t="s">
        <v>3</v>
      </c>
      <c r="AT4" s="53"/>
      <c r="AU4" s="53"/>
      <c r="AV4" s="53"/>
      <c r="AW4" s="53" t="s">
        <v>1761</v>
      </c>
    </row>
    <row r="5" spans="1:49" ht="30" customHeight="1" x14ac:dyDescent="0.3">
      <c r="A5" s="48" t="s">
        <v>1293</v>
      </c>
      <c r="B5" s="44" t="str">
        <f t="shared" si="0"/>
        <v>2</v>
      </c>
      <c r="C5" s="44" t="str">
        <f t="shared" si="1"/>
        <v>2</v>
      </c>
      <c r="D5" s="52" t="s">
        <v>1762</v>
      </c>
      <c r="E5" s="52" t="s">
        <v>1759</v>
      </c>
      <c r="F5" s="45">
        <v>45251</v>
      </c>
      <c r="G5" s="53" t="s">
        <v>1388</v>
      </c>
      <c r="H5" s="53" t="s">
        <v>1425</v>
      </c>
      <c r="I5" s="53" t="s">
        <v>1146</v>
      </c>
      <c r="J5" s="53" t="s">
        <v>1760</v>
      </c>
      <c r="K5" s="53" t="s">
        <v>1763</v>
      </c>
      <c r="L5" s="53" t="s">
        <v>1476</v>
      </c>
      <c r="M5" s="53" t="s">
        <v>1764</v>
      </c>
      <c r="N5" s="53" t="s">
        <v>3</v>
      </c>
      <c r="O5" s="53" t="s">
        <v>3</v>
      </c>
      <c r="P5" s="53" t="s">
        <v>3</v>
      </c>
      <c r="Q5" s="53" t="s">
        <v>1765</v>
      </c>
      <c r="R5" s="53" t="s">
        <v>1766</v>
      </c>
      <c r="S5" s="53" t="s">
        <v>3</v>
      </c>
      <c r="T5" s="53" t="s">
        <v>3</v>
      </c>
      <c r="U5" s="53" t="s">
        <v>1767</v>
      </c>
      <c r="V5" s="53">
        <v>2</v>
      </c>
      <c r="W5" s="53" t="s">
        <v>2519</v>
      </c>
      <c r="X5" s="53" t="s">
        <v>86</v>
      </c>
      <c r="Y5" s="53" t="s">
        <v>152</v>
      </c>
      <c r="Z5" s="53" t="s">
        <v>1419</v>
      </c>
      <c r="AA5" s="53" t="s">
        <v>2528</v>
      </c>
      <c r="AB5" s="53" t="s">
        <v>96</v>
      </c>
      <c r="AC5" s="53" t="s">
        <v>148</v>
      </c>
      <c r="AD5" s="53" t="s">
        <v>3</v>
      </c>
      <c r="AE5" s="53">
        <v>0</v>
      </c>
      <c r="AF5" s="53" t="s">
        <v>3</v>
      </c>
      <c r="AG5" s="53" t="s">
        <v>1252</v>
      </c>
      <c r="AH5" s="53" t="s">
        <v>1253</v>
      </c>
      <c r="AI5" s="53" t="s">
        <v>3</v>
      </c>
      <c r="AJ5" s="53">
        <v>0</v>
      </c>
      <c r="AK5" s="53" t="s">
        <v>3</v>
      </c>
      <c r="AL5" s="53" t="s">
        <v>1252</v>
      </c>
      <c r="AM5" s="53" t="s">
        <v>1253</v>
      </c>
      <c r="AN5" s="53" t="s">
        <v>3</v>
      </c>
      <c r="AO5" s="53">
        <v>0</v>
      </c>
      <c r="AP5" s="53" t="s">
        <v>3</v>
      </c>
      <c r="AQ5" s="53" t="s">
        <v>1252</v>
      </c>
      <c r="AR5" s="53" t="s">
        <v>1253</v>
      </c>
      <c r="AS5" s="53" t="s">
        <v>1768</v>
      </c>
      <c r="AT5" s="53"/>
      <c r="AU5" s="53"/>
      <c r="AV5" s="53"/>
      <c r="AW5" s="53" t="s">
        <v>1761</v>
      </c>
    </row>
    <row r="6" spans="1:49" ht="30" customHeight="1" x14ac:dyDescent="0.3">
      <c r="A6" s="48" t="s">
        <v>1559</v>
      </c>
      <c r="B6" s="44" t="str">
        <f t="shared" si="0"/>
        <v>2</v>
      </c>
      <c r="C6" s="44" t="str">
        <f t="shared" si="1"/>
        <v>2</v>
      </c>
      <c r="D6" s="52" t="s">
        <v>1769</v>
      </c>
      <c r="E6" s="52" t="s">
        <v>1759</v>
      </c>
      <c r="F6" s="45">
        <v>45140</v>
      </c>
      <c r="G6" s="53" t="s">
        <v>1388</v>
      </c>
      <c r="H6" s="53" t="s">
        <v>1425</v>
      </c>
      <c r="I6" s="53" t="s">
        <v>1146</v>
      </c>
      <c r="J6" s="53" t="s">
        <v>1760</v>
      </c>
      <c r="K6" s="53" t="s">
        <v>1405</v>
      </c>
      <c r="L6" s="53" t="s">
        <v>1476</v>
      </c>
      <c r="M6" s="53" t="s">
        <v>1477</v>
      </c>
      <c r="N6" s="53" t="s">
        <v>3</v>
      </c>
      <c r="O6" s="53" t="s">
        <v>3</v>
      </c>
      <c r="P6" s="53" t="s">
        <v>3</v>
      </c>
      <c r="Q6" s="53" t="s">
        <v>1765</v>
      </c>
      <c r="R6" s="53" t="s">
        <v>1770</v>
      </c>
      <c r="S6" s="53" t="s">
        <v>3</v>
      </c>
      <c r="T6" s="53" t="s">
        <v>3</v>
      </c>
      <c r="U6" s="53" t="s">
        <v>1771</v>
      </c>
      <c r="V6" s="53">
        <v>1</v>
      </c>
      <c r="W6" s="53" t="s">
        <v>2519</v>
      </c>
      <c r="X6" s="53" t="s">
        <v>86</v>
      </c>
      <c r="Y6" s="53" t="s">
        <v>152</v>
      </c>
      <c r="Z6" s="53" t="s">
        <v>1419</v>
      </c>
      <c r="AA6" s="53" t="s">
        <v>2528</v>
      </c>
      <c r="AB6" s="53" t="s">
        <v>96</v>
      </c>
      <c r="AC6" s="53" t="s">
        <v>148</v>
      </c>
      <c r="AD6" s="53" t="s">
        <v>3</v>
      </c>
      <c r="AE6" s="53">
        <v>0</v>
      </c>
      <c r="AF6" s="53" t="s">
        <v>3</v>
      </c>
      <c r="AG6" s="53" t="s">
        <v>1252</v>
      </c>
      <c r="AH6" s="53" t="s">
        <v>1253</v>
      </c>
      <c r="AI6" s="53" t="s">
        <v>3</v>
      </c>
      <c r="AJ6" s="53">
        <v>0</v>
      </c>
      <c r="AK6" s="53" t="s">
        <v>3</v>
      </c>
      <c r="AL6" s="53" t="s">
        <v>1252</v>
      </c>
      <c r="AM6" s="53" t="s">
        <v>1253</v>
      </c>
      <c r="AN6" s="53" t="s">
        <v>3</v>
      </c>
      <c r="AO6" s="53">
        <v>0</v>
      </c>
      <c r="AP6" s="53" t="s">
        <v>3</v>
      </c>
      <c r="AQ6" s="53" t="s">
        <v>1252</v>
      </c>
      <c r="AR6" s="53" t="s">
        <v>1253</v>
      </c>
      <c r="AS6" s="53" t="s">
        <v>1768</v>
      </c>
      <c r="AT6" s="53"/>
      <c r="AU6" s="53"/>
      <c r="AV6" s="53"/>
      <c r="AW6" s="53" t="s">
        <v>1761</v>
      </c>
    </row>
    <row r="7" spans="1:49" ht="30" customHeight="1" x14ac:dyDescent="0.3">
      <c r="A7" s="48" t="s">
        <v>1560</v>
      </c>
      <c r="B7" s="44" t="str">
        <f t="shared" si="0"/>
        <v>2</v>
      </c>
      <c r="C7" s="44" t="str">
        <f t="shared" si="1"/>
        <v>2</v>
      </c>
      <c r="D7" s="52" t="s">
        <v>1772</v>
      </c>
      <c r="E7" s="52" t="s">
        <v>1773</v>
      </c>
      <c r="F7" s="45">
        <v>41695</v>
      </c>
      <c r="G7" s="53" t="s">
        <v>1140</v>
      </c>
      <c r="H7" s="53" t="s">
        <v>1474</v>
      </c>
      <c r="I7" s="53">
        <v>0</v>
      </c>
      <c r="J7" s="53" t="s">
        <v>1760</v>
      </c>
      <c r="K7" s="53" t="s">
        <v>1394</v>
      </c>
      <c r="L7" s="53" t="s">
        <v>3</v>
      </c>
      <c r="M7" s="53" t="s">
        <v>1774</v>
      </c>
      <c r="N7" s="53" t="s">
        <v>3</v>
      </c>
      <c r="O7" s="53" t="s">
        <v>3</v>
      </c>
      <c r="P7" s="53" t="s">
        <v>3</v>
      </c>
      <c r="Q7" s="53" t="s">
        <v>1765</v>
      </c>
      <c r="R7" s="53" t="s">
        <v>1775</v>
      </c>
      <c r="S7" s="53" t="s">
        <v>3</v>
      </c>
      <c r="T7" s="53" t="s">
        <v>3</v>
      </c>
      <c r="U7" s="53" t="s">
        <v>1776</v>
      </c>
      <c r="V7" s="53">
        <v>1</v>
      </c>
      <c r="W7" s="53" t="s">
        <v>2520</v>
      </c>
      <c r="X7" s="53" t="s">
        <v>86</v>
      </c>
      <c r="Y7" s="53" t="s">
        <v>152</v>
      </c>
      <c r="Z7" s="53" t="s">
        <v>84</v>
      </c>
      <c r="AA7" s="53" t="s">
        <v>147</v>
      </c>
      <c r="AB7" s="53" t="s">
        <v>96</v>
      </c>
      <c r="AC7" s="53" t="s">
        <v>148</v>
      </c>
      <c r="AD7" s="53">
        <v>0</v>
      </c>
      <c r="AE7" s="53">
        <v>0</v>
      </c>
      <c r="AF7" s="53">
        <v>0</v>
      </c>
      <c r="AG7" s="53">
        <v>0</v>
      </c>
      <c r="AH7" s="53" t="e">
        <v>#N/A</v>
      </c>
      <c r="AI7" s="53" t="s">
        <v>3</v>
      </c>
      <c r="AJ7" s="53">
        <v>0</v>
      </c>
      <c r="AK7" s="53" t="s">
        <v>3</v>
      </c>
      <c r="AL7" s="53" t="s">
        <v>1252</v>
      </c>
      <c r="AM7" s="53" t="s">
        <v>1253</v>
      </c>
      <c r="AN7" s="53" t="s">
        <v>3</v>
      </c>
      <c r="AO7" s="53">
        <v>0</v>
      </c>
      <c r="AP7" s="53" t="s">
        <v>3</v>
      </c>
      <c r="AQ7" s="53" t="s">
        <v>1252</v>
      </c>
      <c r="AR7" s="53" t="s">
        <v>1253</v>
      </c>
      <c r="AS7" s="53" t="s">
        <v>3</v>
      </c>
      <c r="AT7" s="53"/>
      <c r="AU7" s="53"/>
      <c r="AV7" s="53"/>
      <c r="AW7" s="53" t="s">
        <v>1761</v>
      </c>
    </row>
    <row r="8" spans="1:49" ht="30" customHeight="1" x14ac:dyDescent="0.3">
      <c r="A8" s="48" t="s">
        <v>1561</v>
      </c>
      <c r="B8" s="44" t="str">
        <f t="shared" si="0"/>
        <v>2</v>
      </c>
      <c r="C8" s="44" t="str">
        <f t="shared" si="1"/>
        <v>2</v>
      </c>
      <c r="D8" s="52" t="s">
        <v>1777</v>
      </c>
      <c r="E8" s="52" t="s">
        <v>1778</v>
      </c>
      <c r="F8" s="45">
        <v>40290</v>
      </c>
      <c r="G8" s="53" t="s">
        <v>1388</v>
      </c>
      <c r="H8" s="53">
        <v>0</v>
      </c>
      <c r="I8" s="53">
        <v>0</v>
      </c>
      <c r="J8" s="53" t="s">
        <v>1779</v>
      </c>
      <c r="K8" s="53" t="s">
        <v>1780</v>
      </c>
      <c r="L8" s="53" t="s">
        <v>1504</v>
      </c>
      <c r="M8" s="53" t="s">
        <v>1781</v>
      </c>
      <c r="N8" s="53" t="s">
        <v>3</v>
      </c>
      <c r="O8" s="53" t="s">
        <v>3</v>
      </c>
      <c r="P8" s="53" t="s">
        <v>3</v>
      </c>
      <c r="Q8" s="53" t="s">
        <v>1782</v>
      </c>
      <c r="R8" s="53" t="s">
        <v>1783</v>
      </c>
      <c r="S8" s="53" t="s">
        <v>1142</v>
      </c>
      <c r="T8" s="53" t="s">
        <v>3</v>
      </c>
      <c r="U8" s="53" t="s">
        <v>3</v>
      </c>
      <c r="V8" s="53">
        <v>1</v>
      </c>
      <c r="W8" s="53" t="s">
        <v>2520</v>
      </c>
      <c r="X8" s="53" t="s">
        <v>86</v>
      </c>
      <c r="Y8" s="53" t="s">
        <v>152</v>
      </c>
      <c r="Z8" s="53" t="s">
        <v>84</v>
      </c>
      <c r="AA8" s="53" t="s">
        <v>147</v>
      </c>
      <c r="AB8" s="53" t="s">
        <v>101</v>
      </c>
      <c r="AC8" s="53" t="s">
        <v>160</v>
      </c>
      <c r="AD8" s="53">
        <v>0</v>
      </c>
      <c r="AE8" s="53">
        <v>0</v>
      </c>
      <c r="AF8" s="53">
        <v>0</v>
      </c>
      <c r="AG8" s="53">
        <v>0</v>
      </c>
      <c r="AH8" s="53" t="e">
        <v>#N/A</v>
      </c>
      <c r="AI8" s="53" t="s">
        <v>3</v>
      </c>
      <c r="AJ8" s="53">
        <v>0</v>
      </c>
      <c r="AK8" s="53" t="s">
        <v>3</v>
      </c>
      <c r="AL8" s="53" t="s">
        <v>1252</v>
      </c>
      <c r="AM8" s="53" t="s">
        <v>1253</v>
      </c>
      <c r="AN8" s="53" t="s">
        <v>3</v>
      </c>
      <c r="AO8" s="53">
        <v>0</v>
      </c>
      <c r="AP8" s="53" t="s">
        <v>3</v>
      </c>
      <c r="AQ8" s="53" t="s">
        <v>1252</v>
      </c>
      <c r="AR8" s="53" t="s">
        <v>1253</v>
      </c>
      <c r="AS8" s="53" t="s">
        <v>1768</v>
      </c>
      <c r="AT8" s="53"/>
      <c r="AU8" s="53"/>
      <c r="AV8" s="53"/>
      <c r="AW8" s="53" t="s">
        <v>1761</v>
      </c>
    </row>
    <row r="9" spans="1:49" ht="30" customHeight="1" x14ac:dyDescent="0.3">
      <c r="A9" s="48" t="s">
        <v>1562</v>
      </c>
      <c r="B9" s="44" t="str">
        <f t="shared" si="0"/>
        <v>2</v>
      </c>
      <c r="C9" s="44" t="str">
        <f t="shared" si="1"/>
        <v>2</v>
      </c>
      <c r="D9" s="52" t="s">
        <v>1784</v>
      </c>
      <c r="E9" s="52" t="s">
        <v>1778</v>
      </c>
      <c r="F9" s="45">
        <v>40071</v>
      </c>
      <c r="G9" s="53" t="s">
        <v>1388</v>
      </c>
      <c r="H9" s="53" t="s">
        <v>1480</v>
      </c>
      <c r="I9" s="53" t="s">
        <v>1146</v>
      </c>
      <c r="J9" s="53" t="s">
        <v>1760</v>
      </c>
      <c r="K9" s="53" t="s">
        <v>1405</v>
      </c>
      <c r="L9" s="53" t="s">
        <v>3</v>
      </c>
      <c r="M9" s="53" t="s">
        <v>1477</v>
      </c>
      <c r="N9" s="53" t="s">
        <v>3</v>
      </c>
      <c r="O9" s="53" t="s">
        <v>3</v>
      </c>
      <c r="P9" s="53" t="s">
        <v>3</v>
      </c>
      <c r="Q9" s="53" t="s">
        <v>1490</v>
      </c>
      <c r="R9" s="53" t="s">
        <v>1785</v>
      </c>
      <c r="S9" s="53" t="s">
        <v>1142</v>
      </c>
      <c r="T9" s="53" t="s">
        <v>3</v>
      </c>
      <c r="U9" s="53" t="s">
        <v>1543</v>
      </c>
      <c r="V9" s="53">
        <v>1</v>
      </c>
      <c r="W9" s="53" t="s">
        <v>2519</v>
      </c>
      <c r="X9" s="53" t="s">
        <v>53</v>
      </c>
      <c r="Y9" s="53" t="s">
        <v>127</v>
      </c>
      <c r="Z9" s="53" t="s">
        <v>84</v>
      </c>
      <c r="AA9" s="53" t="s">
        <v>147</v>
      </c>
      <c r="AB9" s="53" t="s">
        <v>95</v>
      </c>
      <c r="AC9" s="53" t="s">
        <v>124</v>
      </c>
      <c r="AD9" s="53" t="s">
        <v>3</v>
      </c>
      <c r="AE9" s="53">
        <v>0</v>
      </c>
      <c r="AF9" s="53" t="s">
        <v>3</v>
      </c>
      <c r="AG9" s="53" t="s">
        <v>1252</v>
      </c>
      <c r="AH9" s="53" t="s">
        <v>1253</v>
      </c>
      <c r="AI9" s="53" t="s">
        <v>3</v>
      </c>
      <c r="AJ9" s="53">
        <v>0</v>
      </c>
      <c r="AK9" s="53" t="s">
        <v>3</v>
      </c>
      <c r="AL9" s="53" t="s">
        <v>1252</v>
      </c>
      <c r="AM9" s="53" t="s">
        <v>1253</v>
      </c>
      <c r="AN9" s="53" t="s">
        <v>3</v>
      </c>
      <c r="AO9" s="53">
        <v>0</v>
      </c>
      <c r="AP9" s="53" t="s">
        <v>3</v>
      </c>
      <c r="AQ9" s="53" t="s">
        <v>1252</v>
      </c>
      <c r="AR9" s="53" t="s">
        <v>1253</v>
      </c>
      <c r="AS9" s="53" t="s">
        <v>3</v>
      </c>
      <c r="AT9" s="53"/>
      <c r="AU9" s="53"/>
      <c r="AV9" s="53"/>
      <c r="AW9" s="53" t="s">
        <v>1761</v>
      </c>
    </row>
    <row r="10" spans="1:49" ht="30" customHeight="1" x14ac:dyDescent="0.3">
      <c r="A10" s="48" t="s">
        <v>1563</v>
      </c>
      <c r="B10" s="44" t="str">
        <f t="shared" si="0"/>
        <v>2</v>
      </c>
      <c r="C10" s="44" t="str">
        <f t="shared" si="1"/>
        <v>2</v>
      </c>
      <c r="D10" s="52" t="s">
        <v>1786</v>
      </c>
      <c r="E10" s="52" t="s">
        <v>1787</v>
      </c>
      <c r="F10" s="45">
        <v>44481</v>
      </c>
      <c r="G10" s="53" t="s">
        <v>1388</v>
      </c>
      <c r="H10" s="53" t="s">
        <v>1390</v>
      </c>
      <c r="I10" s="53" t="s">
        <v>1146</v>
      </c>
      <c r="J10" s="53" t="s">
        <v>1788</v>
      </c>
      <c r="K10" s="53" t="s">
        <v>1402</v>
      </c>
      <c r="L10" s="53" t="s">
        <v>1403</v>
      </c>
      <c r="M10" s="53" t="s">
        <v>1428</v>
      </c>
      <c r="N10" s="53" t="s">
        <v>3</v>
      </c>
      <c r="O10" s="53" t="s">
        <v>1468</v>
      </c>
      <c r="P10" s="53" t="s">
        <v>3</v>
      </c>
      <c r="Q10" s="53" t="s">
        <v>1789</v>
      </c>
      <c r="R10" s="53" t="s">
        <v>3</v>
      </c>
      <c r="S10" s="53" t="s">
        <v>3</v>
      </c>
      <c r="T10" s="53" t="s">
        <v>3</v>
      </c>
      <c r="U10" s="53" t="s">
        <v>1790</v>
      </c>
      <c r="V10" s="53">
        <v>2</v>
      </c>
      <c r="W10" s="53" t="s">
        <v>2521</v>
      </c>
      <c r="X10" s="53" t="s">
        <v>48</v>
      </c>
      <c r="Y10" s="53" t="s">
        <v>105</v>
      </c>
      <c r="Z10" s="53" t="s">
        <v>51</v>
      </c>
      <c r="AA10" s="53" t="s">
        <v>1384</v>
      </c>
      <c r="AB10" s="53" t="s">
        <v>96</v>
      </c>
      <c r="AC10" s="53" t="s">
        <v>148</v>
      </c>
      <c r="AD10" s="53" t="s">
        <v>3</v>
      </c>
      <c r="AE10" s="53">
        <v>0</v>
      </c>
      <c r="AF10" s="53" t="s">
        <v>3</v>
      </c>
      <c r="AG10" s="53" t="s">
        <v>1252</v>
      </c>
      <c r="AH10" s="53" t="s">
        <v>1253</v>
      </c>
      <c r="AI10" s="53" t="s">
        <v>3</v>
      </c>
      <c r="AJ10" s="53">
        <v>0</v>
      </c>
      <c r="AK10" s="53" t="s">
        <v>3</v>
      </c>
      <c r="AL10" s="53" t="s">
        <v>1252</v>
      </c>
      <c r="AM10" s="53" t="s">
        <v>1253</v>
      </c>
      <c r="AN10" s="53" t="s">
        <v>3</v>
      </c>
      <c r="AO10" s="53">
        <v>0</v>
      </c>
      <c r="AP10" s="53" t="s">
        <v>3</v>
      </c>
      <c r="AQ10" s="53" t="s">
        <v>1252</v>
      </c>
      <c r="AR10" s="53" t="s">
        <v>1253</v>
      </c>
      <c r="AS10" s="53">
        <v>25</v>
      </c>
      <c r="AT10" s="53"/>
      <c r="AU10" s="53"/>
      <c r="AV10" s="53"/>
      <c r="AW10" s="53" t="s">
        <v>1761</v>
      </c>
    </row>
    <row r="11" spans="1:49" ht="30" customHeight="1" x14ac:dyDescent="0.3">
      <c r="A11" s="48" t="s">
        <v>1564</v>
      </c>
      <c r="B11" s="44" t="str">
        <f t="shared" si="0"/>
        <v>2</v>
      </c>
      <c r="C11" s="44" t="str">
        <f t="shared" si="1"/>
        <v>2</v>
      </c>
      <c r="D11" s="52" t="s">
        <v>1791</v>
      </c>
      <c r="E11" s="52" t="s">
        <v>1787</v>
      </c>
      <c r="F11" s="45">
        <v>42472</v>
      </c>
      <c r="G11" s="53" t="s">
        <v>1388</v>
      </c>
      <c r="H11" s="53" t="s">
        <v>1390</v>
      </c>
      <c r="I11" s="53" t="s">
        <v>1146</v>
      </c>
      <c r="J11" s="53" t="s">
        <v>1788</v>
      </c>
      <c r="K11" s="53" t="s">
        <v>1389</v>
      </c>
      <c r="L11" s="53" t="s">
        <v>3</v>
      </c>
      <c r="M11" s="53" t="s">
        <v>3</v>
      </c>
      <c r="N11" s="53" t="s">
        <v>3</v>
      </c>
      <c r="O11" s="53" t="s">
        <v>3</v>
      </c>
      <c r="P11" s="53" t="s">
        <v>3</v>
      </c>
      <c r="Q11" s="53" t="s">
        <v>3</v>
      </c>
      <c r="R11" s="53" t="s">
        <v>3</v>
      </c>
      <c r="S11" s="53" t="s">
        <v>3</v>
      </c>
      <c r="T11" s="53" t="s">
        <v>3</v>
      </c>
      <c r="U11" s="53" t="s">
        <v>3</v>
      </c>
      <c r="V11" s="53">
        <v>1</v>
      </c>
      <c r="W11" s="53" t="s">
        <v>2518</v>
      </c>
      <c r="X11" s="53" t="s">
        <v>48</v>
      </c>
      <c r="Y11" s="53" t="s">
        <v>105</v>
      </c>
      <c r="Z11" s="53" t="s">
        <v>51</v>
      </c>
      <c r="AA11" s="53" t="s">
        <v>1384</v>
      </c>
      <c r="AB11" s="53" t="s">
        <v>95</v>
      </c>
      <c r="AC11" s="53" t="s">
        <v>124</v>
      </c>
      <c r="AD11" s="53" t="s">
        <v>3</v>
      </c>
      <c r="AE11" s="53">
        <v>0</v>
      </c>
      <c r="AF11" s="53" t="s">
        <v>3</v>
      </c>
      <c r="AG11" s="53" t="s">
        <v>1252</v>
      </c>
      <c r="AH11" s="53" t="s">
        <v>1253</v>
      </c>
      <c r="AI11" s="53" t="s">
        <v>3</v>
      </c>
      <c r="AJ11" s="53">
        <v>0</v>
      </c>
      <c r="AK11" s="53" t="s">
        <v>3</v>
      </c>
      <c r="AL11" s="53" t="s">
        <v>1252</v>
      </c>
      <c r="AM11" s="53" t="s">
        <v>1253</v>
      </c>
      <c r="AN11" s="53" t="s">
        <v>3</v>
      </c>
      <c r="AO11" s="53">
        <v>0</v>
      </c>
      <c r="AP11" s="53" t="s">
        <v>3</v>
      </c>
      <c r="AQ11" s="53" t="s">
        <v>1252</v>
      </c>
      <c r="AR11" s="53" t="s">
        <v>1253</v>
      </c>
      <c r="AS11" s="53" t="s">
        <v>3</v>
      </c>
      <c r="AT11" s="53"/>
      <c r="AU11" s="53"/>
      <c r="AV11" s="53"/>
      <c r="AW11" s="53" t="s">
        <v>1761</v>
      </c>
    </row>
    <row r="12" spans="1:49" ht="30" customHeight="1" x14ac:dyDescent="0.3">
      <c r="A12" s="48" t="s">
        <v>1565</v>
      </c>
      <c r="B12" s="44" t="str">
        <f t="shared" si="0"/>
        <v>2</v>
      </c>
      <c r="C12" s="44" t="str">
        <f t="shared" si="1"/>
        <v>2</v>
      </c>
      <c r="D12" s="52" t="s">
        <v>1792</v>
      </c>
      <c r="E12" s="52" t="s">
        <v>1787</v>
      </c>
      <c r="F12" s="45">
        <v>44900</v>
      </c>
      <c r="G12" s="53" t="s">
        <v>1388</v>
      </c>
      <c r="H12" s="53" t="s">
        <v>1173</v>
      </c>
      <c r="I12" s="53" t="s">
        <v>1146</v>
      </c>
      <c r="J12" s="53" t="s">
        <v>1788</v>
      </c>
      <c r="K12" s="53" t="s">
        <v>1405</v>
      </c>
      <c r="L12" s="53" t="s">
        <v>3</v>
      </c>
      <c r="M12" s="53" t="s">
        <v>1522</v>
      </c>
      <c r="N12" s="53" t="s">
        <v>3</v>
      </c>
      <c r="O12" s="53" t="s">
        <v>3</v>
      </c>
      <c r="P12" s="53" t="s">
        <v>3</v>
      </c>
      <c r="Q12" s="53" t="s">
        <v>1404</v>
      </c>
      <c r="R12" s="53" t="s">
        <v>1437</v>
      </c>
      <c r="S12" s="53" t="s">
        <v>3</v>
      </c>
      <c r="T12" s="53" t="s">
        <v>3</v>
      </c>
      <c r="U12" s="53" t="s">
        <v>3</v>
      </c>
      <c r="V12" s="53">
        <v>2</v>
      </c>
      <c r="W12" s="53" t="s">
        <v>2521</v>
      </c>
      <c r="X12" s="53" t="s">
        <v>48</v>
      </c>
      <c r="Y12" s="53" t="s">
        <v>105</v>
      </c>
      <c r="Z12" s="53" t="s">
        <v>51</v>
      </c>
      <c r="AA12" s="53" t="s">
        <v>1384</v>
      </c>
      <c r="AB12" s="53" t="s">
        <v>95</v>
      </c>
      <c r="AC12" s="53" t="s">
        <v>124</v>
      </c>
      <c r="AD12" s="53" t="s">
        <v>3</v>
      </c>
      <c r="AE12" s="53">
        <v>0</v>
      </c>
      <c r="AF12" s="53" t="s">
        <v>3</v>
      </c>
      <c r="AG12" s="53" t="s">
        <v>1252</v>
      </c>
      <c r="AH12" s="53" t="s">
        <v>1253</v>
      </c>
      <c r="AI12" s="53" t="s">
        <v>3</v>
      </c>
      <c r="AJ12" s="53">
        <v>0</v>
      </c>
      <c r="AK12" s="53" t="s">
        <v>3</v>
      </c>
      <c r="AL12" s="53" t="s">
        <v>1252</v>
      </c>
      <c r="AM12" s="53" t="s">
        <v>1253</v>
      </c>
      <c r="AN12" s="53" t="s">
        <v>3</v>
      </c>
      <c r="AO12" s="53">
        <v>0</v>
      </c>
      <c r="AP12" s="53" t="s">
        <v>3</v>
      </c>
      <c r="AQ12" s="53" t="s">
        <v>1252</v>
      </c>
      <c r="AR12" s="53" t="s">
        <v>1253</v>
      </c>
      <c r="AS12" s="53" t="s">
        <v>3</v>
      </c>
      <c r="AT12" s="53"/>
      <c r="AU12" s="53"/>
      <c r="AV12" s="53"/>
      <c r="AW12" s="53" t="s">
        <v>1761</v>
      </c>
    </row>
    <row r="13" spans="1:49" ht="30" customHeight="1" x14ac:dyDescent="0.3">
      <c r="A13" s="48" t="s">
        <v>1294</v>
      </c>
      <c r="B13" s="44" t="str">
        <f t="shared" si="0"/>
        <v>2</v>
      </c>
      <c r="C13" s="44" t="str">
        <f t="shared" si="1"/>
        <v>2</v>
      </c>
      <c r="D13" s="52" t="s">
        <v>1793</v>
      </c>
      <c r="E13" s="52" t="s">
        <v>1794</v>
      </c>
      <c r="F13" s="45">
        <v>43362</v>
      </c>
      <c r="G13" s="53" t="s">
        <v>1388</v>
      </c>
      <c r="H13" s="53" t="s">
        <v>1460</v>
      </c>
      <c r="I13" s="53">
        <v>0</v>
      </c>
      <c r="J13" s="53" t="s">
        <v>1779</v>
      </c>
      <c r="K13" s="53" t="s">
        <v>1795</v>
      </c>
      <c r="L13" s="53" t="s">
        <v>3</v>
      </c>
      <c r="M13" s="53" t="s">
        <v>1796</v>
      </c>
      <c r="N13" s="53" t="s">
        <v>1141</v>
      </c>
      <c r="O13" s="53" t="s">
        <v>3</v>
      </c>
      <c r="P13" s="53" t="s">
        <v>3</v>
      </c>
      <c r="Q13" s="53" t="s">
        <v>1797</v>
      </c>
      <c r="R13" s="53" t="s">
        <v>1798</v>
      </c>
      <c r="S13" s="53" t="s">
        <v>1142</v>
      </c>
      <c r="T13" s="53" t="s">
        <v>3</v>
      </c>
      <c r="U13" s="53" t="s">
        <v>1776</v>
      </c>
      <c r="V13" s="53">
        <v>3</v>
      </c>
      <c r="W13" s="53" t="s">
        <v>2520</v>
      </c>
      <c r="X13" s="53" t="s">
        <v>1385</v>
      </c>
      <c r="Y13" s="53" t="s">
        <v>1799</v>
      </c>
      <c r="Z13" s="53" t="s">
        <v>84</v>
      </c>
      <c r="AA13" s="53" t="s">
        <v>147</v>
      </c>
      <c r="AB13" s="53" t="s">
        <v>95</v>
      </c>
      <c r="AC13" s="53" t="s">
        <v>124</v>
      </c>
      <c r="AD13" s="53">
        <v>0</v>
      </c>
      <c r="AE13" s="53">
        <v>0</v>
      </c>
      <c r="AF13" s="53">
        <v>0</v>
      </c>
      <c r="AG13" s="53">
        <v>0</v>
      </c>
      <c r="AH13" s="53" t="e">
        <v>#N/A</v>
      </c>
      <c r="AI13" s="53" t="s">
        <v>3</v>
      </c>
      <c r="AJ13" s="53">
        <v>0</v>
      </c>
      <c r="AK13" s="53" t="s">
        <v>3</v>
      </c>
      <c r="AL13" s="53" t="s">
        <v>1252</v>
      </c>
      <c r="AM13" s="53" t="s">
        <v>1253</v>
      </c>
      <c r="AN13" s="53" t="s">
        <v>3</v>
      </c>
      <c r="AO13" s="53">
        <v>0</v>
      </c>
      <c r="AP13" s="53" t="s">
        <v>3</v>
      </c>
      <c r="AQ13" s="53" t="s">
        <v>1252</v>
      </c>
      <c r="AR13" s="53" t="s">
        <v>1253</v>
      </c>
      <c r="AS13" s="53" t="s">
        <v>3</v>
      </c>
      <c r="AT13" s="53"/>
      <c r="AU13" s="53"/>
      <c r="AV13" s="53"/>
      <c r="AW13" s="53" t="s">
        <v>1761</v>
      </c>
    </row>
    <row r="14" spans="1:49" ht="30" customHeight="1" x14ac:dyDescent="0.3">
      <c r="A14" s="48" t="s">
        <v>1566</v>
      </c>
      <c r="B14" s="44" t="str">
        <f t="shared" si="0"/>
        <v>2</v>
      </c>
      <c r="C14" s="44" t="str">
        <f t="shared" si="1"/>
        <v>2</v>
      </c>
      <c r="D14" s="52" t="s">
        <v>1800</v>
      </c>
      <c r="E14" s="52" t="s">
        <v>1794</v>
      </c>
      <c r="F14" s="45">
        <v>42110</v>
      </c>
      <c r="G14" s="53" t="s">
        <v>1388</v>
      </c>
      <c r="H14" s="53">
        <v>0</v>
      </c>
      <c r="I14" s="53">
        <v>0</v>
      </c>
      <c r="J14" s="53" t="s">
        <v>1779</v>
      </c>
      <c r="K14" s="53" t="s">
        <v>1801</v>
      </c>
      <c r="L14" s="53" t="s">
        <v>3</v>
      </c>
      <c r="M14" s="53" t="s">
        <v>1802</v>
      </c>
      <c r="N14" s="53" t="s">
        <v>1393</v>
      </c>
      <c r="O14" s="53" t="s">
        <v>3</v>
      </c>
      <c r="P14" s="53" t="s">
        <v>3</v>
      </c>
      <c r="Q14" s="53" t="s">
        <v>1797</v>
      </c>
      <c r="R14" s="53" t="s">
        <v>1803</v>
      </c>
      <c r="S14" s="53" t="s">
        <v>1142</v>
      </c>
      <c r="T14" s="53" t="s">
        <v>3</v>
      </c>
      <c r="U14" s="53" t="s">
        <v>1804</v>
      </c>
      <c r="V14" s="53">
        <v>2</v>
      </c>
      <c r="W14" s="53" t="s">
        <v>2520</v>
      </c>
      <c r="X14" s="53" t="s">
        <v>1385</v>
      </c>
      <c r="Y14" s="53" t="s">
        <v>1799</v>
      </c>
      <c r="Z14" s="53" t="s">
        <v>1419</v>
      </c>
      <c r="AA14" s="53" t="s">
        <v>2528</v>
      </c>
      <c r="AB14" s="53" t="s">
        <v>95</v>
      </c>
      <c r="AC14" s="53" t="s">
        <v>124</v>
      </c>
      <c r="AD14" s="53">
        <v>0</v>
      </c>
      <c r="AE14" s="53">
        <v>0</v>
      </c>
      <c r="AF14" s="53">
        <v>0</v>
      </c>
      <c r="AG14" s="53">
        <v>0</v>
      </c>
      <c r="AH14" s="53" t="e">
        <v>#N/A</v>
      </c>
      <c r="AI14" s="53" t="s">
        <v>3</v>
      </c>
      <c r="AJ14" s="53">
        <v>0</v>
      </c>
      <c r="AK14" s="53" t="s">
        <v>3</v>
      </c>
      <c r="AL14" s="53" t="s">
        <v>1252</v>
      </c>
      <c r="AM14" s="53" t="s">
        <v>1253</v>
      </c>
      <c r="AN14" s="53" t="s">
        <v>3</v>
      </c>
      <c r="AO14" s="53">
        <v>0</v>
      </c>
      <c r="AP14" s="53" t="s">
        <v>3</v>
      </c>
      <c r="AQ14" s="53" t="s">
        <v>1252</v>
      </c>
      <c r="AR14" s="53" t="s">
        <v>1253</v>
      </c>
      <c r="AS14" s="53" t="s">
        <v>3</v>
      </c>
      <c r="AT14" s="53"/>
      <c r="AU14" s="53"/>
      <c r="AV14" s="53"/>
      <c r="AW14" s="53" t="s">
        <v>1761</v>
      </c>
    </row>
    <row r="15" spans="1:49" ht="30" customHeight="1" x14ac:dyDescent="0.3">
      <c r="A15" s="48" t="s">
        <v>1567</v>
      </c>
      <c r="B15" s="44" t="str">
        <f t="shared" si="0"/>
        <v>2</v>
      </c>
      <c r="C15" s="44" t="str">
        <f t="shared" si="1"/>
        <v>2</v>
      </c>
      <c r="D15" s="52" t="s">
        <v>1805</v>
      </c>
      <c r="E15" s="52" t="s">
        <v>1794</v>
      </c>
      <c r="F15" s="45">
        <v>42110</v>
      </c>
      <c r="G15" s="53" t="s">
        <v>1388</v>
      </c>
      <c r="H15" s="53" t="s">
        <v>1460</v>
      </c>
      <c r="I15" s="53">
        <v>0</v>
      </c>
      <c r="J15" s="53" t="s">
        <v>1779</v>
      </c>
      <c r="K15" s="53" t="s">
        <v>1795</v>
      </c>
      <c r="L15" s="53" t="s">
        <v>3</v>
      </c>
      <c r="M15" s="53" t="s">
        <v>1806</v>
      </c>
      <c r="N15" s="53" t="s">
        <v>1393</v>
      </c>
      <c r="O15" s="53" t="s">
        <v>3</v>
      </c>
      <c r="P15" s="53" t="s">
        <v>3</v>
      </c>
      <c r="Q15" s="53" t="s">
        <v>1797</v>
      </c>
      <c r="R15" s="53" t="s">
        <v>1798</v>
      </c>
      <c r="S15" s="53" t="s">
        <v>1142</v>
      </c>
      <c r="T15" s="53" t="s">
        <v>3</v>
      </c>
      <c r="U15" s="53" t="s">
        <v>1807</v>
      </c>
      <c r="V15" s="53">
        <v>2</v>
      </c>
      <c r="W15" s="53" t="s">
        <v>2520</v>
      </c>
      <c r="X15" s="53" t="s">
        <v>1385</v>
      </c>
      <c r="Y15" s="53" t="s">
        <v>1799</v>
      </c>
      <c r="Z15" s="53" t="s">
        <v>1419</v>
      </c>
      <c r="AA15" s="53" t="s">
        <v>2528</v>
      </c>
      <c r="AB15" s="53" t="s">
        <v>95</v>
      </c>
      <c r="AC15" s="53" t="s">
        <v>124</v>
      </c>
      <c r="AD15" s="53">
        <v>0</v>
      </c>
      <c r="AE15" s="53">
        <v>0</v>
      </c>
      <c r="AF15" s="53">
        <v>0</v>
      </c>
      <c r="AG15" s="53">
        <v>0</v>
      </c>
      <c r="AH15" s="53" t="e">
        <v>#N/A</v>
      </c>
      <c r="AI15" s="53" t="s">
        <v>3</v>
      </c>
      <c r="AJ15" s="53">
        <v>0</v>
      </c>
      <c r="AK15" s="53" t="s">
        <v>3</v>
      </c>
      <c r="AL15" s="53" t="s">
        <v>1252</v>
      </c>
      <c r="AM15" s="53" t="s">
        <v>1253</v>
      </c>
      <c r="AN15" s="53" t="s">
        <v>3</v>
      </c>
      <c r="AO15" s="53">
        <v>0</v>
      </c>
      <c r="AP15" s="53" t="s">
        <v>3</v>
      </c>
      <c r="AQ15" s="53" t="s">
        <v>1252</v>
      </c>
      <c r="AR15" s="53" t="s">
        <v>1253</v>
      </c>
      <c r="AS15" s="53" t="s">
        <v>3</v>
      </c>
      <c r="AT15" s="53"/>
      <c r="AU15" s="53"/>
      <c r="AV15" s="53"/>
      <c r="AW15" s="53" t="s">
        <v>1761</v>
      </c>
    </row>
    <row r="16" spans="1:49" ht="30" customHeight="1" x14ac:dyDescent="0.3">
      <c r="A16" s="48" t="s">
        <v>1568</v>
      </c>
      <c r="B16" s="44" t="str">
        <f t="shared" si="0"/>
        <v>2</v>
      </c>
      <c r="C16" s="44" t="str">
        <f t="shared" si="1"/>
        <v>2</v>
      </c>
      <c r="D16" s="52" t="s">
        <v>1808</v>
      </c>
      <c r="E16" s="52" t="s">
        <v>1794</v>
      </c>
      <c r="F16" s="45">
        <v>42110</v>
      </c>
      <c r="G16" s="53" t="s">
        <v>1388</v>
      </c>
      <c r="H16" s="53" t="s">
        <v>1425</v>
      </c>
      <c r="I16" s="53">
        <v>0</v>
      </c>
      <c r="J16" s="53" t="s">
        <v>1779</v>
      </c>
      <c r="K16" s="53" t="s">
        <v>1394</v>
      </c>
      <c r="L16" s="53" t="s">
        <v>3</v>
      </c>
      <c r="M16" s="53" t="s">
        <v>1463</v>
      </c>
      <c r="N16" s="53" t="s">
        <v>3</v>
      </c>
      <c r="O16" s="53" t="s">
        <v>3</v>
      </c>
      <c r="P16" s="53" t="s">
        <v>3</v>
      </c>
      <c r="Q16" s="53" t="s">
        <v>1809</v>
      </c>
      <c r="R16" s="53" t="s">
        <v>1798</v>
      </c>
      <c r="S16" s="53" t="s">
        <v>1810</v>
      </c>
      <c r="T16" s="53" t="s">
        <v>3</v>
      </c>
      <c r="U16" s="53" t="s">
        <v>3</v>
      </c>
      <c r="V16" s="53">
        <v>2</v>
      </c>
      <c r="W16" s="53" t="s">
        <v>2520</v>
      </c>
      <c r="X16" s="53" t="s">
        <v>86</v>
      </c>
      <c r="Y16" s="53" t="s">
        <v>152</v>
      </c>
      <c r="Z16" s="53" t="s">
        <v>84</v>
      </c>
      <c r="AA16" s="53" t="s">
        <v>147</v>
      </c>
      <c r="AB16" s="53" t="s">
        <v>95</v>
      </c>
      <c r="AC16" s="53" t="s">
        <v>124</v>
      </c>
      <c r="AD16" s="53">
        <v>0</v>
      </c>
      <c r="AE16" s="53">
        <v>0</v>
      </c>
      <c r="AF16" s="53">
        <v>0</v>
      </c>
      <c r="AG16" s="53">
        <v>0</v>
      </c>
      <c r="AH16" s="53" t="e">
        <v>#N/A</v>
      </c>
      <c r="AI16" s="53" t="s">
        <v>3</v>
      </c>
      <c r="AJ16" s="53">
        <v>0</v>
      </c>
      <c r="AK16" s="53" t="s">
        <v>3</v>
      </c>
      <c r="AL16" s="53" t="s">
        <v>1252</v>
      </c>
      <c r="AM16" s="53" t="s">
        <v>1253</v>
      </c>
      <c r="AN16" s="53" t="s">
        <v>3</v>
      </c>
      <c r="AO16" s="53">
        <v>0</v>
      </c>
      <c r="AP16" s="53" t="s">
        <v>3</v>
      </c>
      <c r="AQ16" s="53" t="s">
        <v>1252</v>
      </c>
      <c r="AR16" s="53" t="s">
        <v>1253</v>
      </c>
      <c r="AS16" s="53" t="s">
        <v>3</v>
      </c>
      <c r="AT16" s="53"/>
      <c r="AU16" s="53"/>
      <c r="AV16" s="53"/>
      <c r="AW16" s="53" t="s">
        <v>1761</v>
      </c>
    </row>
    <row r="17" spans="1:49" ht="30" customHeight="1" x14ac:dyDescent="0.3">
      <c r="A17" s="48" t="s">
        <v>1569</v>
      </c>
      <c r="B17" s="44" t="str">
        <f t="shared" si="0"/>
        <v>2</v>
      </c>
      <c r="C17" s="44" t="str">
        <f t="shared" si="1"/>
        <v>2</v>
      </c>
      <c r="D17" s="52" t="s">
        <v>1811</v>
      </c>
      <c r="E17" s="52" t="s">
        <v>1794</v>
      </c>
      <c r="F17" s="45">
        <v>42110</v>
      </c>
      <c r="G17" s="53" t="s">
        <v>1388</v>
      </c>
      <c r="H17" s="53" t="s">
        <v>1425</v>
      </c>
      <c r="I17" s="53">
        <v>0</v>
      </c>
      <c r="J17" s="53" t="s">
        <v>1779</v>
      </c>
      <c r="K17" s="53" t="s">
        <v>1389</v>
      </c>
      <c r="L17" s="53" t="s">
        <v>3</v>
      </c>
      <c r="M17" s="53" t="s">
        <v>3</v>
      </c>
      <c r="N17" s="53" t="s">
        <v>3</v>
      </c>
      <c r="O17" s="53" t="s">
        <v>3</v>
      </c>
      <c r="P17" s="53" t="s">
        <v>3</v>
      </c>
      <c r="Q17" s="53" t="s">
        <v>3</v>
      </c>
      <c r="R17" s="53" t="s">
        <v>3</v>
      </c>
      <c r="S17" s="53" t="s">
        <v>3</v>
      </c>
      <c r="T17" s="53" t="s">
        <v>3</v>
      </c>
      <c r="U17" s="53" t="s">
        <v>3</v>
      </c>
      <c r="V17" s="53">
        <v>1</v>
      </c>
      <c r="W17" s="53" t="s">
        <v>2518</v>
      </c>
      <c r="X17" s="53" t="s">
        <v>48</v>
      </c>
      <c r="Y17" s="53" t="s">
        <v>105</v>
      </c>
      <c r="Z17" s="53" t="s">
        <v>51</v>
      </c>
      <c r="AA17" s="53" t="s">
        <v>1384</v>
      </c>
      <c r="AB17" s="53" t="s">
        <v>95</v>
      </c>
      <c r="AC17" s="53" t="s">
        <v>124</v>
      </c>
      <c r="AD17" s="53">
        <v>0</v>
      </c>
      <c r="AE17" s="53">
        <v>0</v>
      </c>
      <c r="AF17" s="53">
        <v>0</v>
      </c>
      <c r="AG17" s="53">
        <v>0</v>
      </c>
      <c r="AH17" s="53" t="e">
        <v>#N/A</v>
      </c>
      <c r="AI17" s="53" t="s">
        <v>3</v>
      </c>
      <c r="AJ17" s="53">
        <v>0</v>
      </c>
      <c r="AK17" s="53" t="s">
        <v>3</v>
      </c>
      <c r="AL17" s="53" t="s">
        <v>1252</v>
      </c>
      <c r="AM17" s="53" t="s">
        <v>1253</v>
      </c>
      <c r="AN17" s="53" t="s">
        <v>3</v>
      </c>
      <c r="AO17" s="53">
        <v>0</v>
      </c>
      <c r="AP17" s="53" t="s">
        <v>3</v>
      </c>
      <c r="AQ17" s="53" t="s">
        <v>1252</v>
      </c>
      <c r="AR17" s="53" t="s">
        <v>1253</v>
      </c>
      <c r="AS17" s="53" t="s">
        <v>3</v>
      </c>
      <c r="AT17" s="53"/>
      <c r="AU17" s="53"/>
      <c r="AV17" s="53"/>
      <c r="AW17" s="53" t="s">
        <v>1761</v>
      </c>
    </row>
    <row r="18" spans="1:49" ht="30" customHeight="1" x14ac:dyDescent="0.3">
      <c r="A18" s="48" t="s">
        <v>1570</v>
      </c>
      <c r="B18" s="44" t="str">
        <f t="shared" si="0"/>
        <v>2</v>
      </c>
      <c r="C18" s="44" t="str">
        <f t="shared" si="1"/>
        <v>2</v>
      </c>
      <c r="D18" s="52" t="s">
        <v>1812</v>
      </c>
      <c r="E18" s="52" t="s">
        <v>1794</v>
      </c>
      <c r="F18" s="45">
        <v>42110</v>
      </c>
      <c r="G18" s="53" t="s">
        <v>1388</v>
      </c>
      <c r="H18" s="53" t="s">
        <v>1173</v>
      </c>
      <c r="I18" s="53">
        <v>0</v>
      </c>
      <c r="J18" s="53" t="s">
        <v>1779</v>
      </c>
      <c r="K18" s="53" t="s">
        <v>1389</v>
      </c>
      <c r="L18" s="53" t="s">
        <v>3</v>
      </c>
      <c r="M18" s="53" t="s">
        <v>3</v>
      </c>
      <c r="N18" s="53" t="s">
        <v>3</v>
      </c>
      <c r="O18" s="53" t="s">
        <v>3</v>
      </c>
      <c r="P18" s="53" t="s">
        <v>3</v>
      </c>
      <c r="Q18" s="53" t="s">
        <v>3</v>
      </c>
      <c r="R18" s="53" t="s">
        <v>3</v>
      </c>
      <c r="S18" s="53" t="s">
        <v>3</v>
      </c>
      <c r="T18" s="53" t="s">
        <v>3</v>
      </c>
      <c r="U18" s="53" t="s">
        <v>3</v>
      </c>
      <c r="V18" s="53">
        <v>1</v>
      </c>
      <c r="W18" s="53" t="s">
        <v>2518</v>
      </c>
      <c r="X18" s="53" t="s">
        <v>48</v>
      </c>
      <c r="Y18" s="53" t="s">
        <v>105</v>
      </c>
      <c r="Z18" s="53" t="s">
        <v>51</v>
      </c>
      <c r="AA18" s="53" t="s">
        <v>1384</v>
      </c>
      <c r="AB18" s="53" t="s">
        <v>95</v>
      </c>
      <c r="AC18" s="53" t="s">
        <v>124</v>
      </c>
      <c r="AD18" s="53">
        <v>0</v>
      </c>
      <c r="AE18" s="53">
        <v>0</v>
      </c>
      <c r="AF18" s="53">
        <v>0</v>
      </c>
      <c r="AG18" s="53">
        <v>0</v>
      </c>
      <c r="AH18" s="53" t="e">
        <v>#N/A</v>
      </c>
      <c r="AI18" s="53" t="s">
        <v>3</v>
      </c>
      <c r="AJ18" s="53">
        <v>0</v>
      </c>
      <c r="AK18" s="53" t="s">
        <v>3</v>
      </c>
      <c r="AL18" s="53" t="s">
        <v>1252</v>
      </c>
      <c r="AM18" s="53" t="s">
        <v>1253</v>
      </c>
      <c r="AN18" s="53" t="s">
        <v>3</v>
      </c>
      <c r="AO18" s="53">
        <v>0</v>
      </c>
      <c r="AP18" s="53" t="s">
        <v>3</v>
      </c>
      <c r="AQ18" s="53" t="s">
        <v>1252</v>
      </c>
      <c r="AR18" s="53" t="s">
        <v>1253</v>
      </c>
      <c r="AS18" s="53" t="s">
        <v>3</v>
      </c>
      <c r="AT18" s="53"/>
      <c r="AU18" s="53"/>
      <c r="AV18" s="53"/>
      <c r="AW18" s="53" t="s">
        <v>1761</v>
      </c>
    </row>
    <row r="19" spans="1:49" ht="30" customHeight="1" x14ac:dyDescent="0.3">
      <c r="A19" s="48" t="s">
        <v>1571</v>
      </c>
      <c r="B19" s="44" t="str">
        <f t="shared" si="0"/>
        <v>2</v>
      </c>
      <c r="C19" s="44" t="str">
        <f t="shared" si="1"/>
        <v>2</v>
      </c>
      <c r="D19" s="52" t="s">
        <v>1813</v>
      </c>
      <c r="E19" s="52" t="s">
        <v>1794</v>
      </c>
      <c r="F19" s="45">
        <v>42110</v>
      </c>
      <c r="G19" s="53" t="s">
        <v>1388</v>
      </c>
      <c r="H19" s="53" t="s">
        <v>1173</v>
      </c>
      <c r="I19" s="53">
        <v>0</v>
      </c>
      <c r="J19" s="53" t="s">
        <v>1779</v>
      </c>
      <c r="K19" s="53" t="s">
        <v>1405</v>
      </c>
      <c r="L19" s="53" t="s">
        <v>3</v>
      </c>
      <c r="M19" s="53" t="s">
        <v>1406</v>
      </c>
      <c r="N19" s="53" t="s">
        <v>3</v>
      </c>
      <c r="O19" s="53">
        <v>0</v>
      </c>
      <c r="P19" s="53" t="s">
        <v>3</v>
      </c>
      <c r="Q19" s="53" t="s">
        <v>1401</v>
      </c>
      <c r="R19" s="53" t="s">
        <v>1814</v>
      </c>
      <c r="S19" s="53">
        <v>0</v>
      </c>
      <c r="T19" s="53">
        <v>0</v>
      </c>
      <c r="U19" s="53" t="s">
        <v>3</v>
      </c>
      <c r="V19" s="53">
        <v>2</v>
      </c>
      <c r="W19" s="53" t="s">
        <v>2520</v>
      </c>
      <c r="X19" s="53" t="s">
        <v>53</v>
      </c>
      <c r="Y19" s="53" t="s">
        <v>127</v>
      </c>
      <c r="Z19" s="53" t="s">
        <v>51</v>
      </c>
      <c r="AA19" s="53" t="s">
        <v>1384</v>
      </c>
      <c r="AB19" s="53" t="s">
        <v>95</v>
      </c>
      <c r="AC19" s="53" t="s">
        <v>124</v>
      </c>
      <c r="AD19" s="53">
        <v>0</v>
      </c>
      <c r="AE19" s="53">
        <v>0</v>
      </c>
      <c r="AF19" s="53">
        <v>0</v>
      </c>
      <c r="AG19" s="53">
        <v>0</v>
      </c>
      <c r="AH19" s="53" t="e">
        <v>#N/A</v>
      </c>
      <c r="AI19" s="53" t="s">
        <v>3</v>
      </c>
      <c r="AJ19" s="53">
        <v>0</v>
      </c>
      <c r="AK19" s="53" t="s">
        <v>3</v>
      </c>
      <c r="AL19" s="53" t="s">
        <v>1252</v>
      </c>
      <c r="AM19" s="53" t="s">
        <v>1253</v>
      </c>
      <c r="AN19" s="53" t="s">
        <v>3</v>
      </c>
      <c r="AO19" s="53">
        <v>0</v>
      </c>
      <c r="AP19" s="53" t="s">
        <v>3</v>
      </c>
      <c r="AQ19" s="53" t="s">
        <v>1252</v>
      </c>
      <c r="AR19" s="53" t="s">
        <v>1253</v>
      </c>
      <c r="AS19" s="53">
        <v>70</v>
      </c>
      <c r="AT19" s="53"/>
      <c r="AU19" s="53"/>
      <c r="AV19" s="53"/>
      <c r="AW19" s="53" t="s">
        <v>1761</v>
      </c>
    </row>
    <row r="20" spans="1:49" ht="30" customHeight="1" x14ac:dyDescent="0.3">
      <c r="A20" s="48" t="s">
        <v>1572</v>
      </c>
      <c r="B20" s="44" t="str">
        <f t="shared" si="0"/>
        <v>2</v>
      </c>
      <c r="C20" s="44" t="str">
        <f t="shared" si="1"/>
        <v>2</v>
      </c>
      <c r="D20" s="52" t="s">
        <v>1815</v>
      </c>
      <c r="E20" s="52" t="s">
        <v>1794</v>
      </c>
      <c r="F20" s="45">
        <v>42110</v>
      </c>
      <c r="G20" s="53" t="s">
        <v>1388</v>
      </c>
      <c r="H20" s="53" t="s">
        <v>1425</v>
      </c>
      <c r="I20" s="53">
        <v>0</v>
      </c>
      <c r="J20" s="53" t="s">
        <v>1779</v>
      </c>
      <c r="K20" s="53" t="s">
        <v>1407</v>
      </c>
      <c r="L20" s="53" t="s">
        <v>3</v>
      </c>
      <c r="M20" s="53" t="s">
        <v>1482</v>
      </c>
      <c r="N20" s="53" t="s">
        <v>3</v>
      </c>
      <c r="O20" s="53" t="s">
        <v>1468</v>
      </c>
      <c r="P20" s="53" t="s">
        <v>3</v>
      </c>
      <c r="Q20" s="53" t="s">
        <v>1816</v>
      </c>
      <c r="R20" s="53" t="s">
        <v>1473</v>
      </c>
      <c r="S20" s="53" t="s">
        <v>1142</v>
      </c>
      <c r="T20" s="53" t="s">
        <v>3</v>
      </c>
      <c r="U20" s="53" t="s">
        <v>3</v>
      </c>
      <c r="V20" s="53">
        <v>3</v>
      </c>
      <c r="W20" s="53" t="s">
        <v>2520</v>
      </c>
      <c r="X20" s="53" t="s">
        <v>1385</v>
      </c>
      <c r="Y20" s="53" t="s">
        <v>1799</v>
      </c>
      <c r="Z20" s="53" t="s">
        <v>1419</v>
      </c>
      <c r="AA20" s="53" t="s">
        <v>2528</v>
      </c>
      <c r="AB20" s="53" t="s">
        <v>95</v>
      </c>
      <c r="AC20" s="53" t="s">
        <v>124</v>
      </c>
      <c r="AD20" s="53">
        <v>0</v>
      </c>
      <c r="AE20" s="53">
        <v>0</v>
      </c>
      <c r="AF20" s="53">
        <v>0</v>
      </c>
      <c r="AG20" s="53">
        <v>0</v>
      </c>
      <c r="AH20" s="53" t="e">
        <v>#N/A</v>
      </c>
      <c r="AI20" s="53" t="s">
        <v>3</v>
      </c>
      <c r="AJ20" s="53">
        <v>0</v>
      </c>
      <c r="AK20" s="53" t="s">
        <v>3</v>
      </c>
      <c r="AL20" s="53" t="s">
        <v>1252</v>
      </c>
      <c r="AM20" s="53" t="s">
        <v>1253</v>
      </c>
      <c r="AN20" s="53" t="s">
        <v>3</v>
      </c>
      <c r="AO20" s="53">
        <v>0</v>
      </c>
      <c r="AP20" s="53" t="s">
        <v>3</v>
      </c>
      <c r="AQ20" s="53" t="s">
        <v>1252</v>
      </c>
      <c r="AR20" s="53" t="s">
        <v>1253</v>
      </c>
      <c r="AS20" s="53">
        <v>70</v>
      </c>
      <c r="AT20" s="53"/>
      <c r="AU20" s="53"/>
      <c r="AV20" s="53"/>
      <c r="AW20" s="53" t="s">
        <v>1761</v>
      </c>
    </row>
    <row r="21" spans="1:49" ht="30" customHeight="1" x14ac:dyDescent="0.3">
      <c r="A21" s="48" t="s">
        <v>1295</v>
      </c>
      <c r="B21" s="44" t="str">
        <f t="shared" si="0"/>
        <v>2</v>
      </c>
      <c r="C21" s="44" t="str">
        <f t="shared" si="1"/>
        <v>2</v>
      </c>
      <c r="D21" s="52" t="s">
        <v>1817</v>
      </c>
      <c r="E21" s="52" t="s">
        <v>1794</v>
      </c>
      <c r="F21" s="45">
        <v>42110</v>
      </c>
      <c r="G21" s="53" t="s">
        <v>1388</v>
      </c>
      <c r="H21" s="53" t="s">
        <v>1173</v>
      </c>
      <c r="I21" s="53">
        <v>0</v>
      </c>
      <c r="J21" s="53" t="s">
        <v>1779</v>
      </c>
      <c r="K21" s="53" t="s">
        <v>1400</v>
      </c>
      <c r="L21" s="53" t="s">
        <v>3</v>
      </c>
      <c r="M21" s="53" t="s">
        <v>1818</v>
      </c>
      <c r="N21" s="53" t="s">
        <v>3</v>
      </c>
      <c r="O21" s="53" t="s">
        <v>3</v>
      </c>
      <c r="P21" s="53" t="s">
        <v>3</v>
      </c>
      <c r="Q21" s="53" t="s">
        <v>1819</v>
      </c>
      <c r="R21" s="53" t="s">
        <v>1820</v>
      </c>
      <c r="S21" s="53" t="s">
        <v>3</v>
      </c>
      <c r="T21" s="53" t="s">
        <v>3</v>
      </c>
      <c r="U21" s="53" t="s">
        <v>3</v>
      </c>
      <c r="V21" s="53">
        <v>1</v>
      </c>
      <c r="W21" s="53" t="s">
        <v>2520</v>
      </c>
      <c r="X21" s="53" t="s">
        <v>53</v>
      </c>
      <c r="Y21" s="53" t="s">
        <v>127</v>
      </c>
      <c r="Z21" s="53" t="s">
        <v>51</v>
      </c>
      <c r="AA21" s="53" t="s">
        <v>1384</v>
      </c>
      <c r="AB21" s="53" t="s">
        <v>96</v>
      </c>
      <c r="AC21" s="53" t="s">
        <v>148</v>
      </c>
      <c r="AD21" s="53">
        <v>0</v>
      </c>
      <c r="AE21" s="53">
        <v>0</v>
      </c>
      <c r="AF21" s="53">
        <v>0</v>
      </c>
      <c r="AG21" s="53">
        <v>0</v>
      </c>
      <c r="AH21" s="53" t="e">
        <v>#N/A</v>
      </c>
      <c r="AI21" s="53" t="s">
        <v>3</v>
      </c>
      <c r="AJ21" s="53">
        <v>0</v>
      </c>
      <c r="AK21" s="53" t="s">
        <v>3</v>
      </c>
      <c r="AL21" s="53" t="s">
        <v>1252</v>
      </c>
      <c r="AM21" s="53" t="s">
        <v>1253</v>
      </c>
      <c r="AN21" s="53" t="s">
        <v>3</v>
      </c>
      <c r="AO21" s="53">
        <v>0</v>
      </c>
      <c r="AP21" s="53" t="s">
        <v>3</v>
      </c>
      <c r="AQ21" s="53" t="s">
        <v>1252</v>
      </c>
      <c r="AR21" s="53" t="s">
        <v>1253</v>
      </c>
      <c r="AS21" s="53" t="s">
        <v>3</v>
      </c>
      <c r="AT21" s="53"/>
      <c r="AU21" s="53"/>
      <c r="AV21" s="53"/>
      <c r="AW21" s="53" t="s">
        <v>1761</v>
      </c>
    </row>
    <row r="22" spans="1:49" ht="30" customHeight="1" x14ac:dyDescent="0.3">
      <c r="A22" s="48" t="s">
        <v>1296</v>
      </c>
      <c r="B22" s="44" t="str">
        <f t="shared" si="0"/>
        <v>2</v>
      </c>
      <c r="C22" s="44" t="str">
        <f t="shared" si="1"/>
        <v>2</v>
      </c>
      <c r="D22" s="52" t="s">
        <v>1821</v>
      </c>
      <c r="E22" s="52" t="s">
        <v>1794</v>
      </c>
      <c r="F22" s="45">
        <v>42110</v>
      </c>
      <c r="G22" s="53" t="s">
        <v>1455</v>
      </c>
      <c r="H22" s="53" t="s">
        <v>1474</v>
      </c>
      <c r="I22" s="53">
        <v>0</v>
      </c>
      <c r="J22" s="53" t="s">
        <v>1779</v>
      </c>
      <c r="K22" s="53" t="s">
        <v>1400</v>
      </c>
      <c r="L22" s="53" t="s">
        <v>3</v>
      </c>
      <c r="M22" s="53" t="s">
        <v>1505</v>
      </c>
      <c r="N22" s="53" t="s">
        <v>1413</v>
      </c>
      <c r="O22" s="53" t="s">
        <v>1453</v>
      </c>
      <c r="P22" s="53" t="s">
        <v>3</v>
      </c>
      <c r="Q22" s="53" t="s">
        <v>1822</v>
      </c>
      <c r="R22" s="53" t="s">
        <v>1823</v>
      </c>
      <c r="S22" s="53" t="s">
        <v>3</v>
      </c>
      <c r="T22" s="53" t="s">
        <v>3</v>
      </c>
      <c r="U22" s="53" t="s">
        <v>3</v>
      </c>
      <c r="V22" s="53">
        <v>1</v>
      </c>
      <c r="W22" s="53" t="s">
        <v>2520</v>
      </c>
      <c r="X22" s="53" t="s">
        <v>53</v>
      </c>
      <c r="Y22" s="53" t="s">
        <v>127</v>
      </c>
      <c r="Z22" s="53" t="s">
        <v>51</v>
      </c>
      <c r="AA22" s="53" t="s">
        <v>1384</v>
      </c>
      <c r="AB22" s="53" t="s">
        <v>96</v>
      </c>
      <c r="AC22" s="53" t="s">
        <v>148</v>
      </c>
      <c r="AD22" s="53">
        <v>0</v>
      </c>
      <c r="AE22" s="53">
        <v>0</v>
      </c>
      <c r="AF22" s="53">
        <v>0</v>
      </c>
      <c r="AG22" s="53">
        <v>0</v>
      </c>
      <c r="AH22" s="53" t="e">
        <v>#N/A</v>
      </c>
      <c r="AI22" s="53" t="s">
        <v>3</v>
      </c>
      <c r="AJ22" s="53">
        <v>0</v>
      </c>
      <c r="AK22" s="53" t="s">
        <v>3</v>
      </c>
      <c r="AL22" s="53" t="s">
        <v>1252</v>
      </c>
      <c r="AM22" s="53" t="s">
        <v>1253</v>
      </c>
      <c r="AN22" s="53" t="s">
        <v>3</v>
      </c>
      <c r="AO22" s="53">
        <v>0</v>
      </c>
      <c r="AP22" s="53" t="s">
        <v>3</v>
      </c>
      <c r="AQ22" s="53" t="s">
        <v>1252</v>
      </c>
      <c r="AR22" s="53" t="s">
        <v>1253</v>
      </c>
      <c r="AS22" s="53">
        <v>0</v>
      </c>
      <c r="AT22" s="53"/>
      <c r="AU22" s="53"/>
      <c r="AV22" s="53"/>
      <c r="AW22" s="53" t="s">
        <v>1761</v>
      </c>
    </row>
    <row r="23" spans="1:49" ht="30" customHeight="1" x14ac:dyDescent="0.3">
      <c r="A23" s="48" t="s">
        <v>1297</v>
      </c>
      <c r="B23" s="44" t="str">
        <f t="shared" si="0"/>
        <v>2</v>
      </c>
      <c r="C23" s="44" t="str">
        <f t="shared" si="1"/>
        <v>2</v>
      </c>
      <c r="D23" s="52" t="s">
        <v>1824</v>
      </c>
      <c r="E23" s="52" t="s">
        <v>1794</v>
      </c>
      <c r="F23" s="45">
        <v>42110</v>
      </c>
      <c r="G23" s="53" t="s">
        <v>1388</v>
      </c>
      <c r="H23" s="53" t="s">
        <v>1173</v>
      </c>
      <c r="I23" s="53">
        <v>0</v>
      </c>
      <c r="J23" s="53" t="s">
        <v>1779</v>
      </c>
      <c r="K23" s="53" t="s">
        <v>1443</v>
      </c>
      <c r="L23" s="53" t="s">
        <v>3</v>
      </c>
      <c r="M23" s="53" t="s">
        <v>1825</v>
      </c>
      <c r="N23" s="53" t="s">
        <v>3</v>
      </c>
      <c r="O23" s="53" t="s">
        <v>3</v>
      </c>
      <c r="P23" s="53" t="s">
        <v>3</v>
      </c>
      <c r="Q23" s="53" t="s">
        <v>1826</v>
      </c>
      <c r="R23" s="53" t="s">
        <v>1798</v>
      </c>
      <c r="S23" s="53" t="s">
        <v>1142</v>
      </c>
      <c r="T23" s="53">
        <v>0</v>
      </c>
      <c r="U23" s="53" t="s">
        <v>3</v>
      </c>
      <c r="V23" s="53">
        <v>2</v>
      </c>
      <c r="W23" s="53" t="s">
        <v>2520</v>
      </c>
      <c r="X23" s="53" t="s">
        <v>86</v>
      </c>
      <c r="Y23" s="53" t="s">
        <v>152</v>
      </c>
      <c r="Z23" s="53" t="s">
        <v>84</v>
      </c>
      <c r="AA23" s="53" t="s">
        <v>147</v>
      </c>
      <c r="AB23" s="53" t="s">
        <v>95</v>
      </c>
      <c r="AC23" s="53" t="s">
        <v>124</v>
      </c>
      <c r="AD23" s="53">
        <v>0</v>
      </c>
      <c r="AE23" s="53">
        <v>0</v>
      </c>
      <c r="AF23" s="53">
        <v>0</v>
      </c>
      <c r="AG23" s="53">
        <v>0</v>
      </c>
      <c r="AH23" s="53" t="e">
        <v>#N/A</v>
      </c>
      <c r="AI23" s="53" t="s">
        <v>3</v>
      </c>
      <c r="AJ23" s="53">
        <v>0</v>
      </c>
      <c r="AK23" s="53" t="s">
        <v>3</v>
      </c>
      <c r="AL23" s="53" t="s">
        <v>1252</v>
      </c>
      <c r="AM23" s="53" t="s">
        <v>1253</v>
      </c>
      <c r="AN23" s="53" t="s">
        <v>3</v>
      </c>
      <c r="AO23" s="53">
        <v>0</v>
      </c>
      <c r="AP23" s="53" t="s">
        <v>3</v>
      </c>
      <c r="AQ23" s="53" t="s">
        <v>1252</v>
      </c>
      <c r="AR23" s="53" t="s">
        <v>1253</v>
      </c>
      <c r="AS23" s="53">
        <v>75</v>
      </c>
      <c r="AT23" s="53"/>
      <c r="AU23" s="53"/>
      <c r="AV23" s="53"/>
      <c r="AW23" s="53" t="s">
        <v>1761</v>
      </c>
    </row>
    <row r="24" spans="1:49" ht="30" customHeight="1" x14ac:dyDescent="0.3">
      <c r="A24" s="48" t="s">
        <v>1573</v>
      </c>
      <c r="B24" s="44" t="str">
        <f t="shared" si="0"/>
        <v>2</v>
      </c>
      <c r="C24" s="44" t="str">
        <f t="shared" si="1"/>
        <v>2</v>
      </c>
      <c r="D24" s="52" t="s">
        <v>1827</v>
      </c>
      <c r="E24" s="52" t="s">
        <v>1828</v>
      </c>
      <c r="F24" s="45">
        <v>45154</v>
      </c>
      <c r="G24" s="53" t="s">
        <v>1388</v>
      </c>
      <c r="H24" s="53" t="s">
        <v>1829</v>
      </c>
      <c r="I24" s="53" t="s">
        <v>1146</v>
      </c>
      <c r="J24" s="53" t="s">
        <v>1779</v>
      </c>
      <c r="K24" s="53" t="s">
        <v>1389</v>
      </c>
      <c r="L24" s="53" t="s">
        <v>3</v>
      </c>
      <c r="M24" s="53" t="s">
        <v>3</v>
      </c>
      <c r="N24" s="53" t="s">
        <v>3</v>
      </c>
      <c r="O24" s="53" t="s">
        <v>1830</v>
      </c>
      <c r="P24" s="53" t="s">
        <v>3</v>
      </c>
      <c r="Q24" s="53" t="s">
        <v>3</v>
      </c>
      <c r="R24" s="53" t="s">
        <v>3</v>
      </c>
      <c r="S24" s="53" t="s">
        <v>3</v>
      </c>
      <c r="T24" s="53" t="s">
        <v>3</v>
      </c>
      <c r="U24" s="53" t="s">
        <v>3</v>
      </c>
      <c r="V24" s="53" t="s">
        <v>1231</v>
      </c>
      <c r="W24" s="53" t="s">
        <v>2518</v>
      </c>
      <c r="X24" s="53" t="s">
        <v>48</v>
      </c>
      <c r="Y24" s="53" t="s">
        <v>105</v>
      </c>
      <c r="Z24" s="53" t="s">
        <v>51</v>
      </c>
      <c r="AA24" s="53" t="s">
        <v>1384</v>
      </c>
      <c r="AB24" s="53" t="s">
        <v>96</v>
      </c>
      <c r="AC24" s="53" t="s">
        <v>148</v>
      </c>
      <c r="AD24" s="53" t="s">
        <v>3</v>
      </c>
      <c r="AE24" s="53">
        <v>0</v>
      </c>
      <c r="AF24" s="53" t="s">
        <v>3</v>
      </c>
      <c r="AG24" s="53" t="s">
        <v>1252</v>
      </c>
      <c r="AH24" s="53" t="s">
        <v>1253</v>
      </c>
      <c r="AI24" s="53" t="s">
        <v>3</v>
      </c>
      <c r="AJ24" s="53">
        <v>0</v>
      </c>
      <c r="AK24" s="53" t="s">
        <v>3</v>
      </c>
      <c r="AL24" s="53" t="s">
        <v>1252</v>
      </c>
      <c r="AM24" s="53" t="s">
        <v>1253</v>
      </c>
      <c r="AN24" s="53" t="s">
        <v>3</v>
      </c>
      <c r="AO24" s="53">
        <v>0</v>
      </c>
      <c r="AP24" s="53" t="s">
        <v>3</v>
      </c>
      <c r="AQ24" s="53" t="s">
        <v>1252</v>
      </c>
      <c r="AR24" s="53" t="s">
        <v>1253</v>
      </c>
      <c r="AS24" s="53" t="s">
        <v>3</v>
      </c>
      <c r="AT24" s="53"/>
      <c r="AU24" s="53"/>
      <c r="AV24" s="53"/>
      <c r="AW24" s="53" t="s">
        <v>1761</v>
      </c>
    </row>
    <row r="25" spans="1:49" ht="30" customHeight="1" x14ac:dyDescent="0.3">
      <c r="A25" s="48" t="s">
        <v>1574</v>
      </c>
      <c r="B25" s="44" t="str">
        <f t="shared" si="0"/>
        <v>2</v>
      </c>
      <c r="C25" s="44" t="str">
        <f t="shared" si="1"/>
        <v>2</v>
      </c>
      <c r="D25" s="52" t="s">
        <v>1831</v>
      </c>
      <c r="E25" s="52" t="s">
        <v>1828</v>
      </c>
      <c r="F25" s="45">
        <v>45278</v>
      </c>
      <c r="G25" s="53" t="s">
        <v>1388</v>
      </c>
      <c r="H25" s="53" t="s">
        <v>1550</v>
      </c>
      <c r="I25" s="53" t="s">
        <v>1146</v>
      </c>
      <c r="J25" s="53" t="s">
        <v>1779</v>
      </c>
      <c r="K25" s="53" t="s">
        <v>1795</v>
      </c>
      <c r="L25" s="53" t="s">
        <v>3</v>
      </c>
      <c r="M25" s="53" t="s">
        <v>1832</v>
      </c>
      <c r="N25" s="53" t="s">
        <v>1141</v>
      </c>
      <c r="O25" s="53" t="s">
        <v>3</v>
      </c>
      <c r="P25" s="53" t="s">
        <v>3</v>
      </c>
      <c r="Q25" s="53" t="s">
        <v>1523</v>
      </c>
      <c r="R25" s="53" t="s">
        <v>1833</v>
      </c>
      <c r="S25" s="53" t="s">
        <v>1142</v>
      </c>
      <c r="T25" s="53" t="s">
        <v>1143</v>
      </c>
      <c r="U25" s="53" t="s">
        <v>1834</v>
      </c>
      <c r="V25" s="53">
        <v>3</v>
      </c>
      <c r="W25" s="53" t="s">
        <v>2520</v>
      </c>
      <c r="X25" s="53" t="s">
        <v>1385</v>
      </c>
      <c r="Y25" s="53" t="s">
        <v>1799</v>
      </c>
      <c r="Z25" s="53" t="s">
        <v>1419</v>
      </c>
      <c r="AA25" s="53" t="s">
        <v>2528</v>
      </c>
      <c r="AB25" s="53" t="s">
        <v>95</v>
      </c>
      <c r="AC25" s="53" t="s">
        <v>124</v>
      </c>
      <c r="AD25" s="53" t="s">
        <v>1835</v>
      </c>
      <c r="AE25" s="53" t="s">
        <v>1836</v>
      </c>
      <c r="AF25" s="53" t="s">
        <v>1417</v>
      </c>
      <c r="AG25" s="53" t="s">
        <v>1464</v>
      </c>
      <c r="AH25" s="53" t="s">
        <v>1465</v>
      </c>
      <c r="AI25" s="53" t="s">
        <v>1835</v>
      </c>
      <c r="AJ25" s="53" t="s">
        <v>1836</v>
      </c>
      <c r="AK25" s="53" t="s">
        <v>1417</v>
      </c>
      <c r="AL25" s="53" t="s">
        <v>1449</v>
      </c>
      <c r="AM25" s="53" t="s">
        <v>1450</v>
      </c>
      <c r="AN25" s="53" t="s">
        <v>1835</v>
      </c>
      <c r="AO25" s="53" t="s">
        <v>1836</v>
      </c>
      <c r="AP25" s="53" t="s">
        <v>1251</v>
      </c>
      <c r="AQ25" s="53" t="s">
        <v>1398</v>
      </c>
      <c r="AR25" s="53" t="s">
        <v>1399</v>
      </c>
      <c r="AS25" s="53" t="s">
        <v>3</v>
      </c>
      <c r="AT25" s="53"/>
      <c r="AU25" s="53"/>
      <c r="AV25" s="53"/>
      <c r="AW25" s="53" t="s">
        <v>1761</v>
      </c>
    </row>
    <row r="26" spans="1:49" ht="30" customHeight="1" x14ac:dyDescent="0.3">
      <c r="A26" s="48" t="s">
        <v>1575</v>
      </c>
      <c r="B26" s="44" t="str">
        <f t="shared" si="0"/>
        <v>2</v>
      </c>
      <c r="C26" s="44" t="str">
        <f t="shared" si="1"/>
        <v>2</v>
      </c>
      <c r="D26" s="52" t="s">
        <v>1837</v>
      </c>
      <c r="E26" s="52" t="s">
        <v>1828</v>
      </c>
      <c r="F26" s="45">
        <v>44259</v>
      </c>
      <c r="G26" s="53" t="s">
        <v>1388</v>
      </c>
      <c r="H26" s="53" t="s">
        <v>1492</v>
      </c>
      <c r="I26" s="53" t="s">
        <v>1146</v>
      </c>
      <c r="J26" s="53" t="s">
        <v>1779</v>
      </c>
      <c r="K26" s="53" t="s">
        <v>1394</v>
      </c>
      <c r="L26" s="53" t="s">
        <v>3</v>
      </c>
      <c r="M26" s="53" t="s">
        <v>1838</v>
      </c>
      <c r="N26" s="53" t="s">
        <v>3</v>
      </c>
      <c r="O26" s="53" t="s">
        <v>3</v>
      </c>
      <c r="P26" s="53" t="s">
        <v>3</v>
      </c>
      <c r="Q26" s="53" t="s">
        <v>1839</v>
      </c>
      <c r="R26" s="53" t="s">
        <v>1840</v>
      </c>
      <c r="S26" s="53" t="s">
        <v>3</v>
      </c>
      <c r="T26" s="53" t="s">
        <v>3</v>
      </c>
      <c r="U26" s="53" t="s">
        <v>3</v>
      </c>
      <c r="V26" s="53">
        <v>1</v>
      </c>
      <c r="W26" s="53" t="s">
        <v>2519</v>
      </c>
      <c r="X26" s="53" t="s">
        <v>86</v>
      </c>
      <c r="Y26" s="53" t="s">
        <v>152</v>
      </c>
      <c r="Z26" s="53" t="s">
        <v>1419</v>
      </c>
      <c r="AA26" s="53" t="s">
        <v>2528</v>
      </c>
      <c r="AB26" s="53" t="s">
        <v>95</v>
      </c>
      <c r="AC26" s="53" t="s">
        <v>124</v>
      </c>
      <c r="AD26" s="53" t="s">
        <v>3</v>
      </c>
      <c r="AE26" s="53">
        <v>0</v>
      </c>
      <c r="AF26" s="53" t="s">
        <v>3</v>
      </c>
      <c r="AG26" s="53" t="s">
        <v>1252</v>
      </c>
      <c r="AH26" s="53" t="s">
        <v>1253</v>
      </c>
      <c r="AI26" s="53" t="s">
        <v>3</v>
      </c>
      <c r="AJ26" s="53">
        <v>0</v>
      </c>
      <c r="AK26" s="53" t="s">
        <v>3</v>
      </c>
      <c r="AL26" s="53" t="s">
        <v>1252</v>
      </c>
      <c r="AM26" s="53" t="s">
        <v>1253</v>
      </c>
      <c r="AN26" s="53" t="s">
        <v>3</v>
      </c>
      <c r="AO26" s="53">
        <v>0</v>
      </c>
      <c r="AP26" s="53" t="s">
        <v>3</v>
      </c>
      <c r="AQ26" s="53" t="s">
        <v>1252</v>
      </c>
      <c r="AR26" s="53" t="s">
        <v>1253</v>
      </c>
      <c r="AS26" s="53" t="s">
        <v>3</v>
      </c>
      <c r="AT26" s="53"/>
      <c r="AU26" s="53"/>
      <c r="AV26" s="53"/>
      <c r="AW26" s="53" t="s">
        <v>1761</v>
      </c>
    </row>
    <row r="27" spans="1:49" ht="30" customHeight="1" x14ac:dyDescent="0.3">
      <c r="A27" s="48" t="s">
        <v>1298</v>
      </c>
      <c r="B27" s="44" t="str">
        <f t="shared" si="0"/>
        <v>2</v>
      </c>
      <c r="C27" s="44" t="str">
        <f t="shared" si="1"/>
        <v>2</v>
      </c>
      <c r="D27" s="52" t="s">
        <v>1841</v>
      </c>
      <c r="E27" s="52" t="s">
        <v>1828</v>
      </c>
      <c r="F27" s="45">
        <v>45608</v>
      </c>
      <c r="G27" s="53" t="s">
        <v>1388</v>
      </c>
      <c r="H27" s="53" t="s">
        <v>1842</v>
      </c>
      <c r="I27" s="53" t="s">
        <v>1146</v>
      </c>
      <c r="J27" s="53" t="s">
        <v>1779</v>
      </c>
      <c r="K27" s="53" t="s">
        <v>1394</v>
      </c>
      <c r="L27" s="53" t="s">
        <v>3</v>
      </c>
      <c r="M27" s="53" t="s">
        <v>1843</v>
      </c>
      <c r="N27" s="53" t="s">
        <v>3</v>
      </c>
      <c r="O27" s="53" t="s">
        <v>3</v>
      </c>
      <c r="P27" s="53" t="s">
        <v>3</v>
      </c>
      <c r="Q27" s="53" t="s">
        <v>1404</v>
      </c>
      <c r="R27" s="53" t="s">
        <v>1844</v>
      </c>
      <c r="S27" s="53">
        <v>0</v>
      </c>
      <c r="T27" s="53" t="s">
        <v>1143</v>
      </c>
      <c r="U27" s="53" t="s">
        <v>3</v>
      </c>
      <c r="V27" s="53">
        <v>2</v>
      </c>
      <c r="W27" s="53" t="s">
        <v>2521</v>
      </c>
      <c r="X27" s="53" t="s">
        <v>53</v>
      </c>
      <c r="Y27" s="53" t="s">
        <v>127</v>
      </c>
      <c r="Z27" s="53" t="s">
        <v>51</v>
      </c>
      <c r="AA27" s="53" t="s">
        <v>1384</v>
      </c>
      <c r="AB27" s="53" t="s">
        <v>95</v>
      </c>
      <c r="AC27" s="53" t="s">
        <v>124</v>
      </c>
      <c r="AD27" s="53" t="s">
        <v>3</v>
      </c>
      <c r="AE27" s="53">
        <v>0</v>
      </c>
      <c r="AF27" s="53" t="s">
        <v>3</v>
      </c>
      <c r="AG27" s="53" t="s">
        <v>1252</v>
      </c>
      <c r="AH27" s="53" t="s">
        <v>1253</v>
      </c>
      <c r="AI27" s="53" t="s">
        <v>3</v>
      </c>
      <c r="AJ27" s="53">
        <v>0</v>
      </c>
      <c r="AK27" s="53" t="s">
        <v>3</v>
      </c>
      <c r="AL27" s="53" t="s">
        <v>1252</v>
      </c>
      <c r="AM27" s="53" t="s">
        <v>1253</v>
      </c>
      <c r="AN27" s="53" t="s">
        <v>3</v>
      </c>
      <c r="AO27" s="53">
        <v>0</v>
      </c>
      <c r="AP27" s="53" t="s">
        <v>3</v>
      </c>
      <c r="AQ27" s="53" t="s">
        <v>1252</v>
      </c>
      <c r="AR27" s="53" t="s">
        <v>1253</v>
      </c>
      <c r="AS27" s="53" t="s">
        <v>3</v>
      </c>
      <c r="AT27" s="53"/>
      <c r="AU27" s="53"/>
      <c r="AV27" s="53"/>
      <c r="AW27" s="53" t="s">
        <v>1761</v>
      </c>
    </row>
    <row r="28" spans="1:49" ht="30" customHeight="1" x14ac:dyDescent="0.3">
      <c r="A28" s="48" t="s">
        <v>1576</v>
      </c>
      <c r="B28" s="44" t="str">
        <f t="shared" si="0"/>
        <v>2</v>
      </c>
      <c r="C28" s="44" t="str">
        <f t="shared" si="1"/>
        <v>2</v>
      </c>
      <c r="D28" s="52" t="s">
        <v>1845</v>
      </c>
      <c r="E28" s="52" t="s">
        <v>1794</v>
      </c>
      <c r="F28" s="45">
        <v>42110</v>
      </c>
      <c r="G28" s="53" t="s">
        <v>1388</v>
      </c>
      <c r="H28" s="53">
        <v>0</v>
      </c>
      <c r="I28" s="53">
        <v>0</v>
      </c>
      <c r="J28" s="53" t="s">
        <v>1779</v>
      </c>
      <c r="K28" s="53">
        <v>0</v>
      </c>
      <c r="L28" s="53">
        <v>0</v>
      </c>
      <c r="M28" s="53" t="s">
        <v>1846</v>
      </c>
      <c r="N28" s="53">
        <v>0</v>
      </c>
      <c r="O28" s="53">
        <v>0</v>
      </c>
      <c r="P28" s="53">
        <v>0</v>
      </c>
      <c r="Q28" s="53">
        <v>0</v>
      </c>
      <c r="R28" s="53">
        <v>0</v>
      </c>
      <c r="S28" s="53">
        <v>0</v>
      </c>
      <c r="T28" s="53">
        <v>0</v>
      </c>
      <c r="U28" s="53">
        <v>0</v>
      </c>
      <c r="V28" s="53">
        <v>0</v>
      </c>
      <c r="W28" s="53" t="s">
        <v>2520</v>
      </c>
      <c r="X28" s="53">
        <v>0</v>
      </c>
      <c r="Y28" s="53" t="s">
        <v>1391</v>
      </c>
      <c r="Z28" s="53" t="s">
        <v>51</v>
      </c>
      <c r="AA28" s="53" t="s">
        <v>1384</v>
      </c>
      <c r="AB28" s="53">
        <v>0</v>
      </c>
      <c r="AC28" s="53" t="s">
        <v>1391</v>
      </c>
      <c r="AD28" s="53">
        <v>0</v>
      </c>
      <c r="AE28" s="53">
        <v>0</v>
      </c>
      <c r="AF28" s="53">
        <v>0</v>
      </c>
      <c r="AG28" s="53">
        <v>0</v>
      </c>
      <c r="AH28" s="53" t="e">
        <v>#N/A</v>
      </c>
      <c r="AI28" s="53" t="s">
        <v>3</v>
      </c>
      <c r="AJ28" s="53">
        <v>0</v>
      </c>
      <c r="AK28" s="53" t="s">
        <v>3</v>
      </c>
      <c r="AL28" s="53" t="s">
        <v>1252</v>
      </c>
      <c r="AM28" s="53" t="s">
        <v>1253</v>
      </c>
      <c r="AN28" s="53" t="s">
        <v>3</v>
      </c>
      <c r="AO28" s="53">
        <v>0</v>
      </c>
      <c r="AP28" s="53" t="s">
        <v>3</v>
      </c>
      <c r="AQ28" s="53" t="s">
        <v>1252</v>
      </c>
      <c r="AR28" s="53" t="s">
        <v>1253</v>
      </c>
      <c r="AS28" s="53">
        <v>0</v>
      </c>
      <c r="AT28" s="53"/>
      <c r="AU28" s="53"/>
      <c r="AV28" s="53"/>
      <c r="AW28" s="53" t="s">
        <v>1761</v>
      </c>
    </row>
    <row r="29" spans="1:49" ht="30" customHeight="1" x14ac:dyDescent="0.3">
      <c r="A29" s="48" t="s">
        <v>1577</v>
      </c>
      <c r="B29" s="44" t="str">
        <f t="shared" si="0"/>
        <v>2</v>
      </c>
      <c r="C29" s="44" t="str">
        <f t="shared" si="1"/>
        <v>2</v>
      </c>
      <c r="D29" s="52" t="s">
        <v>1847</v>
      </c>
      <c r="E29" s="52" t="s">
        <v>1515</v>
      </c>
      <c r="F29" s="45">
        <v>43353</v>
      </c>
      <c r="G29" s="53" t="s">
        <v>1388</v>
      </c>
      <c r="H29" s="53" t="s">
        <v>1425</v>
      </c>
      <c r="I29" s="53" t="s">
        <v>1146</v>
      </c>
      <c r="J29" s="53" t="s">
        <v>1848</v>
      </c>
      <c r="K29" s="53" t="s">
        <v>1394</v>
      </c>
      <c r="L29" s="53" t="s">
        <v>3</v>
      </c>
      <c r="M29" s="53" t="s">
        <v>1463</v>
      </c>
      <c r="N29" s="53" t="s">
        <v>3</v>
      </c>
      <c r="O29" s="53" t="s">
        <v>3</v>
      </c>
      <c r="P29" s="53" t="s">
        <v>3</v>
      </c>
      <c r="Q29" s="53" t="s">
        <v>1404</v>
      </c>
      <c r="R29" s="53" t="s">
        <v>1518</v>
      </c>
      <c r="S29" s="53" t="s">
        <v>3</v>
      </c>
      <c r="T29" s="53" t="s">
        <v>3</v>
      </c>
      <c r="U29" s="53" t="s">
        <v>1849</v>
      </c>
      <c r="V29" s="53">
        <v>2</v>
      </c>
      <c r="W29" s="53" t="s">
        <v>2522</v>
      </c>
      <c r="X29" s="53" t="s">
        <v>53</v>
      </c>
      <c r="Y29" s="53" t="s">
        <v>127</v>
      </c>
      <c r="Z29" s="53" t="s">
        <v>1419</v>
      </c>
      <c r="AA29" s="53" t="s">
        <v>2528</v>
      </c>
      <c r="AB29" s="53" t="s">
        <v>95</v>
      </c>
      <c r="AC29" s="53" t="s">
        <v>124</v>
      </c>
      <c r="AD29" s="53" t="s">
        <v>3</v>
      </c>
      <c r="AE29" s="53">
        <v>0</v>
      </c>
      <c r="AF29" s="53" t="s">
        <v>3</v>
      </c>
      <c r="AG29" s="53" t="s">
        <v>1252</v>
      </c>
      <c r="AH29" s="53" t="s">
        <v>1253</v>
      </c>
      <c r="AI29" s="53" t="s">
        <v>3</v>
      </c>
      <c r="AJ29" s="53">
        <v>0</v>
      </c>
      <c r="AK29" s="53" t="s">
        <v>3</v>
      </c>
      <c r="AL29" s="53" t="s">
        <v>1252</v>
      </c>
      <c r="AM29" s="53" t="s">
        <v>1253</v>
      </c>
      <c r="AN29" s="53" t="s">
        <v>3</v>
      </c>
      <c r="AO29" s="53">
        <v>0</v>
      </c>
      <c r="AP29" s="53" t="s">
        <v>3</v>
      </c>
      <c r="AQ29" s="53" t="s">
        <v>1252</v>
      </c>
      <c r="AR29" s="53" t="s">
        <v>1253</v>
      </c>
      <c r="AS29" s="53" t="s">
        <v>3</v>
      </c>
      <c r="AT29" s="53"/>
      <c r="AU29" s="53"/>
      <c r="AV29" s="53"/>
      <c r="AW29" s="53" t="s">
        <v>1761</v>
      </c>
    </row>
    <row r="30" spans="1:49" ht="30" customHeight="1" x14ac:dyDescent="0.3">
      <c r="A30" s="48" t="s">
        <v>1299</v>
      </c>
      <c r="B30" s="44" t="str">
        <f t="shared" si="0"/>
        <v>2</v>
      </c>
      <c r="C30" s="44" t="str">
        <f t="shared" si="1"/>
        <v>2</v>
      </c>
      <c r="D30" s="52" t="s">
        <v>1850</v>
      </c>
      <c r="E30" s="52" t="s">
        <v>1487</v>
      </c>
      <c r="F30" s="45">
        <v>45355</v>
      </c>
      <c r="G30" s="53" t="s">
        <v>1455</v>
      </c>
      <c r="H30" s="53" t="s">
        <v>1851</v>
      </c>
      <c r="I30" s="53" t="s">
        <v>1383</v>
      </c>
      <c r="J30" s="53" t="s">
        <v>1848</v>
      </c>
      <c r="K30" s="53" t="s">
        <v>1389</v>
      </c>
      <c r="L30" s="53" t="s">
        <v>3</v>
      </c>
      <c r="M30" s="53" t="s">
        <v>3</v>
      </c>
      <c r="N30" s="53" t="s">
        <v>3</v>
      </c>
      <c r="O30" s="53" t="s">
        <v>3</v>
      </c>
      <c r="P30" s="53" t="s">
        <v>3</v>
      </c>
      <c r="Q30" s="53" t="s">
        <v>3</v>
      </c>
      <c r="R30" s="53" t="s">
        <v>3</v>
      </c>
      <c r="S30" s="53" t="s">
        <v>3</v>
      </c>
      <c r="T30" s="53" t="s">
        <v>3</v>
      </c>
      <c r="U30" s="53" t="s">
        <v>3</v>
      </c>
      <c r="V30" s="53">
        <v>1</v>
      </c>
      <c r="W30" s="53" t="s">
        <v>2518</v>
      </c>
      <c r="X30" s="53" t="s">
        <v>48</v>
      </c>
      <c r="Y30" s="53" t="s">
        <v>105</v>
      </c>
      <c r="Z30" s="53" t="s">
        <v>51</v>
      </c>
      <c r="AA30" s="53" t="s">
        <v>1384</v>
      </c>
      <c r="AB30" s="53" t="s">
        <v>95</v>
      </c>
      <c r="AC30" s="53" t="s">
        <v>124</v>
      </c>
      <c r="AD30" s="53" t="s">
        <v>3</v>
      </c>
      <c r="AE30" s="53">
        <v>0</v>
      </c>
      <c r="AF30" s="53" t="s">
        <v>3</v>
      </c>
      <c r="AG30" s="53" t="s">
        <v>1252</v>
      </c>
      <c r="AH30" s="53" t="s">
        <v>1253</v>
      </c>
      <c r="AI30" s="53" t="s">
        <v>3</v>
      </c>
      <c r="AJ30" s="53">
        <v>0</v>
      </c>
      <c r="AK30" s="53" t="s">
        <v>3</v>
      </c>
      <c r="AL30" s="53" t="s">
        <v>1252</v>
      </c>
      <c r="AM30" s="53" t="s">
        <v>1253</v>
      </c>
      <c r="AN30" s="53" t="s">
        <v>3</v>
      </c>
      <c r="AO30" s="53">
        <v>0</v>
      </c>
      <c r="AP30" s="53" t="s">
        <v>3</v>
      </c>
      <c r="AQ30" s="53" t="s">
        <v>1252</v>
      </c>
      <c r="AR30" s="53" t="s">
        <v>1253</v>
      </c>
      <c r="AS30" s="53" t="s">
        <v>3</v>
      </c>
      <c r="AT30" s="53"/>
      <c r="AU30" s="53"/>
      <c r="AV30" s="53"/>
      <c r="AW30" s="53" t="s">
        <v>1761</v>
      </c>
    </row>
    <row r="31" spans="1:49" ht="30" customHeight="1" x14ac:dyDescent="0.3">
      <c r="A31" s="48" t="s">
        <v>1578</v>
      </c>
      <c r="B31" s="44" t="str">
        <f t="shared" si="0"/>
        <v>2</v>
      </c>
      <c r="C31" s="44" t="str">
        <f t="shared" si="1"/>
        <v>2</v>
      </c>
      <c r="D31" s="52" t="s">
        <v>1852</v>
      </c>
      <c r="E31" s="52" t="s">
        <v>1853</v>
      </c>
      <c r="F31" s="45">
        <v>44070</v>
      </c>
      <c r="G31" s="53" t="s">
        <v>1388</v>
      </c>
      <c r="H31" s="53" t="s">
        <v>1470</v>
      </c>
      <c r="I31" s="53" t="s">
        <v>1146</v>
      </c>
      <c r="J31" s="53" t="s">
        <v>1854</v>
      </c>
      <c r="K31" s="53" t="s">
        <v>1467</v>
      </c>
      <c r="L31" s="53" t="s">
        <v>1403</v>
      </c>
      <c r="M31" s="53" t="s">
        <v>1855</v>
      </c>
      <c r="N31" s="53" t="s">
        <v>1393</v>
      </c>
      <c r="O31" s="53">
        <v>0</v>
      </c>
      <c r="P31" s="53" t="s">
        <v>1392</v>
      </c>
      <c r="Q31" s="53" t="s">
        <v>1856</v>
      </c>
      <c r="R31" s="53" t="s">
        <v>1538</v>
      </c>
      <c r="S31" s="53" t="s">
        <v>1857</v>
      </c>
      <c r="T31" s="53" t="s">
        <v>1143</v>
      </c>
      <c r="U31" s="53" t="s">
        <v>3</v>
      </c>
      <c r="V31" s="53">
        <v>2</v>
      </c>
      <c r="W31" s="53" t="s">
        <v>2521</v>
      </c>
      <c r="X31" s="53">
        <v>0</v>
      </c>
      <c r="Y31" s="53" t="s">
        <v>1391</v>
      </c>
      <c r="Z31" s="53" t="s">
        <v>51</v>
      </c>
      <c r="AA31" s="53" t="s">
        <v>1384</v>
      </c>
      <c r="AB31" s="53">
        <v>0</v>
      </c>
      <c r="AC31" s="53" t="s">
        <v>1391</v>
      </c>
      <c r="AD31" s="53" t="s">
        <v>1858</v>
      </c>
      <c r="AE31" s="53" t="s">
        <v>1344</v>
      </c>
      <c r="AF31" s="53" t="s">
        <v>1251</v>
      </c>
      <c r="AG31" s="53" t="s">
        <v>1859</v>
      </c>
      <c r="AH31" s="53" t="s">
        <v>1860</v>
      </c>
      <c r="AI31" s="53" t="s">
        <v>3</v>
      </c>
      <c r="AJ31" s="53">
        <v>0</v>
      </c>
      <c r="AK31" s="53" t="s">
        <v>3</v>
      </c>
      <c r="AL31" s="53" t="s">
        <v>1252</v>
      </c>
      <c r="AM31" s="53" t="s">
        <v>1253</v>
      </c>
      <c r="AN31" s="53" t="s">
        <v>3</v>
      </c>
      <c r="AO31" s="53">
        <v>0</v>
      </c>
      <c r="AP31" s="53" t="s">
        <v>3</v>
      </c>
      <c r="AQ31" s="53" t="s">
        <v>1252</v>
      </c>
      <c r="AR31" s="53" t="s">
        <v>1253</v>
      </c>
      <c r="AS31" s="53">
        <v>55</v>
      </c>
      <c r="AT31" s="53"/>
      <c r="AU31" s="53"/>
      <c r="AV31" s="53"/>
      <c r="AW31" s="53" t="s">
        <v>1761</v>
      </c>
    </row>
    <row r="32" spans="1:49" ht="30" customHeight="1" x14ac:dyDescent="0.3">
      <c r="A32" s="48" t="s">
        <v>1300</v>
      </c>
      <c r="B32" s="44" t="str">
        <f t="shared" si="0"/>
        <v>2</v>
      </c>
      <c r="C32" s="44" t="str">
        <f t="shared" si="1"/>
        <v>2</v>
      </c>
      <c r="D32" s="52" t="s">
        <v>1861</v>
      </c>
      <c r="E32" s="52" t="s">
        <v>1487</v>
      </c>
      <c r="F32" s="45">
        <v>45352</v>
      </c>
      <c r="G32" s="53" t="s">
        <v>1455</v>
      </c>
      <c r="H32" s="53" t="s">
        <v>1390</v>
      </c>
      <c r="I32" s="53" t="s">
        <v>1383</v>
      </c>
      <c r="J32" s="53" t="s">
        <v>1848</v>
      </c>
      <c r="K32" s="53" t="s">
        <v>1400</v>
      </c>
      <c r="L32" s="53" t="s">
        <v>3</v>
      </c>
      <c r="M32" s="53" t="s">
        <v>1862</v>
      </c>
      <c r="N32" s="53" t="s">
        <v>3</v>
      </c>
      <c r="O32" s="53" t="s">
        <v>3</v>
      </c>
      <c r="P32" s="53" t="s">
        <v>3</v>
      </c>
      <c r="Q32" s="53" t="s">
        <v>1863</v>
      </c>
      <c r="R32" s="53" t="s">
        <v>1864</v>
      </c>
      <c r="S32" s="53" t="s">
        <v>3</v>
      </c>
      <c r="T32" s="53" t="s">
        <v>3</v>
      </c>
      <c r="U32" s="53" t="s">
        <v>1865</v>
      </c>
      <c r="V32" s="53" t="s">
        <v>1231</v>
      </c>
      <c r="W32" s="53" t="s">
        <v>2522</v>
      </c>
      <c r="X32" s="53" t="s">
        <v>48</v>
      </c>
      <c r="Y32" s="53" t="s">
        <v>105</v>
      </c>
      <c r="Z32" s="53" t="s">
        <v>51</v>
      </c>
      <c r="AA32" s="53" t="s">
        <v>1384</v>
      </c>
      <c r="AB32" s="53" t="s">
        <v>95</v>
      </c>
      <c r="AC32" s="53" t="s">
        <v>124</v>
      </c>
      <c r="AD32" s="53" t="s">
        <v>3</v>
      </c>
      <c r="AE32" s="53">
        <v>0</v>
      </c>
      <c r="AF32" s="53" t="s">
        <v>3</v>
      </c>
      <c r="AG32" s="53" t="s">
        <v>1252</v>
      </c>
      <c r="AH32" s="53" t="s">
        <v>1253</v>
      </c>
      <c r="AI32" s="53" t="s">
        <v>3</v>
      </c>
      <c r="AJ32" s="53">
        <v>0</v>
      </c>
      <c r="AK32" s="53" t="s">
        <v>3</v>
      </c>
      <c r="AL32" s="53" t="s">
        <v>1252</v>
      </c>
      <c r="AM32" s="53" t="s">
        <v>1253</v>
      </c>
      <c r="AN32" s="53" t="s">
        <v>3</v>
      </c>
      <c r="AO32" s="53">
        <v>0</v>
      </c>
      <c r="AP32" s="53" t="s">
        <v>3</v>
      </c>
      <c r="AQ32" s="53" t="s">
        <v>1252</v>
      </c>
      <c r="AR32" s="53" t="s">
        <v>1253</v>
      </c>
      <c r="AS32" s="53" t="s">
        <v>3</v>
      </c>
      <c r="AT32" s="53"/>
      <c r="AU32" s="53"/>
      <c r="AV32" s="53"/>
      <c r="AW32" s="53" t="s">
        <v>1761</v>
      </c>
    </row>
    <row r="33" spans="1:49" ht="30" customHeight="1" x14ac:dyDescent="0.3">
      <c r="A33" s="48" t="s">
        <v>1579</v>
      </c>
      <c r="B33" s="44" t="str">
        <f t="shared" si="0"/>
        <v>2</v>
      </c>
      <c r="C33" s="44" t="str">
        <f t="shared" si="1"/>
        <v>2</v>
      </c>
      <c r="D33" s="52" t="s">
        <v>1866</v>
      </c>
      <c r="E33" s="52" t="s">
        <v>1487</v>
      </c>
      <c r="F33" s="45">
        <v>44658</v>
      </c>
      <c r="G33" s="53" t="s">
        <v>1388</v>
      </c>
      <c r="H33" s="53" t="s">
        <v>1480</v>
      </c>
      <c r="I33" s="53" t="s">
        <v>1146</v>
      </c>
      <c r="J33" s="53" t="s">
        <v>1848</v>
      </c>
      <c r="K33" s="53" t="s">
        <v>1426</v>
      </c>
      <c r="L33" s="53" t="s">
        <v>1427</v>
      </c>
      <c r="M33" s="53" t="s">
        <v>1428</v>
      </c>
      <c r="N33" s="53" t="s">
        <v>3</v>
      </c>
      <c r="O33" s="53" t="s">
        <v>3</v>
      </c>
      <c r="P33" s="53" t="s">
        <v>3</v>
      </c>
      <c r="Q33" s="53" t="s">
        <v>1867</v>
      </c>
      <c r="R33" s="53" t="s">
        <v>1868</v>
      </c>
      <c r="S33" s="53" t="s">
        <v>1469</v>
      </c>
      <c r="T33" s="53" t="s">
        <v>3</v>
      </c>
      <c r="U33" s="53" t="s">
        <v>1479</v>
      </c>
      <c r="V33" s="53" t="s">
        <v>1231</v>
      </c>
      <c r="W33" s="53" t="s">
        <v>2522</v>
      </c>
      <c r="X33" s="53" t="s">
        <v>48</v>
      </c>
      <c r="Y33" s="53" t="s">
        <v>105</v>
      </c>
      <c r="Z33" s="53" t="s">
        <v>51</v>
      </c>
      <c r="AA33" s="53" t="s">
        <v>1384</v>
      </c>
      <c r="AB33" s="53" t="s">
        <v>95</v>
      </c>
      <c r="AC33" s="53" t="s">
        <v>124</v>
      </c>
      <c r="AD33" s="53" t="s">
        <v>1869</v>
      </c>
      <c r="AE33" s="53" t="s">
        <v>1870</v>
      </c>
      <c r="AF33" s="53" t="s">
        <v>1251</v>
      </c>
      <c r="AG33" s="53" t="s">
        <v>1859</v>
      </c>
      <c r="AH33" s="53" t="s">
        <v>1860</v>
      </c>
      <c r="AI33" s="53" t="s">
        <v>3</v>
      </c>
      <c r="AJ33" s="53">
        <v>0</v>
      </c>
      <c r="AK33" s="53" t="s">
        <v>3</v>
      </c>
      <c r="AL33" s="53" t="s">
        <v>1252</v>
      </c>
      <c r="AM33" s="53" t="s">
        <v>1253</v>
      </c>
      <c r="AN33" s="53" t="s">
        <v>3</v>
      </c>
      <c r="AO33" s="53">
        <v>0</v>
      </c>
      <c r="AP33" s="53" t="s">
        <v>3</v>
      </c>
      <c r="AQ33" s="53" t="s">
        <v>1252</v>
      </c>
      <c r="AR33" s="53" t="s">
        <v>1253</v>
      </c>
      <c r="AS33" s="53">
        <v>12</v>
      </c>
      <c r="AT33" s="53"/>
      <c r="AU33" s="53"/>
      <c r="AV33" s="53"/>
      <c r="AW33" s="53" t="s">
        <v>1761</v>
      </c>
    </row>
    <row r="34" spans="1:49" ht="30" customHeight="1" x14ac:dyDescent="0.3">
      <c r="A34" s="48" t="s">
        <v>1301</v>
      </c>
      <c r="B34" s="44" t="str">
        <f t="shared" si="0"/>
        <v>2</v>
      </c>
      <c r="C34" s="44" t="str">
        <f t="shared" si="1"/>
        <v>2</v>
      </c>
      <c r="D34" s="52" t="s">
        <v>1871</v>
      </c>
      <c r="E34" s="52" t="s">
        <v>1487</v>
      </c>
      <c r="F34" s="45">
        <v>44046</v>
      </c>
      <c r="G34" s="53" t="s">
        <v>1140</v>
      </c>
      <c r="H34" s="53" t="s">
        <v>1442</v>
      </c>
      <c r="I34" s="53" t="s">
        <v>1383</v>
      </c>
      <c r="J34" s="53" t="s">
        <v>1848</v>
      </c>
      <c r="K34" s="53" t="s">
        <v>1872</v>
      </c>
      <c r="L34" s="53" t="s">
        <v>3</v>
      </c>
      <c r="M34" s="53" t="s">
        <v>1428</v>
      </c>
      <c r="N34" s="53" t="s">
        <v>1393</v>
      </c>
      <c r="O34" s="53" t="s">
        <v>3</v>
      </c>
      <c r="P34" s="53" t="s">
        <v>3</v>
      </c>
      <c r="Q34" s="53" t="s">
        <v>1414</v>
      </c>
      <c r="R34" s="53" t="s">
        <v>1438</v>
      </c>
      <c r="S34" s="53" t="s">
        <v>3</v>
      </c>
      <c r="T34" s="53" t="s">
        <v>3</v>
      </c>
      <c r="U34" s="53" t="s">
        <v>1873</v>
      </c>
      <c r="V34" s="53">
        <v>2</v>
      </c>
      <c r="W34" s="53" t="s">
        <v>2522</v>
      </c>
      <c r="X34" s="53" t="s">
        <v>48</v>
      </c>
      <c r="Y34" s="53" t="s">
        <v>105</v>
      </c>
      <c r="Z34" s="53" t="s">
        <v>51</v>
      </c>
      <c r="AA34" s="53" t="s">
        <v>1384</v>
      </c>
      <c r="AB34" s="53" t="s">
        <v>95</v>
      </c>
      <c r="AC34" s="53" t="s">
        <v>124</v>
      </c>
      <c r="AD34" s="53" t="s">
        <v>3</v>
      </c>
      <c r="AE34" s="53">
        <v>0</v>
      </c>
      <c r="AF34" s="53" t="s">
        <v>3</v>
      </c>
      <c r="AG34" s="53" t="s">
        <v>1252</v>
      </c>
      <c r="AH34" s="53" t="s">
        <v>1253</v>
      </c>
      <c r="AI34" s="53" t="s">
        <v>3</v>
      </c>
      <c r="AJ34" s="53">
        <v>0</v>
      </c>
      <c r="AK34" s="53" t="s">
        <v>3</v>
      </c>
      <c r="AL34" s="53" t="s">
        <v>1252</v>
      </c>
      <c r="AM34" s="53" t="s">
        <v>1253</v>
      </c>
      <c r="AN34" s="53" t="s">
        <v>3</v>
      </c>
      <c r="AO34" s="53">
        <v>0</v>
      </c>
      <c r="AP34" s="53" t="s">
        <v>3</v>
      </c>
      <c r="AQ34" s="53" t="s">
        <v>1252</v>
      </c>
      <c r="AR34" s="53" t="s">
        <v>1253</v>
      </c>
      <c r="AS34" s="53" t="s">
        <v>3</v>
      </c>
      <c r="AT34" s="53"/>
      <c r="AU34" s="53"/>
      <c r="AV34" s="53"/>
      <c r="AW34" s="53" t="s">
        <v>1761</v>
      </c>
    </row>
    <row r="35" spans="1:49" ht="30" customHeight="1" x14ac:dyDescent="0.3">
      <c r="A35" s="48" t="s">
        <v>1580</v>
      </c>
      <c r="B35" s="44" t="str">
        <f t="shared" si="0"/>
        <v>2</v>
      </c>
      <c r="C35" s="44" t="str">
        <f t="shared" si="1"/>
        <v>2</v>
      </c>
      <c r="D35" s="52" t="s">
        <v>1874</v>
      </c>
      <c r="E35" s="52" t="s">
        <v>1487</v>
      </c>
      <c r="F35" s="45">
        <v>45355</v>
      </c>
      <c r="G35" s="53" t="s">
        <v>1388</v>
      </c>
      <c r="H35" s="53" t="s">
        <v>1425</v>
      </c>
      <c r="I35" s="53" t="s">
        <v>1383</v>
      </c>
      <c r="J35" s="53" t="s">
        <v>1848</v>
      </c>
      <c r="K35" s="53" t="s">
        <v>1426</v>
      </c>
      <c r="L35" s="53" t="s">
        <v>1427</v>
      </c>
      <c r="M35" s="53" t="s">
        <v>1428</v>
      </c>
      <c r="N35" s="53" t="s">
        <v>3</v>
      </c>
      <c r="O35" s="53" t="s">
        <v>3</v>
      </c>
      <c r="P35" s="53" t="s">
        <v>3</v>
      </c>
      <c r="Q35" s="53" t="s">
        <v>1488</v>
      </c>
      <c r="R35" s="53" t="s">
        <v>1438</v>
      </c>
      <c r="S35" s="53" t="s">
        <v>3</v>
      </c>
      <c r="T35" s="53" t="s">
        <v>3</v>
      </c>
      <c r="U35" s="53" t="s">
        <v>1479</v>
      </c>
      <c r="V35" s="53">
        <v>1</v>
      </c>
      <c r="W35" s="53" t="s">
        <v>2522</v>
      </c>
      <c r="X35" s="53" t="s">
        <v>48</v>
      </c>
      <c r="Y35" s="53" t="s">
        <v>105</v>
      </c>
      <c r="Z35" s="53" t="s">
        <v>51</v>
      </c>
      <c r="AA35" s="53" t="s">
        <v>1384</v>
      </c>
      <c r="AB35" s="53" t="s">
        <v>95</v>
      </c>
      <c r="AC35" s="53" t="s">
        <v>124</v>
      </c>
      <c r="AD35" s="53" t="s">
        <v>3</v>
      </c>
      <c r="AE35" s="53">
        <v>0</v>
      </c>
      <c r="AF35" s="53" t="s">
        <v>3</v>
      </c>
      <c r="AG35" s="53" t="s">
        <v>1252</v>
      </c>
      <c r="AH35" s="53" t="s">
        <v>1253</v>
      </c>
      <c r="AI35" s="53" t="s">
        <v>3</v>
      </c>
      <c r="AJ35" s="53">
        <v>0</v>
      </c>
      <c r="AK35" s="53" t="s">
        <v>3</v>
      </c>
      <c r="AL35" s="53" t="s">
        <v>1252</v>
      </c>
      <c r="AM35" s="53" t="s">
        <v>1253</v>
      </c>
      <c r="AN35" s="53" t="s">
        <v>3</v>
      </c>
      <c r="AO35" s="53">
        <v>0</v>
      </c>
      <c r="AP35" s="53" t="s">
        <v>3</v>
      </c>
      <c r="AQ35" s="53" t="s">
        <v>1252</v>
      </c>
      <c r="AR35" s="53" t="s">
        <v>1253</v>
      </c>
      <c r="AS35" s="53">
        <v>17</v>
      </c>
      <c r="AT35" s="53"/>
      <c r="AU35" s="53"/>
      <c r="AV35" s="53"/>
      <c r="AW35" s="53" t="s">
        <v>1761</v>
      </c>
    </row>
    <row r="36" spans="1:49" ht="30" customHeight="1" x14ac:dyDescent="0.3">
      <c r="A36" s="48" t="s">
        <v>1581</v>
      </c>
      <c r="B36" s="44" t="str">
        <f t="shared" si="0"/>
        <v>2</v>
      </c>
      <c r="C36" s="44" t="str">
        <f t="shared" si="1"/>
        <v>2</v>
      </c>
      <c r="D36" s="52" t="s">
        <v>1875</v>
      </c>
      <c r="E36" s="52" t="s">
        <v>1876</v>
      </c>
      <c r="F36" s="45">
        <v>44525</v>
      </c>
      <c r="G36" s="53" t="s">
        <v>1388</v>
      </c>
      <c r="H36" s="53" t="s">
        <v>1425</v>
      </c>
      <c r="I36" s="53" t="s">
        <v>1146</v>
      </c>
      <c r="J36" s="53" t="s">
        <v>1848</v>
      </c>
      <c r="K36" s="53" t="s">
        <v>1535</v>
      </c>
      <c r="L36" s="53" t="s">
        <v>1476</v>
      </c>
      <c r="M36" s="53" t="s">
        <v>3</v>
      </c>
      <c r="N36" s="53" t="s">
        <v>3</v>
      </c>
      <c r="O36" s="53" t="s">
        <v>3</v>
      </c>
      <c r="P36" s="53" t="s">
        <v>3</v>
      </c>
      <c r="Q36" s="53" t="s">
        <v>1536</v>
      </c>
      <c r="R36" s="53" t="s">
        <v>1537</v>
      </c>
      <c r="S36" s="53" t="s">
        <v>1503</v>
      </c>
      <c r="T36" s="53" t="s">
        <v>3</v>
      </c>
      <c r="U36" s="53" t="s">
        <v>3</v>
      </c>
      <c r="V36" s="53">
        <v>1</v>
      </c>
      <c r="W36" s="53" t="s">
        <v>2522</v>
      </c>
      <c r="X36" s="53" t="s">
        <v>53</v>
      </c>
      <c r="Y36" s="53" t="s">
        <v>127</v>
      </c>
      <c r="Z36" s="53" t="s">
        <v>51</v>
      </c>
      <c r="AA36" s="53" t="s">
        <v>1384</v>
      </c>
      <c r="AB36" s="53" t="s">
        <v>95</v>
      </c>
      <c r="AC36" s="53" t="s">
        <v>124</v>
      </c>
      <c r="AD36" s="53" t="s">
        <v>3</v>
      </c>
      <c r="AE36" s="53">
        <v>0</v>
      </c>
      <c r="AF36" s="53" t="s">
        <v>3</v>
      </c>
      <c r="AG36" s="53" t="s">
        <v>1252</v>
      </c>
      <c r="AH36" s="53" t="s">
        <v>1253</v>
      </c>
      <c r="AI36" s="53" t="s">
        <v>3</v>
      </c>
      <c r="AJ36" s="53">
        <v>0</v>
      </c>
      <c r="AK36" s="53" t="s">
        <v>3</v>
      </c>
      <c r="AL36" s="53" t="s">
        <v>1252</v>
      </c>
      <c r="AM36" s="53" t="s">
        <v>1253</v>
      </c>
      <c r="AN36" s="53" t="s">
        <v>3</v>
      </c>
      <c r="AO36" s="53">
        <v>0</v>
      </c>
      <c r="AP36" s="53" t="s">
        <v>3</v>
      </c>
      <c r="AQ36" s="53" t="s">
        <v>1252</v>
      </c>
      <c r="AR36" s="53" t="s">
        <v>1253</v>
      </c>
      <c r="AS36" s="53" t="s">
        <v>3</v>
      </c>
      <c r="AT36" s="53"/>
      <c r="AU36" s="53"/>
      <c r="AV36" s="53"/>
      <c r="AW36" s="53" t="s">
        <v>1761</v>
      </c>
    </row>
    <row r="37" spans="1:49" ht="30" customHeight="1" x14ac:dyDescent="0.3">
      <c r="A37" s="48" t="s">
        <v>1582</v>
      </c>
      <c r="B37" s="44" t="str">
        <f t="shared" si="0"/>
        <v>2</v>
      </c>
      <c r="C37" s="44" t="str">
        <f t="shared" si="1"/>
        <v>2</v>
      </c>
      <c r="D37" s="52" t="s">
        <v>1877</v>
      </c>
      <c r="E37" s="52" t="s">
        <v>1876</v>
      </c>
      <c r="F37" s="45">
        <v>44820</v>
      </c>
      <c r="G37" s="53" t="s">
        <v>1388</v>
      </c>
      <c r="H37" s="53" t="s">
        <v>1425</v>
      </c>
      <c r="I37" s="53" t="s">
        <v>1146</v>
      </c>
      <c r="J37" s="53" t="s">
        <v>1848</v>
      </c>
      <c r="K37" s="53" t="s">
        <v>1878</v>
      </c>
      <c r="L37" s="53" t="s">
        <v>3</v>
      </c>
      <c r="M37" s="53" t="s">
        <v>1879</v>
      </c>
      <c r="N37" s="53" t="s">
        <v>3</v>
      </c>
      <c r="O37" s="53" t="s">
        <v>3</v>
      </c>
      <c r="P37" s="53" t="s">
        <v>3</v>
      </c>
      <c r="Q37" s="53" t="s">
        <v>1523</v>
      </c>
      <c r="R37" s="53" t="s">
        <v>1454</v>
      </c>
      <c r="S37" s="53" t="s">
        <v>3</v>
      </c>
      <c r="T37" s="53" t="s">
        <v>3</v>
      </c>
      <c r="U37" s="53" t="s">
        <v>3</v>
      </c>
      <c r="V37" s="53">
        <v>3</v>
      </c>
      <c r="W37" s="53" t="s">
        <v>2522</v>
      </c>
      <c r="X37" s="53" t="s">
        <v>53</v>
      </c>
      <c r="Y37" s="53" t="s">
        <v>127</v>
      </c>
      <c r="Z37" s="53" t="s">
        <v>51</v>
      </c>
      <c r="AA37" s="53" t="s">
        <v>1384</v>
      </c>
      <c r="AB37" s="53" t="s">
        <v>95</v>
      </c>
      <c r="AC37" s="53" t="s">
        <v>124</v>
      </c>
      <c r="AD37" s="53" t="s">
        <v>3</v>
      </c>
      <c r="AE37" s="53">
        <v>0</v>
      </c>
      <c r="AF37" s="53" t="s">
        <v>3</v>
      </c>
      <c r="AG37" s="53" t="s">
        <v>1252</v>
      </c>
      <c r="AH37" s="53" t="s">
        <v>1253</v>
      </c>
      <c r="AI37" s="53" t="s">
        <v>3</v>
      </c>
      <c r="AJ37" s="53">
        <v>0</v>
      </c>
      <c r="AK37" s="53" t="s">
        <v>3</v>
      </c>
      <c r="AL37" s="53" t="s">
        <v>1252</v>
      </c>
      <c r="AM37" s="53" t="s">
        <v>1253</v>
      </c>
      <c r="AN37" s="53" t="s">
        <v>3</v>
      </c>
      <c r="AO37" s="53">
        <v>0</v>
      </c>
      <c r="AP37" s="53" t="s">
        <v>3</v>
      </c>
      <c r="AQ37" s="53" t="s">
        <v>1252</v>
      </c>
      <c r="AR37" s="53" t="s">
        <v>1253</v>
      </c>
      <c r="AS37" s="53" t="s">
        <v>3</v>
      </c>
      <c r="AT37" s="53"/>
      <c r="AU37" s="53"/>
      <c r="AV37" s="53"/>
      <c r="AW37" s="53" t="s">
        <v>1761</v>
      </c>
    </row>
    <row r="38" spans="1:49" ht="30" customHeight="1" x14ac:dyDescent="0.3">
      <c r="A38" s="48" t="s">
        <v>1583</v>
      </c>
      <c r="B38" s="44" t="str">
        <f t="shared" si="0"/>
        <v>2</v>
      </c>
      <c r="C38" s="44" t="str">
        <f t="shared" si="1"/>
        <v>2</v>
      </c>
      <c r="D38" s="52" t="s">
        <v>1880</v>
      </c>
      <c r="E38" s="52" t="s">
        <v>1759</v>
      </c>
      <c r="F38" s="45">
        <v>45303</v>
      </c>
      <c r="G38" s="53" t="s">
        <v>1455</v>
      </c>
      <c r="H38" s="53" t="s">
        <v>1173</v>
      </c>
      <c r="I38" s="53" t="s">
        <v>1146</v>
      </c>
      <c r="J38" s="53" t="s">
        <v>1779</v>
      </c>
      <c r="K38" s="53" t="s">
        <v>1551</v>
      </c>
      <c r="L38" s="53" t="s">
        <v>3</v>
      </c>
      <c r="M38" s="53" t="s">
        <v>1881</v>
      </c>
      <c r="N38" s="53" t="s">
        <v>1413</v>
      </c>
      <c r="O38" s="53" t="s">
        <v>3</v>
      </c>
      <c r="P38" s="53" t="s">
        <v>3</v>
      </c>
      <c r="Q38" s="53" t="s">
        <v>1882</v>
      </c>
      <c r="R38" s="53" t="s">
        <v>1883</v>
      </c>
      <c r="S38" s="53" t="s">
        <v>3</v>
      </c>
      <c r="T38" s="53" t="s">
        <v>3</v>
      </c>
      <c r="U38" s="53" t="s">
        <v>1884</v>
      </c>
      <c r="V38" s="53">
        <v>2</v>
      </c>
      <c r="W38" s="53" t="s">
        <v>2521</v>
      </c>
      <c r="X38" s="53" t="s">
        <v>1385</v>
      </c>
      <c r="Y38" s="53" t="s">
        <v>1799</v>
      </c>
      <c r="Z38" s="53" t="s">
        <v>84</v>
      </c>
      <c r="AA38" s="53" t="s">
        <v>147</v>
      </c>
      <c r="AB38" s="53" t="s">
        <v>95</v>
      </c>
      <c r="AC38" s="53" t="s">
        <v>124</v>
      </c>
      <c r="AD38" s="53" t="s">
        <v>1884</v>
      </c>
      <c r="AE38" s="53" t="s">
        <v>1885</v>
      </c>
      <c r="AF38" s="53" t="s">
        <v>1417</v>
      </c>
      <c r="AG38" s="53" t="s">
        <v>1423</v>
      </c>
      <c r="AH38" s="53" t="s">
        <v>1424</v>
      </c>
      <c r="AI38" s="53" t="s">
        <v>3</v>
      </c>
      <c r="AJ38" s="53">
        <v>0</v>
      </c>
      <c r="AK38" s="53" t="s">
        <v>3</v>
      </c>
      <c r="AL38" s="53" t="s">
        <v>1252</v>
      </c>
      <c r="AM38" s="53" t="s">
        <v>1253</v>
      </c>
      <c r="AN38" s="53" t="s">
        <v>3</v>
      </c>
      <c r="AO38" s="53">
        <v>0</v>
      </c>
      <c r="AP38" s="53" t="s">
        <v>3</v>
      </c>
      <c r="AQ38" s="53" t="s">
        <v>1252</v>
      </c>
      <c r="AR38" s="53" t="s">
        <v>1253</v>
      </c>
      <c r="AS38" s="53" t="s">
        <v>3</v>
      </c>
      <c r="AT38" s="53"/>
      <c r="AU38" s="53"/>
      <c r="AV38" s="53"/>
      <c r="AW38" s="53" t="s">
        <v>1761</v>
      </c>
    </row>
    <row r="39" spans="1:49" ht="30" customHeight="1" x14ac:dyDescent="0.3">
      <c r="A39" s="48" t="s">
        <v>1302</v>
      </c>
      <c r="B39" s="44" t="str">
        <f t="shared" si="0"/>
        <v>2</v>
      </c>
      <c r="C39" s="44" t="str">
        <f t="shared" si="1"/>
        <v>2</v>
      </c>
      <c r="D39" s="52" t="s">
        <v>1886</v>
      </c>
      <c r="E39" s="52" t="s">
        <v>1876</v>
      </c>
      <c r="F39" s="45">
        <v>45274</v>
      </c>
      <c r="G39" s="53" t="s">
        <v>1388</v>
      </c>
      <c r="H39" s="53" t="s">
        <v>1425</v>
      </c>
      <c r="I39" s="53" t="s">
        <v>1146</v>
      </c>
      <c r="J39" s="53" t="s">
        <v>1848</v>
      </c>
      <c r="K39" s="53" t="s">
        <v>1394</v>
      </c>
      <c r="L39" s="53" t="s">
        <v>1476</v>
      </c>
      <c r="M39" s="53" t="s">
        <v>1774</v>
      </c>
      <c r="N39" s="53" t="s">
        <v>3</v>
      </c>
      <c r="O39" s="53" t="s">
        <v>3</v>
      </c>
      <c r="P39" s="53" t="s">
        <v>3</v>
      </c>
      <c r="Q39" s="53" t="s">
        <v>1404</v>
      </c>
      <c r="R39" s="53" t="s">
        <v>1887</v>
      </c>
      <c r="S39" s="53" t="s">
        <v>3</v>
      </c>
      <c r="T39" s="53" t="s">
        <v>3</v>
      </c>
      <c r="U39" s="53" t="s">
        <v>3</v>
      </c>
      <c r="V39" s="53">
        <v>1</v>
      </c>
      <c r="W39" s="53" t="s">
        <v>2522</v>
      </c>
      <c r="X39" s="53" t="s">
        <v>53</v>
      </c>
      <c r="Y39" s="53" t="s">
        <v>127</v>
      </c>
      <c r="Z39" s="53" t="s">
        <v>1419</v>
      </c>
      <c r="AA39" s="53" t="s">
        <v>2528</v>
      </c>
      <c r="AB39" s="53" t="s">
        <v>95</v>
      </c>
      <c r="AC39" s="53" t="s">
        <v>124</v>
      </c>
      <c r="AD39" s="53" t="s">
        <v>3</v>
      </c>
      <c r="AE39" s="53">
        <v>0</v>
      </c>
      <c r="AF39" s="53" t="s">
        <v>3</v>
      </c>
      <c r="AG39" s="53" t="s">
        <v>1252</v>
      </c>
      <c r="AH39" s="53" t="s">
        <v>1253</v>
      </c>
      <c r="AI39" s="53" t="s">
        <v>3</v>
      </c>
      <c r="AJ39" s="53">
        <v>0</v>
      </c>
      <c r="AK39" s="53" t="s">
        <v>3</v>
      </c>
      <c r="AL39" s="53" t="s">
        <v>1252</v>
      </c>
      <c r="AM39" s="53" t="s">
        <v>1253</v>
      </c>
      <c r="AN39" s="53" t="s">
        <v>3</v>
      </c>
      <c r="AO39" s="53">
        <v>0</v>
      </c>
      <c r="AP39" s="53" t="s">
        <v>3</v>
      </c>
      <c r="AQ39" s="53" t="s">
        <v>1252</v>
      </c>
      <c r="AR39" s="53" t="s">
        <v>1253</v>
      </c>
      <c r="AS39" s="53" t="s">
        <v>3</v>
      </c>
      <c r="AT39" s="53"/>
      <c r="AU39" s="53"/>
      <c r="AV39" s="53"/>
      <c r="AW39" s="53" t="s">
        <v>1761</v>
      </c>
    </row>
    <row r="40" spans="1:49" ht="30" customHeight="1" x14ac:dyDescent="0.3">
      <c r="A40" s="48" t="s">
        <v>1303</v>
      </c>
      <c r="B40" s="44" t="str">
        <f t="shared" si="0"/>
        <v>2</v>
      </c>
      <c r="C40" s="44" t="str">
        <f t="shared" si="1"/>
        <v>2</v>
      </c>
      <c r="D40" s="52" t="s">
        <v>1888</v>
      </c>
      <c r="E40" s="52" t="s">
        <v>1889</v>
      </c>
      <c r="F40" s="45">
        <v>43434</v>
      </c>
      <c r="G40" s="53" t="s">
        <v>1388</v>
      </c>
      <c r="H40" s="53" t="s">
        <v>1462</v>
      </c>
      <c r="I40" s="53" t="s">
        <v>1146</v>
      </c>
      <c r="J40" s="53" t="s">
        <v>1848</v>
      </c>
      <c r="K40" s="53" t="s">
        <v>1890</v>
      </c>
      <c r="L40" s="53" t="s">
        <v>3</v>
      </c>
      <c r="M40" s="53" t="s">
        <v>1891</v>
      </c>
      <c r="N40" s="53" t="s">
        <v>1141</v>
      </c>
      <c r="O40" s="53" t="s">
        <v>3</v>
      </c>
      <c r="P40" s="53" t="s">
        <v>3</v>
      </c>
      <c r="Q40" s="53" t="s">
        <v>1882</v>
      </c>
      <c r="R40" s="53" t="s">
        <v>1892</v>
      </c>
      <c r="S40" s="53" t="s">
        <v>3</v>
      </c>
      <c r="T40" s="53" t="s">
        <v>3</v>
      </c>
      <c r="U40" s="53" t="s">
        <v>3</v>
      </c>
      <c r="V40" s="53">
        <v>1</v>
      </c>
      <c r="W40" s="53" t="s">
        <v>2522</v>
      </c>
      <c r="X40" s="53" t="s">
        <v>1385</v>
      </c>
      <c r="Y40" s="53" t="s">
        <v>1799</v>
      </c>
      <c r="Z40" s="53" t="s">
        <v>1419</v>
      </c>
      <c r="AA40" s="53" t="s">
        <v>2528</v>
      </c>
      <c r="AB40" s="53" t="s">
        <v>95</v>
      </c>
      <c r="AC40" s="53" t="s">
        <v>124</v>
      </c>
      <c r="AD40" s="53" t="s">
        <v>1893</v>
      </c>
      <c r="AE40" s="53" t="s">
        <v>1510</v>
      </c>
      <c r="AF40" s="53" t="s">
        <v>1417</v>
      </c>
      <c r="AG40" s="53" t="s">
        <v>1894</v>
      </c>
      <c r="AH40" s="53" t="s">
        <v>1895</v>
      </c>
      <c r="AI40" s="53" t="s">
        <v>1893</v>
      </c>
      <c r="AJ40" s="53">
        <v>10</v>
      </c>
      <c r="AK40" s="53" t="s">
        <v>1417</v>
      </c>
      <c r="AL40" s="53" t="s">
        <v>1482</v>
      </c>
      <c r="AM40" s="53" t="s">
        <v>1483</v>
      </c>
      <c r="AN40" s="53" t="s">
        <v>3</v>
      </c>
      <c r="AO40" s="53">
        <v>0</v>
      </c>
      <c r="AP40" s="53" t="s">
        <v>3</v>
      </c>
      <c r="AQ40" s="53" t="s">
        <v>1252</v>
      </c>
      <c r="AR40" s="53" t="s">
        <v>1253</v>
      </c>
      <c r="AS40" s="53" t="s">
        <v>3</v>
      </c>
      <c r="AT40" s="53"/>
      <c r="AU40" s="53"/>
      <c r="AV40" s="53"/>
      <c r="AW40" s="53" t="s">
        <v>1761</v>
      </c>
    </row>
    <row r="41" spans="1:49" ht="30" customHeight="1" x14ac:dyDescent="0.3">
      <c r="A41" s="48" t="s">
        <v>1159</v>
      </c>
      <c r="B41" s="44" t="str">
        <f t="shared" si="0"/>
        <v>2</v>
      </c>
      <c r="C41" s="44" t="str">
        <f t="shared" si="1"/>
        <v>2</v>
      </c>
      <c r="D41" s="52" t="s">
        <v>1896</v>
      </c>
      <c r="E41" s="52" t="s">
        <v>1876</v>
      </c>
      <c r="F41" s="45">
        <v>44803</v>
      </c>
      <c r="G41" s="53" t="s">
        <v>1388</v>
      </c>
      <c r="H41" s="53" t="s">
        <v>1425</v>
      </c>
      <c r="I41" s="53" t="s">
        <v>1146</v>
      </c>
      <c r="J41" s="53" t="s">
        <v>1848</v>
      </c>
      <c r="K41" s="53" t="s">
        <v>1763</v>
      </c>
      <c r="L41" s="53" t="s">
        <v>3</v>
      </c>
      <c r="M41" s="53" t="s">
        <v>1897</v>
      </c>
      <c r="N41" s="53" t="s">
        <v>3</v>
      </c>
      <c r="O41" s="53" t="s">
        <v>3</v>
      </c>
      <c r="P41" s="53" t="s">
        <v>3</v>
      </c>
      <c r="Q41" s="53" t="s">
        <v>1396</v>
      </c>
      <c r="R41" s="53" t="s">
        <v>1898</v>
      </c>
      <c r="S41" s="53" t="s">
        <v>1899</v>
      </c>
      <c r="T41" s="53" t="s">
        <v>3</v>
      </c>
      <c r="U41" s="53" t="s">
        <v>3</v>
      </c>
      <c r="V41" s="53">
        <v>1</v>
      </c>
      <c r="W41" s="53" t="s">
        <v>2522</v>
      </c>
      <c r="X41" s="53" t="s">
        <v>53</v>
      </c>
      <c r="Y41" s="53" t="s">
        <v>127</v>
      </c>
      <c r="Z41" s="53" t="s">
        <v>84</v>
      </c>
      <c r="AA41" s="53" t="s">
        <v>147</v>
      </c>
      <c r="AB41" s="53" t="s">
        <v>95</v>
      </c>
      <c r="AC41" s="53" t="s">
        <v>124</v>
      </c>
      <c r="AD41" s="53" t="s">
        <v>3</v>
      </c>
      <c r="AE41" s="53">
        <v>0</v>
      </c>
      <c r="AF41" s="53" t="s">
        <v>3</v>
      </c>
      <c r="AG41" s="53" t="s">
        <v>1252</v>
      </c>
      <c r="AH41" s="53" t="s">
        <v>1253</v>
      </c>
      <c r="AI41" s="53" t="s">
        <v>3</v>
      </c>
      <c r="AJ41" s="53">
        <v>0</v>
      </c>
      <c r="AK41" s="53" t="s">
        <v>3</v>
      </c>
      <c r="AL41" s="53" t="s">
        <v>1252</v>
      </c>
      <c r="AM41" s="53" t="s">
        <v>1253</v>
      </c>
      <c r="AN41" s="53" t="s">
        <v>3</v>
      </c>
      <c r="AO41" s="53">
        <v>0</v>
      </c>
      <c r="AP41" s="53" t="s">
        <v>3</v>
      </c>
      <c r="AQ41" s="53" t="s">
        <v>1252</v>
      </c>
      <c r="AR41" s="53" t="s">
        <v>1253</v>
      </c>
      <c r="AS41" s="53" t="s">
        <v>3</v>
      </c>
      <c r="AT41" s="53"/>
      <c r="AU41" s="53"/>
      <c r="AV41" s="53"/>
      <c r="AW41" s="53" t="s">
        <v>1761</v>
      </c>
    </row>
    <row r="42" spans="1:49" ht="30" customHeight="1" x14ac:dyDescent="0.3">
      <c r="A42" s="48" t="s">
        <v>1304</v>
      </c>
      <c r="B42" s="44" t="str">
        <f t="shared" si="0"/>
        <v>2</v>
      </c>
      <c r="C42" s="44" t="str">
        <f t="shared" si="1"/>
        <v>2</v>
      </c>
      <c r="D42" s="52" t="s">
        <v>1900</v>
      </c>
      <c r="E42" s="52" t="s">
        <v>1487</v>
      </c>
      <c r="F42" s="45">
        <v>45134</v>
      </c>
      <c r="G42" s="53" t="s">
        <v>1388</v>
      </c>
      <c r="H42" s="53" t="s">
        <v>1508</v>
      </c>
      <c r="I42" s="53" t="s">
        <v>1146</v>
      </c>
      <c r="J42" s="53" t="s">
        <v>1848</v>
      </c>
      <c r="K42" s="53" t="s">
        <v>1878</v>
      </c>
      <c r="L42" s="53" t="s">
        <v>3</v>
      </c>
      <c r="M42" s="53" t="s">
        <v>1879</v>
      </c>
      <c r="N42" s="53" t="s">
        <v>3</v>
      </c>
      <c r="O42" s="53" t="s">
        <v>3</v>
      </c>
      <c r="P42" s="53" t="s">
        <v>3</v>
      </c>
      <c r="Q42" s="53" t="s">
        <v>1523</v>
      </c>
      <c r="R42" s="53" t="s">
        <v>1454</v>
      </c>
      <c r="S42" s="53" t="s">
        <v>3</v>
      </c>
      <c r="T42" s="53" t="s">
        <v>3</v>
      </c>
      <c r="U42" s="53" t="s">
        <v>1901</v>
      </c>
      <c r="V42" s="53">
        <v>2</v>
      </c>
      <c r="W42" s="53" t="s">
        <v>2522</v>
      </c>
      <c r="X42" s="53" t="s">
        <v>48</v>
      </c>
      <c r="Y42" s="53" t="s">
        <v>105</v>
      </c>
      <c r="Z42" s="53" t="s">
        <v>51</v>
      </c>
      <c r="AA42" s="53" t="s">
        <v>1384</v>
      </c>
      <c r="AB42" s="53" t="s">
        <v>95</v>
      </c>
      <c r="AC42" s="53" t="s">
        <v>124</v>
      </c>
      <c r="AD42" s="53" t="s">
        <v>3</v>
      </c>
      <c r="AE42" s="53">
        <v>0</v>
      </c>
      <c r="AF42" s="53" t="s">
        <v>3</v>
      </c>
      <c r="AG42" s="53" t="s">
        <v>1252</v>
      </c>
      <c r="AH42" s="53" t="s">
        <v>1253</v>
      </c>
      <c r="AI42" s="53" t="s">
        <v>3</v>
      </c>
      <c r="AJ42" s="53">
        <v>0</v>
      </c>
      <c r="AK42" s="53" t="s">
        <v>3</v>
      </c>
      <c r="AL42" s="53" t="s">
        <v>1252</v>
      </c>
      <c r="AM42" s="53" t="s">
        <v>1253</v>
      </c>
      <c r="AN42" s="53" t="s">
        <v>3</v>
      </c>
      <c r="AO42" s="53">
        <v>0</v>
      </c>
      <c r="AP42" s="53" t="s">
        <v>3</v>
      </c>
      <c r="AQ42" s="53" t="s">
        <v>1252</v>
      </c>
      <c r="AR42" s="53" t="s">
        <v>1253</v>
      </c>
      <c r="AS42" s="53" t="s">
        <v>3</v>
      </c>
      <c r="AT42" s="53"/>
      <c r="AU42" s="53"/>
      <c r="AV42" s="53"/>
      <c r="AW42" s="53" t="s">
        <v>1761</v>
      </c>
    </row>
    <row r="43" spans="1:49" ht="30" customHeight="1" x14ac:dyDescent="0.3">
      <c r="A43" s="48" t="s">
        <v>1305</v>
      </c>
      <c r="B43" s="44" t="str">
        <f t="shared" si="0"/>
        <v>2</v>
      </c>
      <c r="C43" s="44" t="str">
        <f t="shared" si="1"/>
        <v>2</v>
      </c>
      <c r="D43" s="52" t="s">
        <v>1902</v>
      </c>
      <c r="E43" s="52" t="s">
        <v>1515</v>
      </c>
      <c r="F43" s="45">
        <v>44528</v>
      </c>
      <c r="G43" s="53" t="s">
        <v>1388</v>
      </c>
      <c r="H43" s="53" t="s">
        <v>1457</v>
      </c>
      <c r="I43" s="53" t="s">
        <v>1146</v>
      </c>
      <c r="J43" s="53" t="s">
        <v>1848</v>
      </c>
      <c r="K43" s="53" t="s">
        <v>1903</v>
      </c>
      <c r="L43" s="53" t="s">
        <v>1504</v>
      </c>
      <c r="M43" s="53" t="s">
        <v>1904</v>
      </c>
      <c r="N43" s="53" t="s">
        <v>1141</v>
      </c>
      <c r="O43" s="53" t="s">
        <v>3</v>
      </c>
      <c r="P43" s="53" t="s">
        <v>3</v>
      </c>
      <c r="Q43" s="53" t="s">
        <v>1905</v>
      </c>
      <c r="R43" s="53" t="s">
        <v>1906</v>
      </c>
      <c r="S43" s="53" t="s">
        <v>3</v>
      </c>
      <c r="T43" s="53" t="s">
        <v>3</v>
      </c>
      <c r="U43" s="53" t="s">
        <v>1907</v>
      </c>
      <c r="V43" s="53">
        <v>3</v>
      </c>
      <c r="W43" s="53" t="s">
        <v>2522</v>
      </c>
      <c r="X43" s="53" t="s">
        <v>53</v>
      </c>
      <c r="Y43" s="53" t="s">
        <v>127</v>
      </c>
      <c r="Z43" s="53" t="s">
        <v>84</v>
      </c>
      <c r="AA43" s="53" t="s">
        <v>147</v>
      </c>
      <c r="AB43" s="53" t="s">
        <v>95</v>
      </c>
      <c r="AC43" s="53" t="s">
        <v>124</v>
      </c>
      <c r="AD43" s="53" t="s">
        <v>1907</v>
      </c>
      <c r="AE43" s="53" t="s">
        <v>1908</v>
      </c>
      <c r="AF43" s="53" t="s">
        <v>1251</v>
      </c>
      <c r="AG43" s="53" t="s">
        <v>1415</v>
      </c>
      <c r="AH43" s="53" t="s">
        <v>1416</v>
      </c>
      <c r="AI43" s="53" t="s">
        <v>3</v>
      </c>
      <c r="AJ43" s="53">
        <v>0</v>
      </c>
      <c r="AK43" s="53" t="s">
        <v>3</v>
      </c>
      <c r="AL43" s="53" t="s">
        <v>1252</v>
      </c>
      <c r="AM43" s="53" t="s">
        <v>1253</v>
      </c>
      <c r="AN43" s="53" t="s">
        <v>3</v>
      </c>
      <c r="AO43" s="53">
        <v>0</v>
      </c>
      <c r="AP43" s="53" t="s">
        <v>3</v>
      </c>
      <c r="AQ43" s="53" t="s">
        <v>1252</v>
      </c>
      <c r="AR43" s="53" t="s">
        <v>1253</v>
      </c>
      <c r="AS43" s="53" t="s">
        <v>3</v>
      </c>
      <c r="AT43" s="53"/>
      <c r="AU43" s="53"/>
      <c r="AV43" s="53"/>
      <c r="AW43" s="53" t="s">
        <v>1761</v>
      </c>
    </row>
    <row r="44" spans="1:49" ht="30" customHeight="1" x14ac:dyDescent="0.3">
      <c r="A44" s="48" t="s">
        <v>1306</v>
      </c>
      <c r="B44" s="44" t="str">
        <f t="shared" si="0"/>
        <v>2</v>
      </c>
      <c r="C44" s="44" t="str">
        <f t="shared" si="1"/>
        <v>2</v>
      </c>
      <c r="D44" s="52" t="s">
        <v>1909</v>
      </c>
      <c r="E44" s="52" t="s">
        <v>1487</v>
      </c>
      <c r="F44" s="45">
        <v>44531</v>
      </c>
      <c r="G44" s="53" t="s">
        <v>1140</v>
      </c>
      <c r="H44" s="53" t="s">
        <v>1462</v>
      </c>
      <c r="I44" s="53" t="s">
        <v>1383</v>
      </c>
      <c r="J44" s="53" t="s">
        <v>1848</v>
      </c>
      <c r="K44" s="53" t="s">
        <v>1910</v>
      </c>
      <c r="L44" s="53" t="s">
        <v>3</v>
      </c>
      <c r="M44" s="53" t="s">
        <v>1911</v>
      </c>
      <c r="N44" s="53" t="s">
        <v>3</v>
      </c>
      <c r="O44" s="53" t="s">
        <v>3</v>
      </c>
      <c r="P44" s="53" t="s">
        <v>3</v>
      </c>
      <c r="Q44" s="53" t="s">
        <v>1912</v>
      </c>
      <c r="R44" s="53" t="s">
        <v>1913</v>
      </c>
      <c r="S44" s="53" t="s">
        <v>1142</v>
      </c>
      <c r="T44" s="53" t="s">
        <v>3</v>
      </c>
      <c r="U44" s="53" t="s">
        <v>3</v>
      </c>
      <c r="V44" s="53" t="s">
        <v>1231</v>
      </c>
      <c r="W44" s="53" t="s">
        <v>2522</v>
      </c>
      <c r="X44" s="53" t="s">
        <v>53</v>
      </c>
      <c r="Y44" s="53" t="s">
        <v>127</v>
      </c>
      <c r="Z44" s="53" t="s">
        <v>51</v>
      </c>
      <c r="AA44" s="53" t="s">
        <v>1384</v>
      </c>
      <c r="AB44" s="53" t="s">
        <v>95</v>
      </c>
      <c r="AC44" s="53" t="s">
        <v>124</v>
      </c>
      <c r="AD44" s="53" t="s">
        <v>3</v>
      </c>
      <c r="AE44" s="53">
        <v>0</v>
      </c>
      <c r="AF44" s="53" t="s">
        <v>3</v>
      </c>
      <c r="AG44" s="53" t="s">
        <v>1252</v>
      </c>
      <c r="AH44" s="53" t="s">
        <v>1253</v>
      </c>
      <c r="AI44" s="53" t="s">
        <v>3</v>
      </c>
      <c r="AJ44" s="53">
        <v>0</v>
      </c>
      <c r="AK44" s="53" t="s">
        <v>3</v>
      </c>
      <c r="AL44" s="53" t="s">
        <v>1252</v>
      </c>
      <c r="AM44" s="53" t="s">
        <v>1253</v>
      </c>
      <c r="AN44" s="53" t="s">
        <v>3</v>
      </c>
      <c r="AO44" s="53">
        <v>0</v>
      </c>
      <c r="AP44" s="53" t="s">
        <v>3</v>
      </c>
      <c r="AQ44" s="53" t="s">
        <v>1252</v>
      </c>
      <c r="AR44" s="53" t="s">
        <v>1253</v>
      </c>
      <c r="AS44" s="53" t="s">
        <v>3</v>
      </c>
      <c r="AT44" s="53"/>
      <c r="AU44" s="53"/>
      <c r="AV44" s="53"/>
      <c r="AW44" s="53" t="s">
        <v>1761</v>
      </c>
    </row>
    <row r="45" spans="1:49" ht="30" customHeight="1" x14ac:dyDescent="0.3">
      <c r="A45" s="48" t="s">
        <v>1584</v>
      </c>
      <c r="B45" s="44" t="str">
        <f t="shared" si="0"/>
        <v>2</v>
      </c>
      <c r="C45" s="44" t="str">
        <f t="shared" si="1"/>
        <v>2</v>
      </c>
      <c r="D45" s="52" t="s">
        <v>1914</v>
      </c>
      <c r="E45" s="52" t="s">
        <v>1487</v>
      </c>
      <c r="F45" s="45">
        <v>44720</v>
      </c>
      <c r="G45" s="53" t="s">
        <v>1140</v>
      </c>
      <c r="H45" s="53" t="s">
        <v>1915</v>
      </c>
      <c r="I45" s="53" t="s">
        <v>1146</v>
      </c>
      <c r="J45" s="53" t="s">
        <v>1848</v>
      </c>
      <c r="K45" s="53" t="s">
        <v>1389</v>
      </c>
      <c r="L45" s="53" t="s">
        <v>3</v>
      </c>
      <c r="M45" s="53" t="s">
        <v>3</v>
      </c>
      <c r="N45" s="53" t="s">
        <v>3</v>
      </c>
      <c r="O45" s="53" t="s">
        <v>3</v>
      </c>
      <c r="P45" s="53" t="s">
        <v>3</v>
      </c>
      <c r="Q45" s="53" t="s">
        <v>3</v>
      </c>
      <c r="R45" s="53" t="s">
        <v>3</v>
      </c>
      <c r="S45" s="53" t="s">
        <v>3</v>
      </c>
      <c r="T45" s="53" t="s">
        <v>3</v>
      </c>
      <c r="U45" s="53" t="s">
        <v>3</v>
      </c>
      <c r="V45" s="53" t="s">
        <v>1231</v>
      </c>
      <c r="W45" s="53" t="s">
        <v>2522</v>
      </c>
      <c r="X45" s="53" t="s">
        <v>48</v>
      </c>
      <c r="Y45" s="53" t="s">
        <v>105</v>
      </c>
      <c r="Z45" s="53" t="s">
        <v>51</v>
      </c>
      <c r="AA45" s="53" t="s">
        <v>1384</v>
      </c>
      <c r="AB45" s="53" t="s">
        <v>95</v>
      </c>
      <c r="AC45" s="53" t="s">
        <v>124</v>
      </c>
      <c r="AD45" s="53" t="s">
        <v>3</v>
      </c>
      <c r="AE45" s="53">
        <v>0</v>
      </c>
      <c r="AF45" s="53" t="s">
        <v>3</v>
      </c>
      <c r="AG45" s="53" t="s">
        <v>1252</v>
      </c>
      <c r="AH45" s="53" t="s">
        <v>1253</v>
      </c>
      <c r="AI45" s="53" t="s">
        <v>3</v>
      </c>
      <c r="AJ45" s="53">
        <v>0</v>
      </c>
      <c r="AK45" s="53" t="s">
        <v>3</v>
      </c>
      <c r="AL45" s="53" t="s">
        <v>1252</v>
      </c>
      <c r="AM45" s="53" t="s">
        <v>1253</v>
      </c>
      <c r="AN45" s="53" t="s">
        <v>3</v>
      </c>
      <c r="AO45" s="53">
        <v>0</v>
      </c>
      <c r="AP45" s="53" t="s">
        <v>3</v>
      </c>
      <c r="AQ45" s="53" t="s">
        <v>1252</v>
      </c>
      <c r="AR45" s="53" t="s">
        <v>1253</v>
      </c>
      <c r="AS45" s="53" t="s">
        <v>3</v>
      </c>
      <c r="AT45" s="53"/>
      <c r="AU45" s="53"/>
      <c r="AV45" s="53"/>
      <c r="AW45" s="53" t="s">
        <v>1761</v>
      </c>
    </row>
    <row r="46" spans="1:49" ht="30" customHeight="1" x14ac:dyDescent="0.3">
      <c r="A46" s="48" t="s">
        <v>1307</v>
      </c>
      <c r="B46" s="44" t="str">
        <f t="shared" si="0"/>
        <v>2</v>
      </c>
      <c r="C46" s="44" t="str">
        <f t="shared" si="1"/>
        <v>2</v>
      </c>
      <c r="D46" s="52" t="s">
        <v>1916</v>
      </c>
      <c r="E46" s="52" t="s">
        <v>1876</v>
      </c>
      <c r="F46" s="45">
        <v>43565</v>
      </c>
      <c r="G46" s="53" t="s">
        <v>1388</v>
      </c>
      <c r="H46" s="53" t="s">
        <v>1516</v>
      </c>
      <c r="I46" s="53" t="s">
        <v>1383</v>
      </c>
      <c r="J46" s="53" t="s">
        <v>1848</v>
      </c>
      <c r="K46" s="53" t="s">
        <v>1389</v>
      </c>
      <c r="L46" s="53" t="s">
        <v>3</v>
      </c>
      <c r="M46" s="53" t="s">
        <v>3</v>
      </c>
      <c r="N46" s="53" t="s">
        <v>3</v>
      </c>
      <c r="O46" s="53" t="s">
        <v>3</v>
      </c>
      <c r="P46" s="53" t="s">
        <v>3</v>
      </c>
      <c r="Q46" s="53" t="s">
        <v>3</v>
      </c>
      <c r="R46" s="53" t="s">
        <v>3</v>
      </c>
      <c r="S46" s="53" t="s">
        <v>3</v>
      </c>
      <c r="T46" s="53" t="s">
        <v>3</v>
      </c>
      <c r="U46" s="53" t="s">
        <v>3</v>
      </c>
      <c r="V46" s="53">
        <v>1</v>
      </c>
      <c r="W46" s="53" t="s">
        <v>2522</v>
      </c>
      <c r="X46" s="53" t="s">
        <v>48</v>
      </c>
      <c r="Y46" s="53" t="s">
        <v>105</v>
      </c>
      <c r="Z46" s="53" t="s">
        <v>51</v>
      </c>
      <c r="AA46" s="53" t="s">
        <v>1384</v>
      </c>
      <c r="AB46" s="53" t="s">
        <v>95</v>
      </c>
      <c r="AC46" s="53" t="s">
        <v>124</v>
      </c>
      <c r="AD46" s="53" t="s">
        <v>3</v>
      </c>
      <c r="AE46" s="53">
        <v>0</v>
      </c>
      <c r="AF46" s="53" t="s">
        <v>3</v>
      </c>
      <c r="AG46" s="53" t="s">
        <v>1252</v>
      </c>
      <c r="AH46" s="53" t="s">
        <v>1253</v>
      </c>
      <c r="AI46" s="53" t="s">
        <v>3</v>
      </c>
      <c r="AJ46" s="53">
        <v>0</v>
      </c>
      <c r="AK46" s="53" t="s">
        <v>3</v>
      </c>
      <c r="AL46" s="53" t="s">
        <v>1252</v>
      </c>
      <c r="AM46" s="53" t="s">
        <v>1253</v>
      </c>
      <c r="AN46" s="53" t="s">
        <v>3</v>
      </c>
      <c r="AO46" s="53">
        <v>0</v>
      </c>
      <c r="AP46" s="53" t="s">
        <v>3</v>
      </c>
      <c r="AQ46" s="53" t="s">
        <v>1252</v>
      </c>
      <c r="AR46" s="53" t="s">
        <v>1253</v>
      </c>
      <c r="AS46" s="53" t="s">
        <v>3</v>
      </c>
      <c r="AT46" s="53"/>
      <c r="AU46" s="53"/>
      <c r="AV46" s="53"/>
      <c r="AW46" s="53" t="s">
        <v>1761</v>
      </c>
    </row>
    <row r="47" spans="1:49" ht="30" customHeight="1" x14ac:dyDescent="0.3">
      <c r="A47" s="48" t="s">
        <v>1308</v>
      </c>
      <c r="B47" s="44" t="str">
        <f t="shared" si="0"/>
        <v>2</v>
      </c>
      <c r="C47" s="44" t="str">
        <f t="shared" si="1"/>
        <v>2</v>
      </c>
      <c r="D47" s="52" t="s">
        <v>1917</v>
      </c>
      <c r="E47" s="52" t="s">
        <v>1876</v>
      </c>
      <c r="F47" s="45">
        <v>41172</v>
      </c>
      <c r="G47" s="53" t="s">
        <v>1388</v>
      </c>
      <c r="H47" s="53" t="s">
        <v>1425</v>
      </c>
      <c r="I47" s="53" t="s">
        <v>1146</v>
      </c>
      <c r="J47" s="53" t="s">
        <v>1848</v>
      </c>
      <c r="K47" s="53" t="s">
        <v>1389</v>
      </c>
      <c r="L47" s="53" t="s">
        <v>3</v>
      </c>
      <c r="M47" s="53" t="s">
        <v>3</v>
      </c>
      <c r="N47" s="53" t="s">
        <v>3</v>
      </c>
      <c r="O47" s="53" t="s">
        <v>3</v>
      </c>
      <c r="P47" s="53" t="s">
        <v>3</v>
      </c>
      <c r="Q47" s="53" t="s">
        <v>3</v>
      </c>
      <c r="R47" s="53" t="s">
        <v>3</v>
      </c>
      <c r="S47" s="53" t="s">
        <v>3</v>
      </c>
      <c r="T47" s="53" t="s">
        <v>3</v>
      </c>
      <c r="U47" s="53" t="s">
        <v>3</v>
      </c>
      <c r="V47" s="53">
        <v>1</v>
      </c>
      <c r="W47" s="53" t="s">
        <v>2522</v>
      </c>
      <c r="X47" s="53" t="s">
        <v>48</v>
      </c>
      <c r="Y47" s="53" t="s">
        <v>105</v>
      </c>
      <c r="Z47" s="53" t="s">
        <v>51</v>
      </c>
      <c r="AA47" s="53" t="s">
        <v>1384</v>
      </c>
      <c r="AB47" s="53" t="s">
        <v>95</v>
      </c>
      <c r="AC47" s="53" t="s">
        <v>124</v>
      </c>
      <c r="AD47" s="53" t="s">
        <v>3</v>
      </c>
      <c r="AE47" s="53">
        <v>0</v>
      </c>
      <c r="AF47" s="53" t="s">
        <v>3</v>
      </c>
      <c r="AG47" s="53" t="s">
        <v>1252</v>
      </c>
      <c r="AH47" s="53" t="s">
        <v>1253</v>
      </c>
      <c r="AI47" s="53" t="s">
        <v>3</v>
      </c>
      <c r="AJ47" s="53">
        <v>0</v>
      </c>
      <c r="AK47" s="53" t="s">
        <v>3</v>
      </c>
      <c r="AL47" s="53" t="s">
        <v>1252</v>
      </c>
      <c r="AM47" s="53" t="s">
        <v>1253</v>
      </c>
      <c r="AN47" s="53" t="s">
        <v>3</v>
      </c>
      <c r="AO47" s="53">
        <v>0</v>
      </c>
      <c r="AP47" s="53" t="s">
        <v>3</v>
      </c>
      <c r="AQ47" s="53" t="s">
        <v>1252</v>
      </c>
      <c r="AR47" s="53" t="s">
        <v>1253</v>
      </c>
      <c r="AS47" s="53" t="s">
        <v>3</v>
      </c>
      <c r="AT47" s="53"/>
      <c r="AU47" s="53"/>
      <c r="AV47" s="53"/>
      <c r="AW47" s="53" t="s">
        <v>1761</v>
      </c>
    </row>
    <row r="48" spans="1:49" ht="30" customHeight="1" x14ac:dyDescent="0.3">
      <c r="A48" s="48" t="s">
        <v>1585</v>
      </c>
      <c r="B48" s="44" t="str">
        <f t="shared" si="0"/>
        <v>2</v>
      </c>
      <c r="C48" s="44" t="str">
        <f t="shared" si="1"/>
        <v>2</v>
      </c>
      <c r="D48" s="52" t="s">
        <v>1918</v>
      </c>
      <c r="E48" s="52" t="s">
        <v>1876</v>
      </c>
      <c r="F48" s="45">
        <v>44483</v>
      </c>
      <c r="G48" s="53" t="s">
        <v>1388</v>
      </c>
      <c r="H48" s="53" t="s">
        <v>1425</v>
      </c>
      <c r="I48" s="53" t="s">
        <v>1146</v>
      </c>
      <c r="J48" s="53" t="s">
        <v>1848</v>
      </c>
      <c r="K48" s="53" t="s">
        <v>1389</v>
      </c>
      <c r="L48" s="53" t="s">
        <v>3</v>
      </c>
      <c r="M48" s="53" t="s">
        <v>3</v>
      </c>
      <c r="N48" s="53" t="s">
        <v>3</v>
      </c>
      <c r="O48" s="53" t="s">
        <v>3</v>
      </c>
      <c r="P48" s="53" t="s">
        <v>3</v>
      </c>
      <c r="Q48" s="53" t="s">
        <v>3</v>
      </c>
      <c r="R48" s="53" t="s">
        <v>3</v>
      </c>
      <c r="S48" s="53" t="s">
        <v>3</v>
      </c>
      <c r="T48" s="53" t="s">
        <v>3</v>
      </c>
      <c r="U48" s="53" t="s">
        <v>3</v>
      </c>
      <c r="V48" s="53">
        <v>1</v>
      </c>
      <c r="W48" s="53" t="s">
        <v>2522</v>
      </c>
      <c r="X48" s="53" t="s">
        <v>48</v>
      </c>
      <c r="Y48" s="53" t="s">
        <v>105</v>
      </c>
      <c r="Z48" s="53" t="s">
        <v>51</v>
      </c>
      <c r="AA48" s="53" t="s">
        <v>1384</v>
      </c>
      <c r="AB48" s="53" t="s">
        <v>95</v>
      </c>
      <c r="AC48" s="53" t="s">
        <v>124</v>
      </c>
      <c r="AD48" s="53" t="s">
        <v>3</v>
      </c>
      <c r="AE48" s="53">
        <v>0</v>
      </c>
      <c r="AF48" s="53" t="s">
        <v>3</v>
      </c>
      <c r="AG48" s="53" t="s">
        <v>1252</v>
      </c>
      <c r="AH48" s="53" t="s">
        <v>1253</v>
      </c>
      <c r="AI48" s="53" t="s">
        <v>3</v>
      </c>
      <c r="AJ48" s="53">
        <v>0</v>
      </c>
      <c r="AK48" s="53" t="s">
        <v>3</v>
      </c>
      <c r="AL48" s="53" t="s">
        <v>1252</v>
      </c>
      <c r="AM48" s="53" t="s">
        <v>1253</v>
      </c>
      <c r="AN48" s="53" t="s">
        <v>3</v>
      </c>
      <c r="AO48" s="53">
        <v>0</v>
      </c>
      <c r="AP48" s="53" t="s">
        <v>3</v>
      </c>
      <c r="AQ48" s="53" t="s">
        <v>1252</v>
      </c>
      <c r="AR48" s="53" t="s">
        <v>1253</v>
      </c>
      <c r="AS48" s="53" t="s">
        <v>3</v>
      </c>
      <c r="AT48" s="53"/>
      <c r="AU48" s="53"/>
      <c r="AV48" s="53"/>
      <c r="AW48" s="53" t="s">
        <v>1761</v>
      </c>
    </row>
    <row r="49" spans="1:49" ht="30" customHeight="1" x14ac:dyDescent="0.3">
      <c r="A49" s="48" t="s">
        <v>1586</v>
      </c>
      <c r="B49" s="44" t="str">
        <f t="shared" si="0"/>
        <v>2</v>
      </c>
      <c r="C49" s="44" t="str">
        <f t="shared" si="1"/>
        <v>2</v>
      </c>
      <c r="D49" s="52" t="s">
        <v>1919</v>
      </c>
      <c r="E49" s="52" t="s">
        <v>1487</v>
      </c>
      <c r="F49" s="45">
        <v>44904</v>
      </c>
      <c r="G49" s="53" t="s">
        <v>1388</v>
      </c>
      <c r="H49" s="53" t="s">
        <v>1425</v>
      </c>
      <c r="I49" s="53" t="s">
        <v>1146</v>
      </c>
      <c r="J49" s="53" t="s">
        <v>1848</v>
      </c>
      <c r="K49" s="53" t="s">
        <v>1389</v>
      </c>
      <c r="L49" s="53" t="s">
        <v>3</v>
      </c>
      <c r="M49" s="53" t="s">
        <v>3</v>
      </c>
      <c r="N49" s="53" t="s">
        <v>3</v>
      </c>
      <c r="O49" s="53" t="s">
        <v>3</v>
      </c>
      <c r="P49" s="53" t="s">
        <v>3</v>
      </c>
      <c r="Q49" s="53" t="s">
        <v>3</v>
      </c>
      <c r="R49" s="53" t="s">
        <v>3</v>
      </c>
      <c r="S49" s="53" t="s">
        <v>3</v>
      </c>
      <c r="T49" s="53" t="s">
        <v>3</v>
      </c>
      <c r="U49" s="53" t="s">
        <v>3</v>
      </c>
      <c r="V49" s="53" t="s">
        <v>1231</v>
      </c>
      <c r="W49" s="53" t="s">
        <v>2522</v>
      </c>
      <c r="X49" s="53" t="s">
        <v>48</v>
      </c>
      <c r="Y49" s="53" t="s">
        <v>105</v>
      </c>
      <c r="Z49" s="53" t="s">
        <v>51</v>
      </c>
      <c r="AA49" s="53" t="s">
        <v>1384</v>
      </c>
      <c r="AB49" s="53" t="s">
        <v>95</v>
      </c>
      <c r="AC49" s="53" t="s">
        <v>124</v>
      </c>
      <c r="AD49" s="53" t="s">
        <v>3</v>
      </c>
      <c r="AE49" s="53">
        <v>0</v>
      </c>
      <c r="AF49" s="53" t="s">
        <v>3</v>
      </c>
      <c r="AG49" s="53" t="s">
        <v>1252</v>
      </c>
      <c r="AH49" s="53" t="s">
        <v>1253</v>
      </c>
      <c r="AI49" s="53" t="s">
        <v>3</v>
      </c>
      <c r="AJ49" s="53">
        <v>0</v>
      </c>
      <c r="AK49" s="53" t="s">
        <v>3</v>
      </c>
      <c r="AL49" s="53" t="s">
        <v>1252</v>
      </c>
      <c r="AM49" s="53" t="s">
        <v>1253</v>
      </c>
      <c r="AN49" s="53" t="s">
        <v>3</v>
      </c>
      <c r="AO49" s="53">
        <v>0</v>
      </c>
      <c r="AP49" s="53" t="s">
        <v>3</v>
      </c>
      <c r="AQ49" s="53" t="s">
        <v>1252</v>
      </c>
      <c r="AR49" s="53" t="s">
        <v>1253</v>
      </c>
      <c r="AS49" s="53" t="s">
        <v>3</v>
      </c>
      <c r="AT49" s="53"/>
      <c r="AU49" s="53"/>
      <c r="AV49" s="53"/>
      <c r="AW49" s="53" t="s">
        <v>1761</v>
      </c>
    </row>
    <row r="50" spans="1:49" ht="30" customHeight="1" x14ac:dyDescent="0.3">
      <c r="A50" s="48" t="s">
        <v>1309</v>
      </c>
      <c r="B50" s="44" t="str">
        <f t="shared" si="0"/>
        <v>2</v>
      </c>
      <c r="C50" s="44" t="str">
        <f t="shared" si="1"/>
        <v>2</v>
      </c>
      <c r="D50" s="52" t="s">
        <v>1920</v>
      </c>
      <c r="E50" s="52" t="s">
        <v>1921</v>
      </c>
      <c r="F50" s="45">
        <v>41465</v>
      </c>
      <c r="G50" s="53" t="s">
        <v>1485</v>
      </c>
      <c r="H50" s="53" t="s">
        <v>1547</v>
      </c>
      <c r="I50" s="53" t="s">
        <v>1383</v>
      </c>
      <c r="J50" s="53" t="s">
        <v>1779</v>
      </c>
      <c r="K50" s="53" t="s">
        <v>1922</v>
      </c>
      <c r="L50" s="53" t="s">
        <v>3</v>
      </c>
      <c r="M50" s="53" t="s">
        <v>1923</v>
      </c>
      <c r="N50" s="53" t="s">
        <v>1141</v>
      </c>
      <c r="O50" s="53" t="s">
        <v>3</v>
      </c>
      <c r="P50" s="53" t="s">
        <v>3</v>
      </c>
      <c r="Q50" s="53" t="s">
        <v>1924</v>
      </c>
      <c r="R50" s="53" t="s">
        <v>1925</v>
      </c>
      <c r="S50" s="53" t="s">
        <v>1142</v>
      </c>
      <c r="T50" s="53" t="s">
        <v>1143</v>
      </c>
      <c r="U50" s="53" t="s">
        <v>1926</v>
      </c>
      <c r="V50" s="53">
        <v>3</v>
      </c>
      <c r="W50" s="53" t="s">
        <v>2521</v>
      </c>
      <c r="X50" s="53" t="s">
        <v>1385</v>
      </c>
      <c r="Y50" s="53" t="s">
        <v>1799</v>
      </c>
      <c r="Z50" s="53" t="s">
        <v>1419</v>
      </c>
      <c r="AA50" s="53" t="s">
        <v>2528</v>
      </c>
      <c r="AB50" s="53" t="s">
        <v>95</v>
      </c>
      <c r="AC50" s="53" t="s">
        <v>124</v>
      </c>
      <c r="AD50" s="53" t="s">
        <v>1927</v>
      </c>
      <c r="AE50" s="53" t="s">
        <v>1344</v>
      </c>
      <c r="AF50" s="53" t="s">
        <v>1928</v>
      </c>
      <c r="AG50" s="53" t="s">
        <v>1464</v>
      </c>
      <c r="AH50" s="53" t="s">
        <v>1465</v>
      </c>
      <c r="AI50" s="53" t="s">
        <v>1927</v>
      </c>
      <c r="AJ50" s="53">
        <v>100</v>
      </c>
      <c r="AK50" s="53" t="s">
        <v>1417</v>
      </c>
      <c r="AL50" s="53" t="s">
        <v>1444</v>
      </c>
      <c r="AM50" s="53" t="s">
        <v>1445</v>
      </c>
      <c r="AN50" s="53" t="s">
        <v>1927</v>
      </c>
      <c r="AO50" s="53">
        <v>100</v>
      </c>
      <c r="AP50" s="53" t="s">
        <v>1251</v>
      </c>
      <c r="AQ50" s="53" t="s">
        <v>1398</v>
      </c>
      <c r="AR50" s="53" t="s">
        <v>1399</v>
      </c>
      <c r="AS50" s="53" t="s">
        <v>3</v>
      </c>
      <c r="AT50" s="53"/>
      <c r="AU50" s="53"/>
      <c r="AV50" s="53"/>
      <c r="AW50" s="53" t="s">
        <v>1761</v>
      </c>
    </row>
    <row r="51" spans="1:49" ht="30" customHeight="1" x14ac:dyDescent="0.3">
      <c r="A51" s="48" t="s">
        <v>1587</v>
      </c>
      <c r="B51" s="44" t="str">
        <f t="shared" si="0"/>
        <v>2</v>
      </c>
      <c r="C51" s="44" t="str">
        <f t="shared" si="1"/>
        <v>2</v>
      </c>
      <c r="D51" s="52" t="s">
        <v>1929</v>
      </c>
      <c r="E51" s="52" t="s">
        <v>1487</v>
      </c>
      <c r="F51" s="45">
        <v>45072</v>
      </c>
      <c r="G51" s="53" t="s">
        <v>1388</v>
      </c>
      <c r="H51" s="53" t="s">
        <v>1425</v>
      </c>
      <c r="I51" s="53" t="s">
        <v>1146</v>
      </c>
      <c r="J51" s="53" t="s">
        <v>1848</v>
      </c>
      <c r="K51" s="53" t="s">
        <v>1535</v>
      </c>
      <c r="L51" s="53" t="s">
        <v>1476</v>
      </c>
      <c r="M51" s="53" t="s">
        <v>3</v>
      </c>
      <c r="N51" s="53" t="s">
        <v>3</v>
      </c>
      <c r="O51" s="53" t="s">
        <v>3</v>
      </c>
      <c r="P51" s="53" t="s">
        <v>3</v>
      </c>
      <c r="Q51" s="53" t="s">
        <v>1536</v>
      </c>
      <c r="R51" s="53" t="s">
        <v>1537</v>
      </c>
      <c r="S51" s="53" t="s">
        <v>3</v>
      </c>
      <c r="T51" s="53">
        <v>0</v>
      </c>
      <c r="U51" s="53" t="s">
        <v>1552</v>
      </c>
      <c r="V51" s="53" t="s">
        <v>1231</v>
      </c>
      <c r="W51" s="53" t="s">
        <v>2522</v>
      </c>
      <c r="X51" s="53" t="s">
        <v>48</v>
      </c>
      <c r="Y51" s="53" t="s">
        <v>105</v>
      </c>
      <c r="Z51" s="53" t="s">
        <v>51</v>
      </c>
      <c r="AA51" s="53" t="s">
        <v>1384</v>
      </c>
      <c r="AB51" s="53" t="s">
        <v>95</v>
      </c>
      <c r="AC51" s="53" t="s">
        <v>124</v>
      </c>
      <c r="AD51" s="53" t="s">
        <v>3</v>
      </c>
      <c r="AE51" s="53">
        <v>0</v>
      </c>
      <c r="AF51" s="53" t="s">
        <v>3</v>
      </c>
      <c r="AG51" s="53" t="s">
        <v>1252</v>
      </c>
      <c r="AH51" s="53" t="s">
        <v>1253</v>
      </c>
      <c r="AI51" s="53" t="s">
        <v>3</v>
      </c>
      <c r="AJ51" s="53">
        <v>0</v>
      </c>
      <c r="AK51" s="53" t="s">
        <v>3</v>
      </c>
      <c r="AL51" s="53" t="s">
        <v>1252</v>
      </c>
      <c r="AM51" s="53" t="s">
        <v>1253</v>
      </c>
      <c r="AN51" s="53" t="s">
        <v>3</v>
      </c>
      <c r="AO51" s="53">
        <v>0</v>
      </c>
      <c r="AP51" s="53" t="s">
        <v>3</v>
      </c>
      <c r="AQ51" s="53" t="s">
        <v>1252</v>
      </c>
      <c r="AR51" s="53" t="s">
        <v>1253</v>
      </c>
      <c r="AS51" s="53" t="s">
        <v>3</v>
      </c>
      <c r="AT51" s="53"/>
      <c r="AU51" s="53"/>
      <c r="AV51" s="53"/>
      <c r="AW51" s="53" t="s">
        <v>1761</v>
      </c>
    </row>
    <row r="52" spans="1:49" ht="30" customHeight="1" x14ac:dyDescent="0.3">
      <c r="A52" s="48" t="s">
        <v>1310</v>
      </c>
      <c r="B52" s="44" t="str">
        <f t="shared" si="0"/>
        <v>2</v>
      </c>
      <c r="C52" s="44" t="str">
        <f t="shared" si="1"/>
        <v>2</v>
      </c>
      <c r="D52" s="52" t="s">
        <v>1930</v>
      </c>
      <c r="E52" s="52" t="s">
        <v>1487</v>
      </c>
      <c r="F52" s="45">
        <v>45072</v>
      </c>
      <c r="G52" s="53" t="s">
        <v>1388</v>
      </c>
      <c r="H52" s="53" t="s">
        <v>1425</v>
      </c>
      <c r="I52" s="53" t="s">
        <v>1146</v>
      </c>
      <c r="J52" s="53" t="s">
        <v>1848</v>
      </c>
      <c r="K52" s="53" t="s">
        <v>1405</v>
      </c>
      <c r="L52" s="53" t="s">
        <v>1476</v>
      </c>
      <c r="M52" s="53" t="s">
        <v>1477</v>
      </c>
      <c r="N52" s="53" t="s">
        <v>3</v>
      </c>
      <c r="O52" s="53" t="s">
        <v>3</v>
      </c>
      <c r="P52" s="53" t="s">
        <v>3</v>
      </c>
      <c r="Q52" s="53" t="s">
        <v>1404</v>
      </c>
      <c r="R52" s="53" t="s">
        <v>1931</v>
      </c>
      <c r="S52" s="53" t="s">
        <v>3</v>
      </c>
      <c r="T52" s="53" t="s">
        <v>3</v>
      </c>
      <c r="U52" s="53" t="s">
        <v>3</v>
      </c>
      <c r="V52" s="53" t="s">
        <v>1231</v>
      </c>
      <c r="W52" s="53" t="s">
        <v>2522</v>
      </c>
      <c r="X52" s="53" t="s">
        <v>53</v>
      </c>
      <c r="Y52" s="53" t="s">
        <v>127</v>
      </c>
      <c r="Z52" s="53" t="s">
        <v>1419</v>
      </c>
      <c r="AA52" s="53" t="s">
        <v>2528</v>
      </c>
      <c r="AB52" s="53" t="s">
        <v>95</v>
      </c>
      <c r="AC52" s="53" t="s">
        <v>124</v>
      </c>
      <c r="AD52" s="53" t="s">
        <v>3</v>
      </c>
      <c r="AE52" s="53">
        <v>0</v>
      </c>
      <c r="AF52" s="53" t="s">
        <v>3</v>
      </c>
      <c r="AG52" s="53" t="s">
        <v>1252</v>
      </c>
      <c r="AH52" s="53" t="s">
        <v>1253</v>
      </c>
      <c r="AI52" s="53" t="s">
        <v>3</v>
      </c>
      <c r="AJ52" s="53">
        <v>0</v>
      </c>
      <c r="AK52" s="53" t="s">
        <v>3</v>
      </c>
      <c r="AL52" s="53" t="s">
        <v>1252</v>
      </c>
      <c r="AM52" s="53" t="s">
        <v>1253</v>
      </c>
      <c r="AN52" s="53" t="s">
        <v>3</v>
      </c>
      <c r="AO52" s="53">
        <v>0</v>
      </c>
      <c r="AP52" s="53" t="s">
        <v>3</v>
      </c>
      <c r="AQ52" s="53" t="s">
        <v>1252</v>
      </c>
      <c r="AR52" s="53" t="s">
        <v>1253</v>
      </c>
      <c r="AS52" s="53" t="s">
        <v>3</v>
      </c>
      <c r="AT52" s="53"/>
      <c r="AU52" s="53"/>
      <c r="AV52" s="53"/>
      <c r="AW52" s="53" t="s">
        <v>1761</v>
      </c>
    </row>
    <row r="53" spans="1:49" ht="30" customHeight="1" x14ac:dyDescent="0.3">
      <c r="A53" s="48" t="s">
        <v>1311</v>
      </c>
      <c r="B53" s="44" t="str">
        <f t="shared" si="0"/>
        <v>2</v>
      </c>
      <c r="C53" s="44" t="str">
        <f t="shared" si="1"/>
        <v>2</v>
      </c>
      <c r="D53" s="52" t="s">
        <v>1932</v>
      </c>
      <c r="E53" s="52" t="s">
        <v>1933</v>
      </c>
      <c r="F53" s="45">
        <v>45100</v>
      </c>
      <c r="G53" s="53" t="s">
        <v>1388</v>
      </c>
      <c r="H53" s="53" t="s">
        <v>1516</v>
      </c>
      <c r="I53" s="53" t="s">
        <v>1146</v>
      </c>
      <c r="J53" s="53" t="s">
        <v>1934</v>
      </c>
      <c r="K53" s="53" t="s">
        <v>1402</v>
      </c>
      <c r="L53" s="53" t="s">
        <v>1403</v>
      </c>
      <c r="M53" s="53" t="s">
        <v>1513</v>
      </c>
      <c r="N53" s="53" t="s">
        <v>1413</v>
      </c>
      <c r="O53" s="53" t="s">
        <v>1468</v>
      </c>
      <c r="P53" s="53" t="s">
        <v>3</v>
      </c>
      <c r="Q53" s="53" t="s">
        <v>1935</v>
      </c>
      <c r="R53" s="53" t="s">
        <v>1936</v>
      </c>
      <c r="S53" s="53" t="s">
        <v>1526</v>
      </c>
      <c r="T53" s="53" t="s">
        <v>3</v>
      </c>
      <c r="U53" s="53" t="s">
        <v>1937</v>
      </c>
      <c r="V53" s="53">
        <v>2</v>
      </c>
      <c r="W53" s="53" t="s">
        <v>2521</v>
      </c>
      <c r="X53" s="53" t="s">
        <v>48</v>
      </c>
      <c r="Y53" s="53" t="s">
        <v>105</v>
      </c>
      <c r="Z53" s="53" t="s">
        <v>51</v>
      </c>
      <c r="AA53" s="53" t="s">
        <v>1384</v>
      </c>
      <c r="AB53" s="53" t="s">
        <v>96</v>
      </c>
      <c r="AC53" s="53" t="s">
        <v>148</v>
      </c>
      <c r="AD53" s="53" t="s">
        <v>1938</v>
      </c>
      <c r="AE53" s="53" t="s">
        <v>1939</v>
      </c>
      <c r="AF53" s="53" t="s">
        <v>1251</v>
      </c>
      <c r="AG53" s="53" t="s">
        <v>1859</v>
      </c>
      <c r="AH53" s="53" t="s">
        <v>1860</v>
      </c>
      <c r="AI53" s="53" t="s">
        <v>3</v>
      </c>
      <c r="AJ53" s="53">
        <v>0</v>
      </c>
      <c r="AK53" s="53" t="s">
        <v>3</v>
      </c>
      <c r="AL53" s="53" t="s">
        <v>1252</v>
      </c>
      <c r="AM53" s="53" t="s">
        <v>1253</v>
      </c>
      <c r="AN53" s="53" t="s">
        <v>3</v>
      </c>
      <c r="AO53" s="53">
        <v>0</v>
      </c>
      <c r="AP53" s="53" t="s">
        <v>3</v>
      </c>
      <c r="AQ53" s="53" t="s">
        <v>1252</v>
      </c>
      <c r="AR53" s="53" t="s">
        <v>1253</v>
      </c>
      <c r="AS53" s="53">
        <v>24</v>
      </c>
      <c r="AT53" s="53"/>
      <c r="AU53" s="53"/>
      <c r="AV53" s="53"/>
      <c r="AW53" s="53" t="s">
        <v>1761</v>
      </c>
    </row>
    <row r="54" spans="1:49" ht="30" customHeight="1" x14ac:dyDescent="0.3">
      <c r="A54" s="48" t="s">
        <v>1312</v>
      </c>
      <c r="B54" s="44" t="str">
        <f t="shared" si="0"/>
        <v>2</v>
      </c>
      <c r="C54" s="44" t="str">
        <f t="shared" si="1"/>
        <v>2</v>
      </c>
      <c r="D54" s="52" t="s">
        <v>1940</v>
      </c>
      <c r="E54" s="52" t="s">
        <v>1941</v>
      </c>
      <c r="F54" s="45">
        <v>45007</v>
      </c>
      <c r="G54" s="53" t="s">
        <v>1388</v>
      </c>
      <c r="H54" s="53" t="s">
        <v>1425</v>
      </c>
      <c r="I54" s="53" t="s">
        <v>1146</v>
      </c>
      <c r="J54" s="53" t="s">
        <v>1848</v>
      </c>
      <c r="K54" s="53" t="s">
        <v>1426</v>
      </c>
      <c r="L54" s="53" t="s">
        <v>1427</v>
      </c>
      <c r="M54" s="53" t="s">
        <v>1428</v>
      </c>
      <c r="N54" s="53" t="s">
        <v>3</v>
      </c>
      <c r="O54" s="53" t="s">
        <v>3</v>
      </c>
      <c r="P54" s="53" t="s">
        <v>3</v>
      </c>
      <c r="Q54" s="53" t="s">
        <v>1429</v>
      </c>
      <c r="R54" s="53" t="s">
        <v>1942</v>
      </c>
      <c r="S54" s="53" t="s">
        <v>1943</v>
      </c>
      <c r="T54" s="53" t="s">
        <v>1143</v>
      </c>
      <c r="U54" s="53" t="s">
        <v>1479</v>
      </c>
      <c r="V54" s="53">
        <v>3</v>
      </c>
      <c r="W54" s="53" t="s">
        <v>2522</v>
      </c>
      <c r="X54" s="53" t="s">
        <v>48</v>
      </c>
      <c r="Y54" s="53" t="s">
        <v>105</v>
      </c>
      <c r="Z54" s="53" t="s">
        <v>51</v>
      </c>
      <c r="AA54" s="53" t="s">
        <v>1384</v>
      </c>
      <c r="AB54" s="53" t="s">
        <v>95</v>
      </c>
      <c r="AC54" s="53" t="s">
        <v>124</v>
      </c>
      <c r="AD54" s="53" t="s">
        <v>1534</v>
      </c>
      <c r="AE54" s="53" t="s">
        <v>1944</v>
      </c>
      <c r="AF54" s="53" t="s">
        <v>1417</v>
      </c>
      <c r="AG54" s="53" t="s">
        <v>1482</v>
      </c>
      <c r="AH54" s="53" t="s">
        <v>1483</v>
      </c>
      <c r="AI54" s="53" t="s">
        <v>1534</v>
      </c>
      <c r="AJ54" s="53">
        <v>0.1</v>
      </c>
      <c r="AK54" s="53" t="s">
        <v>1251</v>
      </c>
      <c r="AL54" s="53" t="s">
        <v>1398</v>
      </c>
      <c r="AM54" s="53" t="s">
        <v>1399</v>
      </c>
      <c r="AN54" s="53" t="s">
        <v>1534</v>
      </c>
      <c r="AO54" s="53">
        <v>0.1</v>
      </c>
      <c r="AP54" s="53" t="s">
        <v>1251</v>
      </c>
      <c r="AQ54" s="53" t="s">
        <v>1440</v>
      </c>
      <c r="AR54" s="53" t="s">
        <v>1441</v>
      </c>
      <c r="AS54" s="53">
        <v>13</v>
      </c>
      <c r="AT54" s="53"/>
      <c r="AU54" s="53"/>
      <c r="AV54" s="53"/>
      <c r="AW54" s="53" t="s">
        <v>1761</v>
      </c>
    </row>
    <row r="55" spans="1:49" ht="30" customHeight="1" x14ac:dyDescent="0.3">
      <c r="A55" s="48" t="s">
        <v>1588</v>
      </c>
      <c r="B55" s="44" t="str">
        <f t="shared" si="0"/>
        <v>2</v>
      </c>
      <c r="C55" s="44" t="str">
        <f t="shared" si="1"/>
        <v>2</v>
      </c>
      <c r="D55" s="52" t="s">
        <v>1945</v>
      </c>
      <c r="E55" s="52" t="s">
        <v>1876</v>
      </c>
      <c r="F55" s="45">
        <v>43585</v>
      </c>
      <c r="G55" s="53" t="s">
        <v>1388</v>
      </c>
      <c r="H55" s="53" t="s">
        <v>1425</v>
      </c>
      <c r="I55" s="53" t="s">
        <v>1146</v>
      </c>
      <c r="J55" s="53" t="s">
        <v>1848</v>
      </c>
      <c r="K55" s="53" t="s">
        <v>1946</v>
      </c>
      <c r="L55" s="53" t="s">
        <v>1476</v>
      </c>
      <c r="M55" s="53" t="s">
        <v>1947</v>
      </c>
      <c r="N55" s="53" t="s">
        <v>3</v>
      </c>
      <c r="O55" s="53" t="s">
        <v>3</v>
      </c>
      <c r="P55" s="53" t="s">
        <v>3</v>
      </c>
      <c r="Q55" s="53" t="s">
        <v>1396</v>
      </c>
      <c r="R55" s="53" t="s">
        <v>1948</v>
      </c>
      <c r="S55" s="53" t="s">
        <v>1142</v>
      </c>
      <c r="T55" s="53">
        <v>0</v>
      </c>
      <c r="U55" s="53" t="s">
        <v>1949</v>
      </c>
      <c r="V55" s="53">
        <v>1</v>
      </c>
      <c r="W55" s="53" t="s">
        <v>2522</v>
      </c>
      <c r="X55" s="53" t="s">
        <v>48</v>
      </c>
      <c r="Y55" s="53" t="s">
        <v>105</v>
      </c>
      <c r="Z55" s="53" t="s">
        <v>51</v>
      </c>
      <c r="AA55" s="53" t="s">
        <v>1384</v>
      </c>
      <c r="AB55" s="53" t="s">
        <v>95</v>
      </c>
      <c r="AC55" s="53" t="s">
        <v>124</v>
      </c>
      <c r="AD55" s="53" t="s">
        <v>3</v>
      </c>
      <c r="AE55" s="53">
        <v>0</v>
      </c>
      <c r="AF55" s="53" t="s">
        <v>3</v>
      </c>
      <c r="AG55" s="53" t="s">
        <v>1252</v>
      </c>
      <c r="AH55" s="53" t="s">
        <v>1253</v>
      </c>
      <c r="AI55" s="53" t="s">
        <v>3</v>
      </c>
      <c r="AJ55" s="53">
        <v>0</v>
      </c>
      <c r="AK55" s="53" t="s">
        <v>3</v>
      </c>
      <c r="AL55" s="53" t="s">
        <v>1252</v>
      </c>
      <c r="AM55" s="53" t="s">
        <v>1253</v>
      </c>
      <c r="AN55" s="53" t="s">
        <v>3</v>
      </c>
      <c r="AO55" s="53">
        <v>0</v>
      </c>
      <c r="AP55" s="53" t="s">
        <v>3</v>
      </c>
      <c r="AQ55" s="53" t="s">
        <v>1252</v>
      </c>
      <c r="AR55" s="53" t="s">
        <v>1253</v>
      </c>
      <c r="AS55" s="53" t="s">
        <v>3</v>
      </c>
      <c r="AT55" s="53"/>
      <c r="AU55" s="53"/>
      <c r="AV55" s="53"/>
      <c r="AW55" s="53" t="s">
        <v>1761</v>
      </c>
    </row>
    <row r="56" spans="1:49" ht="30" customHeight="1" x14ac:dyDescent="0.3">
      <c r="A56" s="48" t="s">
        <v>1313</v>
      </c>
      <c r="B56" s="44" t="str">
        <f t="shared" si="0"/>
        <v>2</v>
      </c>
      <c r="C56" s="44" t="str">
        <f t="shared" si="1"/>
        <v>2</v>
      </c>
      <c r="D56" s="52" t="s">
        <v>1950</v>
      </c>
      <c r="E56" s="52" t="s">
        <v>1951</v>
      </c>
      <c r="F56" s="45">
        <v>44589</v>
      </c>
      <c r="G56" s="53" t="s">
        <v>1388</v>
      </c>
      <c r="H56" s="53" t="s">
        <v>1527</v>
      </c>
      <c r="I56" s="53" t="s">
        <v>1146</v>
      </c>
      <c r="J56" s="53" t="s">
        <v>1779</v>
      </c>
      <c r="K56" s="53" t="s">
        <v>1405</v>
      </c>
      <c r="L56" s="53" t="s">
        <v>3</v>
      </c>
      <c r="M56" s="53" t="s">
        <v>1522</v>
      </c>
      <c r="N56" s="53" t="s">
        <v>3</v>
      </c>
      <c r="O56" s="53" t="s">
        <v>3</v>
      </c>
      <c r="P56" s="53" t="s">
        <v>3</v>
      </c>
      <c r="Q56" s="53" t="s">
        <v>1404</v>
      </c>
      <c r="R56" s="53" t="s">
        <v>1952</v>
      </c>
      <c r="S56" s="53" t="s">
        <v>3</v>
      </c>
      <c r="T56" s="53" t="s">
        <v>3</v>
      </c>
      <c r="U56" s="53" t="s">
        <v>3</v>
      </c>
      <c r="V56" s="53" t="s">
        <v>1231</v>
      </c>
      <c r="W56" s="53" t="s">
        <v>2520</v>
      </c>
      <c r="X56" s="53" t="s">
        <v>53</v>
      </c>
      <c r="Y56" s="53" t="s">
        <v>127</v>
      </c>
      <c r="Z56" s="53" t="s">
        <v>51</v>
      </c>
      <c r="AA56" s="53" t="s">
        <v>1384</v>
      </c>
      <c r="AB56" s="53" t="s">
        <v>95</v>
      </c>
      <c r="AC56" s="53" t="s">
        <v>124</v>
      </c>
      <c r="AD56" s="53" t="s">
        <v>3</v>
      </c>
      <c r="AE56" s="53">
        <v>0</v>
      </c>
      <c r="AF56" s="53" t="s">
        <v>3</v>
      </c>
      <c r="AG56" s="53" t="s">
        <v>1252</v>
      </c>
      <c r="AH56" s="53" t="s">
        <v>1253</v>
      </c>
      <c r="AI56" s="53" t="s">
        <v>3</v>
      </c>
      <c r="AJ56" s="53">
        <v>0</v>
      </c>
      <c r="AK56" s="53" t="s">
        <v>3</v>
      </c>
      <c r="AL56" s="53" t="s">
        <v>1252</v>
      </c>
      <c r="AM56" s="53" t="s">
        <v>1253</v>
      </c>
      <c r="AN56" s="53" t="s">
        <v>3</v>
      </c>
      <c r="AO56" s="53">
        <v>0</v>
      </c>
      <c r="AP56" s="53" t="s">
        <v>3</v>
      </c>
      <c r="AQ56" s="53" t="s">
        <v>1252</v>
      </c>
      <c r="AR56" s="53" t="s">
        <v>1253</v>
      </c>
      <c r="AS56" s="53">
        <v>100</v>
      </c>
      <c r="AT56" s="53"/>
      <c r="AU56" s="53"/>
      <c r="AV56" s="53"/>
      <c r="AW56" s="53" t="s">
        <v>1761</v>
      </c>
    </row>
    <row r="57" spans="1:49" ht="30" customHeight="1" x14ac:dyDescent="0.3">
      <c r="A57" s="48" t="s">
        <v>1314</v>
      </c>
      <c r="B57" s="44" t="str">
        <f t="shared" si="0"/>
        <v>2</v>
      </c>
      <c r="C57" s="44" t="str">
        <f t="shared" si="1"/>
        <v>2</v>
      </c>
      <c r="D57" s="52" t="s">
        <v>1953</v>
      </c>
      <c r="E57" s="52" t="s">
        <v>1876</v>
      </c>
      <c r="F57" s="45">
        <v>44732</v>
      </c>
      <c r="G57" s="53" t="s">
        <v>1388</v>
      </c>
      <c r="H57" s="53" t="s">
        <v>1425</v>
      </c>
      <c r="I57" s="53" t="s">
        <v>1146</v>
      </c>
      <c r="J57" s="53" t="s">
        <v>1848</v>
      </c>
      <c r="K57" s="53" t="s">
        <v>1535</v>
      </c>
      <c r="L57" s="53" t="s">
        <v>1476</v>
      </c>
      <c r="M57" s="53" t="s">
        <v>3</v>
      </c>
      <c r="N57" s="53" t="s">
        <v>3</v>
      </c>
      <c r="O57" s="53" t="s">
        <v>3</v>
      </c>
      <c r="P57" s="53" t="s">
        <v>3</v>
      </c>
      <c r="Q57" s="53" t="s">
        <v>1536</v>
      </c>
      <c r="R57" s="53" t="s">
        <v>1537</v>
      </c>
      <c r="S57" s="53" t="s">
        <v>3</v>
      </c>
      <c r="T57" s="53" t="s">
        <v>3</v>
      </c>
      <c r="U57" s="53" t="s">
        <v>1949</v>
      </c>
      <c r="V57" s="53">
        <v>1</v>
      </c>
      <c r="W57" s="53" t="s">
        <v>2522</v>
      </c>
      <c r="X57" s="53" t="s">
        <v>48</v>
      </c>
      <c r="Y57" s="53" t="s">
        <v>105</v>
      </c>
      <c r="Z57" s="53" t="s">
        <v>51</v>
      </c>
      <c r="AA57" s="53" t="s">
        <v>1384</v>
      </c>
      <c r="AB57" s="53" t="s">
        <v>95</v>
      </c>
      <c r="AC57" s="53" t="s">
        <v>124</v>
      </c>
      <c r="AD57" s="53" t="s">
        <v>3</v>
      </c>
      <c r="AE57" s="53">
        <v>0</v>
      </c>
      <c r="AF57" s="53" t="s">
        <v>3</v>
      </c>
      <c r="AG57" s="53" t="s">
        <v>1252</v>
      </c>
      <c r="AH57" s="53" t="s">
        <v>1253</v>
      </c>
      <c r="AI57" s="53" t="s">
        <v>3</v>
      </c>
      <c r="AJ57" s="53">
        <v>0</v>
      </c>
      <c r="AK57" s="53" t="s">
        <v>3</v>
      </c>
      <c r="AL57" s="53" t="s">
        <v>1252</v>
      </c>
      <c r="AM57" s="53" t="s">
        <v>1253</v>
      </c>
      <c r="AN57" s="53" t="s">
        <v>3</v>
      </c>
      <c r="AO57" s="53">
        <v>0</v>
      </c>
      <c r="AP57" s="53" t="s">
        <v>3</v>
      </c>
      <c r="AQ57" s="53" t="s">
        <v>1252</v>
      </c>
      <c r="AR57" s="53" t="s">
        <v>1253</v>
      </c>
      <c r="AS57" s="53" t="s">
        <v>3</v>
      </c>
      <c r="AT57" s="53"/>
      <c r="AU57" s="53"/>
      <c r="AV57" s="53"/>
      <c r="AW57" s="53" t="s">
        <v>1761</v>
      </c>
    </row>
    <row r="58" spans="1:49" ht="30" customHeight="1" x14ac:dyDescent="0.3">
      <c r="A58" s="48" t="s">
        <v>1315</v>
      </c>
      <c r="B58" s="44" t="str">
        <f t="shared" si="0"/>
        <v>2</v>
      </c>
      <c r="C58" s="44" t="str">
        <f t="shared" si="1"/>
        <v>2</v>
      </c>
      <c r="D58" s="52" t="s">
        <v>1954</v>
      </c>
      <c r="E58" s="52" t="s">
        <v>1876</v>
      </c>
      <c r="F58" s="45">
        <v>45378</v>
      </c>
      <c r="G58" s="53" t="s">
        <v>1388</v>
      </c>
      <c r="H58" s="53" t="s">
        <v>1425</v>
      </c>
      <c r="I58" s="53" t="s">
        <v>1146</v>
      </c>
      <c r="J58" s="53" t="s">
        <v>1848</v>
      </c>
      <c r="K58" s="53" t="s">
        <v>1405</v>
      </c>
      <c r="L58" s="53" t="s">
        <v>1476</v>
      </c>
      <c r="M58" s="53" t="s">
        <v>1477</v>
      </c>
      <c r="N58" s="53" t="s">
        <v>3</v>
      </c>
      <c r="O58" s="53" t="s">
        <v>3</v>
      </c>
      <c r="P58" s="53" t="s">
        <v>3</v>
      </c>
      <c r="Q58" s="53" t="s">
        <v>1523</v>
      </c>
      <c r="R58" s="53" t="s">
        <v>1475</v>
      </c>
      <c r="S58" s="53" t="s">
        <v>1142</v>
      </c>
      <c r="T58" s="53" t="s">
        <v>3</v>
      </c>
      <c r="U58" s="53" t="s">
        <v>3</v>
      </c>
      <c r="V58" s="53">
        <v>1</v>
      </c>
      <c r="W58" s="53" t="s">
        <v>2522</v>
      </c>
      <c r="X58" s="53" t="s">
        <v>53</v>
      </c>
      <c r="Y58" s="53" t="s">
        <v>127</v>
      </c>
      <c r="Z58" s="53" t="s">
        <v>1419</v>
      </c>
      <c r="AA58" s="53" t="s">
        <v>2528</v>
      </c>
      <c r="AB58" s="53" t="s">
        <v>95</v>
      </c>
      <c r="AC58" s="53" t="s">
        <v>124</v>
      </c>
      <c r="AD58" s="53" t="s">
        <v>3</v>
      </c>
      <c r="AE58" s="53">
        <v>0</v>
      </c>
      <c r="AF58" s="53" t="s">
        <v>3</v>
      </c>
      <c r="AG58" s="53" t="s">
        <v>1252</v>
      </c>
      <c r="AH58" s="53" t="s">
        <v>1253</v>
      </c>
      <c r="AI58" s="53" t="s">
        <v>3</v>
      </c>
      <c r="AJ58" s="53">
        <v>0</v>
      </c>
      <c r="AK58" s="53" t="s">
        <v>3</v>
      </c>
      <c r="AL58" s="53" t="s">
        <v>1252</v>
      </c>
      <c r="AM58" s="53" t="s">
        <v>1253</v>
      </c>
      <c r="AN58" s="53" t="s">
        <v>3</v>
      </c>
      <c r="AO58" s="53">
        <v>0</v>
      </c>
      <c r="AP58" s="53" t="s">
        <v>3</v>
      </c>
      <c r="AQ58" s="53" t="s">
        <v>1252</v>
      </c>
      <c r="AR58" s="53" t="s">
        <v>1253</v>
      </c>
      <c r="AS58" s="53" t="s">
        <v>3</v>
      </c>
      <c r="AT58" s="53"/>
      <c r="AU58" s="53"/>
      <c r="AV58" s="53"/>
      <c r="AW58" s="53" t="s">
        <v>1761</v>
      </c>
    </row>
    <row r="59" spans="1:49" ht="30" customHeight="1" x14ac:dyDescent="0.3">
      <c r="A59" s="48" t="s">
        <v>1316</v>
      </c>
      <c r="B59" s="44" t="str">
        <f t="shared" si="0"/>
        <v>2</v>
      </c>
      <c r="C59" s="44" t="str">
        <f t="shared" si="1"/>
        <v>2</v>
      </c>
      <c r="D59" s="52" t="s">
        <v>1955</v>
      </c>
      <c r="E59" s="52" t="s">
        <v>1876</v>
      </c>
      <c r="F59" s="45">
        <v>45334</v>
      </c>
      <c r="G59" s="53" t="s">
        <v>1388</v>
      </c>
      <c r="H59" s="53" t="s">
        <v>1425</v>
      </c>
      <c r="I59" s="53" t="s">
        <v>1146</v>
      </c>
      <c r="J59" s="53" t="s">
        <v>1848</v>
      </c>
      <c r="K59" s="53" t="s">
        <v>1405</v>
      </c>
      <c r="L59" s="53" t="s">
        <v>1476</v>
      </c>
      <c r="M59" s="53" t="s">
        <v>1477</v>
      </c>
      <c r="N59" s="53" t="s">
        <v>3</v>
      </c>
      <c r="O59" s="53" t="s">
        <v>3</v>
      </c>
      <c r="P59" s="53" t="s">
        <v>3</v>
      </c>
      <c r="Q59" s="53" t="s">
        <v>1523</v>
      </c>
      <c r="R59" s="53" t="s">
        <v>1475</v>
      </c>
      <c r="S59" s="53" t="s">
        <v>1142</v>
      </c>
      <c r="T59" s="53" t="s">
        <v>3</v>
      </c>
      <c r="U59" s="53" t="s">
        <v>3</v>
      </c>
      <c r="V59" s="53">
        <v>1</v>
      </c>
      <c r="W59" s="53" t="s">
        <v>2522</v>
      </c>
      <c r="X59" s="53" t="s">
        <v>53</v>
      </c>
      <c r="Y59" s="53" t="s">
        <v>127</v>
      </c>
      <c r="Z59" s="53" t="s">
        <v>1419</v>
      </c>
      <c r="AA59" s="53" t="s">
        <v>2528</v>
      </c>
      <c r="AB59" s="53" t="s">
        <v>95</v>
      </c>
      <c r="AC59" s="53" t="s">
        <v>124</v>
      </c>
      <c r="AD59" s="53" t="s">
        <v>3</v>
      </c>
      <c r="AE59" s="53">
        <v>0</v>
      </c>
      <c r="AF59" s="53" t="s">
        <v>3</v>
      </c>
      <c r="AG59" s="53" t="s">
        <v>1252</v>
      </c>
      <c r="AH59" s="53" t="s">
        <v>1253</v>
      </c>
      <c r="AI59" s="53" t="s">
        <v>3</v>
      </c>
      <c r="AJ59" s="53">
        <v>0</v>
      </c>
      <c r="AK59" s="53" t="s">
        <v>3</v>
      </c>
      <c r="AL59" s="53" t="s">
        <v>1252</v>
      </c>
      <c r="AM59" s="53" t="s">
        <v>1253</v>
      </c>
      <c r="AN59" s="53" t="s">
        <v>3</v>
      </c>
      <c r="AO59" s="53">
        <v>0</v>
      </c>
      <c r="AP59" s="53" t="s">
        <v>3</v>
      </c>
      <c r="AQ59" s="53" t="s">
        <v>1252</v>
      </c>
      <c r="AR59" s="53" t="s">
        <v>1253</v>
      </c>
      <c r="AS59" s="53" t="s">
        <v>3</v>
      </c>
      <c r="AT59" s="53"/>
      <c r="AU59" s="53"/>
      <c r="AV59" s="53"/>
      <c r="AW59" s="53" t="s">
        <v>1761</v>
      </c>
    </row>
    <row r="60" spans="1:49" ht="30" customHeight="1" x14ac:dyDescent="0.3">
      <c r="A60" s="48" t="s">
        <v>1589</v>
      </c>
      <c r="B60" s="44" t="str">
        <f t="shared" si="0"/>
        <v>2</v>
      </c>
      <c r="C60" s="44" t="str">
        <f t="shared" si="1"/>
        <v>2</v>
      </c>
      <c r="D60" s="52" t="s">
        <v>1956</v>
      </c>
      <c r="E60" s="52" t="s">
        <v>1957</v>
      </c>
      <c r="F60" s="45">
        <v>44349</v>
      </c>
      <c r="G60" s="53" t="s">
        <v>1388</v>
      </c>
      <c r="H60" s="53" t="s">
        <v>1958</v>
      </c>
      <c r="I60" s="53" t="s">
        <v>1146</v>
      </c>
      <c r="J60" s="53" t="s">
        <v>1959</v>
      </c>
      <c r="K60" s="53" t="s">
        <v>1960</v>
      </c>
      <c r="L60" s="53" t="s">
        <v>3</v>
      </c>
      <c r="M60" s="53" t="s">
        <v>1961</v>
      </c>
      <c r="N60" s="53" t="s">
        <v>1393</v>
      </c>
      <c r="O60" s="53" t="s">
        <v>3</v>
      </c>
      <c r="P60" s="53" t="s">
        <v>3</v>
      </c>
      <c r="Q60" s="53">
        <v>0</v>
      </c>
      <c r="R60" s="53" t="s">
        <v>1962</v>
      </c>
      <c r="S60" s="53" t="s">
        <v>1142</v>
      </c>
      <c r="T60" s="53" t="s">
        <v>1143</v>
      </c>
      <c r="U60" s="53" t="s">
        <v>1963</v>
      </c>
      <c r="V60" s="53">
        <v>3</v>
      </c>
      <c r="W60" s="53" t="s">
        <v>2520</v>
      </c>
      <c r="X60" s="53" t="s">
        <v>1385</v>
      </c>
      <c r="Y60" s="53" t="s">
        <v>1799</v>
      </c>
      <c r="Z60" s="53" t="s">
        <v>1419</v>
      </c>
      <c r="AA60" s="53" t="s">
        <v>2528</v>
      </c>
      <c r="AB60" s="53" t="s">
        <v>96</v>
      </c>
      <c r="AC60" s="53" t="s">
        <v>148</v>
      </c>
      <c r="AD60" s="53" t="s">
        <v>1964</v>
      </c>
      <c r="AE60" s="53" t="s">
        <v>1965</v>
      </c>
      <c r="AF60" s="53" t="s">
        <v>1928</v>
      </c>
      <c r="AG60" s="53" t="s">
        <v>1482</v>
      </c>
      <c r="AH60" s="53" t="s">
        <v>1483</v>
      </c>
      <c r="AI60" s="53" t="s">
        <v>1964</v>
      </c>
      <c r="AJ60" s="53" t="s">
        <v>1965</v>
      </c>
      <c r="AK60" s="53" t="s">
        <v>1417</v>
      </c>
      <c r="AL60" s="53" t="s">
        <v>1894</v>
      </c>
      <c r="AM60" s="53" t="s">
        <v>1895</v>
      </c>
      <c r="AN60" s="53" t="s">
        <v>1964</v>
      </c>
      <c r="AO60" s="53" t="s">
        <v>1965</v>
      </c>
      <c r="AP60" s="53" t="s">
        <v>1251</v>
      </c>
      <c r="AQ60" s="53" t="s">
        <v>1440</v>
      </c>
      <c r="AR60" s="53" t="s">
        <v>1441</v>
      </c>
      <c r="AS60" s="53" t="s">
        <v>3</v>
      </c>
      <c r="AT60" s="53"/>
      <c r="AU60" s="53"/>
      <c r="AV60" s="53"/>
      <c r="AW60" s="53" t="s">
        <v>1761</v>
      </c>
    </row>
    <row r="61" spans="1:49" ht="30" customHeight="1" x14ac:dyDescent="0.3">
      <c r="A61" s="48" t="s">
        <v>1317</v>
      </c>
      <c r="B61" s="44" t="str">
        <f t="shared" si="0"/>
        <v>2</v>
      </c>
      <c r="C61" s="44" t="str">
        <f t="shared" si="1"/>
        <v>2</v>
      </c>
      <c r="D61" s="52" t="s">
        <v>1966</v>
      </c>
      <c r="E61" s="52" t="s">
        <v>1487</v>
      </c>
      <c r="F61" s="45">
        <v>44432</v>
      </c>
      <c r="G61" s="53" t="s">
        <v>1388</v>
      </c>
      <c r="H61" s="53" t="s">
        <v>1425</v>
      </c>
      <c r="I61" s="53" t="s">
        <v>1383</v>
      </c>
      <c r="J61" s="53" t="s">
        <v>1848</v>
      </c>
      <c r="K61" s="53" t="s">
        <v>1405</v>
      </c>
      <c r="L61" s="53" t="s">
        <v>1476</v>
      </c>
      <c r="M61" s="53" t="s">
        <v>1477</v>
      </c>
      <c r="N61" s="53" t="s">
        <v>3</v>
      </c>
      <c r="O61" s="53" t="s">
        <v>3</v>
      </c>
      <c r="P61" s="53" t="s">
        <v>3</v>
      </c>
      <c r="Q61" s="53" t="s">
        <v>1404</v>
      </c>
      <c r="R61" s="53" t="s">
        <v>1967</v>
      </c>
      <c r="S61" s="53" t="s">
        <v>3</v>
      </c>
      <c r="T61" s="53" t="s">
        <v>3</v>
      </c>
      <c r="U61" s="53" t="s">
        <v>1543</v>
      </c>
      <c r="V61" s="53" t="s">
        <v>1231</v>
      </c>
      <c r="W61" s="53" t="s">
        <v>2522</v>
      </c>
      <c r="X61" s="53" t="s">
        <v>48</v>
      </c>
      <c r="Y61" s="53" t="s">
        <v>105</v>
      </c>
      <c r="Z61" s="53" t="s">
        <v>1419</v>
      </c>
      <c r="AA61" s="53" t="s">
        <v>2528</v>
      </c>
      <c r="AB61" s="53" t="s">
        <v>95</v>
      </c>
      <c r="AC61" s="53" t="s">
        <v>124</v>
      </c>
      <c r="AD61" s="53" t="s">
        <v>3</v>
      </c>
      <c r="AE61" s="53">
        <v>0</v>
      </c>
      <c r="AF61" s="53" t="s">
        <v>3</v>
      </c>
      <c r="AG61" s="53" t="s">
        <v>1252</v>
      </c>
      <c r="AH61" s="53" t="s">
        <v>1253</v>
      </c>
      <c r="AI61" s="53" t="s">
        <v>3</v>
      </c>
      <c r="AJ61" s="53">
        <v>0</v>
      </c>
      <c r="AK61" s="53" t="s">
        <v>3</v>
      </c>
      <c r="AL61" s="53" t="s">
        <v>1252</v>
      </c>
      <c r="AM61" s="53" t="s">
        <v>1253</v>
      </c>
      <c r="AN61" s="53" t="s">
        <v>3</v>
      </c>
      <c r="AO61" s="53">
        <v>0</v>
      </c>
      <c r="AP61" s="53" t="s">
        <v>3</v>
      </c>
      <c r="AQ61" s="53" t="s">
        <v>1252</v>
      </c>
      <c r="AR61" s="53" t="s">
        <v>1253</v>
      </c>
      <c r="AS61" s="53" t="s">
        <v>3</v>
      </c>
      <c r="AT61" s="53"/>
      <c r="AU61" s="53"/>
      <c r="AV61" s="53"/>
      <c r="AW61" s="53" t="s">
        <v>1761</v>
      </c>
    </row>
    <row r="62" spans="1:49" ht="30" customHeight="1" x14ac:dyDescent="0.3">
      <c r="A62" s="48" t="s">
        <v>1590</v>
      </c>
      <c r="B62" s="44" t="str">
        <f t="shared" si="0"/>
        <v>2</v>
      </c>
      <c r="C62" s="44" t="str">
        <f t="shared" si="1"/>
        <v>2</v>
      </c>
      <c r="D62" s="52" t="s">
        <v>1968</v>
      </c>
      <c r="E62" s="52" t="s">
        <v>1876</v>
      </c>
      <c r="F62" s="45" t="s">
        <v>1969</v>
      </c>
      <c r="G62" s="53" t="s">
        <v>1388</v>
      </c>
      <c r="H62" s="53" t="s">
        <v>1425</v>
      </c>
      <c r="I62" s="53" t="s">
        <v>1146</v>
      </c>
      <c r="J62" s="53" t="s">
        <v>1848</v>
      </c>
      <c r="K62" s="53" t="s">
        <v>1535</v>
      </c>
      <c r="L62" s="53" t="s">
        <v>1476</v>
      </c>
      <c r="M62" s="53">
        <v>0</v>
      </c>
      <c r="N62" s="53" t="s">
        <v>3</v>
      </c>
      <c r="O62" s="53" t="s">
        <v>3</v>
      </c>
      <c r="P62" s="53" t="s">
        <v>3</v>
      </c>
      <c r="Q62" s="53" t="s">
        <v>1536</v>
      </c>
      <c r="R62" s="53" t="s">
        <v>1537</v>
      </c>
      <c r="S62" s="53" t="s">
        <v>3</v>
      </c>
      <c r="T62" s="53" t="s">
        <v>3</v>
      </c>
      <c r="U62" s="53" t="s">
        <v>3</v>
      </c>
      <c r="V62" s="53" t="s">
        <v>1231</v>
      </c>
      <c r="W62" s="53" t="s">
        <v>2522</v>
      </c>
      <c r="X62" s="53" t="s">
        <v>48</v>
      </c>
      <c r="Y62" s="53" t="s">
        <v>105</v>
      </c>
      <c r="Z62" s="53" t="s">
        <v>51</v>
      </c>
      <c r="AA62" s="53" t="s">
        <v>1384</v>
      </c>
      <c r="AB62" s="53" t="s">
        <v>95</v>
      </c>
      <c r="AC62" s="53" t="s">
        <v>124</v>
      </c>
      <c r="AD62" s="53" t="s">
        <v>3</v>
      </c>
      <c r="AE62" s="53">
        <v>0</v>
      </c>
      <c r="AF62" s="53" t="s">
        <v>3</v>
      </c>
      <c r="AG62" s="53" t="s">
        <v>1252</v>
      </c>
      <c r="AH62" s="53" t="s">
        <v>1253</v>
      </c>
      <c r="AI62" s="53" t="s">
        <v>3</v>
      </c>
      <c r="AJ62" s="53">
        <v>0</v>
      </c>
      <c r="AK62" s="53" t="s">
        <v>3</v>
      </c>
      <c r="AL62" s="53" t="s">
        <v>1252</v>
      </c>
      <c r="AM62" s="53" t="s">
        <v>1253</v>
      </c>
      <c r="AN62" s="53" t="s">
        <v>3</v>
      </c>
      <c r="AO62" s="53">
        <v>0</v>
      </c>
      <c r="AP62" s="53" t="s">
        <v>3</v>
      </c>
      <c r="AQ62" s="53" t="s">
        <v>1252</v>
      </c>
      <c r="AR62" s="53" t="s">
        <v>1253</v>
      </c>
      <c r="AS62" s="53" t="s">
        <v>3</v>
      </c>
      <c r="AT62" s="53"/>
      <c r="AU62" s="53"/>
      <c r="AV62" s="53"/>
      <c r="AW62" s="53" t="s">
        <v>1761</v>
      </c>
    </row>
    <row r="63" spans="1:49" ht="30" customHeight="1" x14ac:dyDescent="0.3">
      <c r="A63" s="48" t="s">
        <v>1591</v>
      </c>
      <c r="B63" s="44" t="str">
        <f t="shared" si="0"/>
        <v>2</v>
      </c>
      <c r="C63" s="44" t="str">
        <f t="shared" si="1"/>
        <v>2</v>
      </c>
      <c r="D63" s="52" t="s">
        <v>1970</v>
      </c>
      <c r="E63" s="52" t="s">
        <v>1971</v>
      </c>
      <c r="F63" s="45">
        <v>43785</v>
      </c>
      <c r="G63" s="53" t="s">
        <v>1388</v>
      </c>
      <c r="H63" s="53" t="s">
        <v>1508</v>
      </c>
      <c r="I63" s="53" t="s">
        <v>1146</v>
      </c>
      <c r="J63" s="53" t="s">
        <v>1779</v>
      </c>
      <c r="K63" s="53" t="s">
        <v>1402</v>
      </c>
      <c r="L63" s="53" t="s">
        <v>1403</v>
      </c>
      <c r="M63" s="53" t="s">
        <v>1972</v>
      </c>
      <c r="N63" s="53">
        <v>0</v>
      </c>
      <c r="O63" s="53">
        <v>0</v>
      </c>
      <c r="P63" s="53">
        <v>0</v>
      </c>
      <c r="Q63" s="53" t="s">
        <v>1973</v>
      </c>
      <c r="R63" s="53" t="s">
        <v>1974</v>
      </c>
      <c r="S63" s="53">
        <v>0</v>
      </c>
      <c r="T63" s="53">
        <v>0</v>
      </c>
      <c r="U63" s="53" t="s">
        <v>1975</v>
      </c>
      <c r="V63" s="53">
        <v>2</v>
      </c>
      <c r="W63" s="53" t="s">
        <v>2521</v>
      </c>
      <c r="X63" s="53" t="s">
        <v>48</v>
      </c>
      <c r="Y63" s="53" t="s">
        <v>105</v>
      </c>
      <c r="Z63" s="53" t="s">
        <v>51</v>
      </c>
      <c r="AA63" s="53" t="s">
        <v>1384</v>
      </c>
      <c r="AB63" s="53" t="s">
        <v>96</v>
      </c>
      <c r="AC63" s="53" t="s">
        <v>148</v>
      </c>
      <c r="AD63" s="53" t="s">
        <v>3</v>
      </c>
      <c r="AE63" s="53">
        <v>0</v>
      </c>
      <c r="AF63" s="53" t="s">
        <v>3</v>
      </c>
      <c r="AG63" s="53" t="s">
        <v>1252</v>
      </c>
      <c r="AH63" s="53" t="s">
        <v>1253</v>
      </c>
      <c r="AI63" s="53" t="s">
        <v>3</v>
      </c>
      <c r="AJ63" s="53">
        <v>0</v>
      </c>
      <c r="AK63" s="53" t="s">
        <v>3</v>
      </c>
      <c r="AL63" s="53" t="s">
        <v>1252</v>
      </c>
      <c r="AM63" s="53" t="s">
        <v>1253</v>
      </c>
      <c r="AN63" s="53" t="s">
        <v>3</v>
      </c>
      <c r="AO63" s="53">
        <v>0</v>
      </c>
      <c r="AP63" s="53" t="s">
        <v>3</v>
      </c>
      <c r="AQ63" s="53" t="s">
        <v>1252</v>
      </c>
      <c r="AR63" s="53" t="s">
        <v>1253</v>
      </c>
      <c r="AS63" s="53">
        <v>49</v>
      </c>
      <c r="AT63" s="53"/>
      <c r="AU63" s="53"/>
      <c r="AV63" s="53"/>
      <c r="AW63" s="53" t="s">
        <v>1761</v>
      </c>
    </row>
    <row r="64" spans="1:49" ht="30" customHeight="1" x14ac:dyDescent="0.3">
      <c r="A64" s="48" t="s">
        <v>1318</v>
      </c>
      <c r="B64" s="44" t="str">
        <f t="shared" si="0"/>
        <v>2</v>
      </c>
      <c r="C64" s="44" t="str">
        <f t="shared" si="1"/>
        <v>2</v>
      </c>
      <c r="D64" s="52" t="s">
        <v>1976</v>
      </c>
      <c r="E64" s="52" t="s">
        <v>1487</v>
      </c>
      <c r="F64" s="45">
        <v>44747</v>
      </c>
      <c r="G64" s="53" t="s">
        <v>1388</v>
      </c>
      <c r="H64" s="53" t="s">
        <v>1425</v>
      </c>
      <c r="I64" s="53" t="s">
        <v>1146</v>
      </c>
      <c r="J64" s="53" t="s">
        <v>1848</v>
      </c>
      <c r="K64" s="53" t="s">
        <v>1524</v>
      </c>
      <c r="L64" s="53" t="s">
        <v>1476</v>
      </c>
      <c r="M64" s="53" t="s">
        <v>1477</v>
      </c>
      <c r="N64" s="53" t="s">
        <v>1141</v>
      </c>
      <c r="O64" s="53" t="s">
        <v>3</v>
      </c>
      <c r="P64" s="53" t="s">
        <v>3</v>
      </c>
      <c r="Q64" s="53" t="s">
        <v>1414</v>
      </c>
      <c r="R64" s="53" t="s">
        <v>1475</v>
      </c>
      <c r="S64" s="53" t="s">
        <v>3</v>
      </c>
      <c r="T64" s="53" t="s">
        <v>1143</v>
      </c>
      <c r="U64" s="53" t="s">
        <v>1977</v>
      </c>
      <c r="V64" s="53">
        <v>3</v>
      </c>
      <c r="W64" s="53" t="s">
        <v>2522</v>
      </c>
      <c r="X64" s="53" t="s">
        <v>48</v>
      </c>
      <c r="Y64" s="53" t="s">
        <v>105</v>
      </c>
      <c r="Z64" s="53" t="s">
        <v>51</v>
      </c>
      <c r="AA64" s="53" t="s">
        <v>1384</v>
      </c>
      <c r="AB64" s="53" t="s">
        <v>95</v>
      </c>
      <c r="AC64" s="53" t="s">
        <v>124</v>
      </c>
      <c r="AD64" s="53" t="s">
        <v>3</v>
      </c>
      <c r="AE64" s="53">
        <v>0</v>
      </c>
      <c r="AF64" s="53" t="s">
        <v>3</v>
      </c>
      <c r="AG64" s="53" t="s">
        <v>1252</v>
      </c>
      <c r="AH64" s="53" t="s">
        <v>1253</v>
      </c>
      <c r="AI64" s="53" t="s">
        <v>3</v>
      </c>
      <c r="AJ64" s="53">
        <v>0</v>
      </c>
      <c r="AK64" s="53" t="s">
        <v>3</v>
      </c>
      <c r="AL64" s="53" t="s">
        <v>1252</v>
      </c>
      <c r="AM64" s="53" t="s">
        <v>1253</v>
      </c>
      <c r="AN64" s="53" t="s">
        <v>3</v>
      </c>
      <c r="AO64" s="53">
        <v>0</v>
      </c>
      <c r="AP64" s="53" t="s">
        <v>3</v>
      </c>
      <c r="AQ64" s="53" t="s">
        <v>1252</v>
      </c>
      <c r="AR64" s="53" t="s">
        <v>1253</v>
      </c>
      <c r="AS64" s="53" t="s">
        <v>3</v>
      </c>
      <c r="AT64" s="53"/>
      <c r="AU64" s="53"/>
      <c r="AV64" s="53"/>
      <c r="AW64" s="53" t="s">
        <v>1761</v>
      </c>
    </row>
    <row r="65" spans="1:49" ht="30" customHeight="1" x14ac:dyDescent="0.3">
      <c r="A65" s="48" t="s">
        <v>1319</v>
      </c>
      <c r="B65" s="44" t="str">
        <f t="shared" si="0"/>
        <v>2</v>
      </c>
      <c r="C65" s="44" t="str">
        <f t="shared" si="1"/>
        <v>2</v>
      </c>
      <c r="D65" s="52" t="s">
        <v>1978</v>
      </c>
      <c r="E65" s="52" t="s">
        <v>1515</v>
      </c>
      <c r="F65" s="45">
        <v>44747</v>
      </c>
      <c r="G65" s="53" t="s">
        <v>1455</v>
      </c>
      <c r="H65" s="53" t="s">
        <v>1425</v>
      </c>
      <c r="I65" s="53" t="s">
        <v>1146</v>
      </c>
      <c r="J65" s="53" t="s">
        <v>1848</v>
      </c>
      <c r="K65" s="53" t="s">
        <v>1389</v>
      </c>
      <c r="L65" s="53" t="s">
        <v>3</v>
      </c>
      <c r="M65" s="53" t="s">
        <v>3</v>
      </c>
      <c r="N65" s="53" t="s">
        <v>3</v>
      </c>
      <c r="O65" s="53" t="s">
        <v>3</v>
      </c>
      <c r="P65" s="53" t="s">
        <v>3</v>
      </c>
      <c r="Q65" s="53" t="s">
        <v>3</v>
      </c>
      <c r="R65" s="53" t="s">
        <v>3</v>
      </c>
      <c r="S65" s="53" t="s">
        <v>3</v>
      </c>
      <c r="T65" s="53" t="s">
        <v>3</v>
      </c>
      <c r="U65" s="53" t="s">
        <v>3</v>
      </c>
      <c r="V65" s="53">
        <v>1</v>
      </c>
      <c r="W65" s="53" t="s">
        <v>2518</v>
      </c>
      <c r="X65" s="53" t="s">
        <v>48</v>
      </c>
      <c r="Y65" s="53" t="s">
        <v>105</v>
      </c>
      <c r="Z65" s="53" t="s">
        <v>51</v>
      </c>
      <c r="AA65" s="53" t="s">
        <v>1384</v>
      </c>
      <c r="AB65" s="53" t="s">
        <v>95</v>
      </c>
      <c r="AC65" s="53" t="s">
        <v>124</v>
      </c>
      <c r="AD65" s="53" t="s">
        <v>3</v>
      </c>
      <c r="AE65" s="53">
        <v>0</v>
      </c>
      <c r="AF65" s="53" t="s">
        <v>3</v>
      </c>
      <c r="AG65" s="53" t="s">
        <v>1252</v>
      </c>
      <c r="AH65" s="53" t="s">
        <v>1253</v>
      </c>
      <c r="AI65" s="53" t="s">
        <v>3</v>
      </c>
      <c r="AJ65" s="53">
        <v>0</v>
      </c>
      <c r="AK65" s="53" t="s">
        <v>3</v>
      </c>
      <c r="AL65" s="53" t="s">
        <v>1252</v>
      </c>
      <c r="AM65" s="53" t="s">
        <v>1253</v>
      </c>
      <c r="AN65" s="53" t="s">
        <v>3</v>
      </c>
      <c r="AO65" s="53">
        <v>0</v>
      </c>
      <c r="AP65" s="53" t="s">
        <v>3</v>
      </c>
      <c r="AQ65" s="53" t="s">
        <v>1252</v>
      </c>
      <c r="AR65" s="53" t="s">
        <v>1253</v>
      </c>
      <c r="AS65" s="53" t="s">
        <v>3</v>
      </c>
      <c r="AT65" s="53"/>
      <c r="AU65" s="53"/>
      <c r="AV65" s="53"/>
      <c r="AW65" s="53" t="s">
        <v>1761</v>
      </c>
    </row>
    <row r="66" spans="1:49" ht="30" customHeight="1" x14ac:dyDescent="0.3">
      <c r="A66" s="48" t="s">
        <v>1320</v>
      </c>
      <c r="B66" s="44" t="str">
        <f t="shared" si="0"/>
        <v>2</v>
      </c>
      <c r="C66" s="44" t="str">
        <f t="shared" si="1"/>
        <v>2</v>
      </c>
      <c r="D66" s="52" t="s">
        <v>1979</v>
      </c>
      <c r="E66" s="52" t="s">
        <v>1980</v>
      </c>
      <c r="F66" s="45">
        <v>42153</v>
      </c>
      <c r="G66" s="53" t="s">
        <v>1388</v>
      </c>
      <c r="H66" s="53" t="s">
        <v>1425</v>
      </c>
      <c r="I66" s="53" t="s">
        <v>1146</v>
      </c>
      <c r="J66" s="53" t="s">
        <v>1760</v>
      </c>
      <c r="K66" s="53" t="s">
        <v>1400</v>
      </c>
      <c r="L66" s="53" t="s">
        <v>3</v>
      </c>
      <c r="M66" s="53" t="s">
        <v>1428</v>
      </c>
      <c r="N66" s="53" t="s">
        <v>1413</v>
      </c>
      <c r="O66" s="53" t="s">
        <v>3</v>
      </c>
      <c r="P66" s="53" t="s">
        <v>3</v>
      </c>
      <c r="Q66" s="53" t="s">
        <v>1414</v>
      </c>
      <c r="R66" s="53" t="s">
        <v>1430</v>
      </c>
      <c r="S66" s="53" t="s">
        <v>3</v>
      </c>
      <c r="T66" s="53" t="s">
        <v>3</v>
      </c>
      <c r="U66" s="53" t="s">
        <v>3</v>
      </c>
      <c r="V66" s="53">
        <v>1</v>
      </c>
      <c r="W66" s="53" t="s">
        <v>2520</v>
      </c>
      <c r="X66" s="53" t="s">
        <v>48</v>
      </c>
      <c r="Y66" s="53" t="s">
        <v>105</v>
      </c>
      <c r="Z66" s="53" t="s">
        <v>51</v>
      </c>
      <c r="AA66" s="53" t="s">
        <v>1384</v>
      </c>
      <c r="AB66" s="53" t="s">
        <v>95</v>
      </c>
      <c r="AC66" s="53" t="s">
        <v>124</v>
      </c>
      <c r="AD66" s="53" t="s">
        <v>3</v>
      </c>
      <c r="AE66" s="53">
        <v>0</v>
      </c>
      <c r="AF66" s="53" t="s">
        <v>3</v>
      </c>
      <c r="AG66" s="53" t="s">
        <v>1252</v>
      </c>
      <c r="AH66" s="53" t="s">
        <v>1253</v>
      </c>
      <c r="AI66" s="53" t="s">
        <v>3</v>
      </c>
      <c r="AJ66" s="53">
        <v>0</v>
      </c>
      <c r="AK66" s="53" t="s">
        <v>3</v>
      </c>
      <c r="AL66" s="53" t="s">
        <v>1252</v>
      </c>
      <c r="AM66" s="53" t="s">
        <v>1253</v>
      </c>
      <c r="AN66" s="53" t="s">
        <v>3</v>
      </c>
      <c r="AO66" s="53">
        <v>0</v>
      </c>
      <c r="AP66" s="53" t="s">
        <v>3</v>
      </c>
      <c r="AQ66" s="53" t="s">
        <v>1252</v>
      </c>
      <c r="AR66" s="53" t="s">
        <v>1253</v>
      </c>
      <c r="AS66" s="53">
        <v>100</v>
      </c>
      <c r="AT66" s="53"/>
      <c r="AU66" s="53"/>
      <c r="AV66" s="53"/>
      <c r="AW66" s="53" t="s">
        <v>1761</v>
      </c>
    </row>
    <row r="67" spans="1:49" ht="30" customHeight="1" x14ac:dyDescent="0.3">
      <c r="A67" s="48" t="s">
        <v>1592</v>
      </c>
      <c r="B67" s="44" t="str">
        <f t="shared" si="0"/>
        <v>2</v>
      </c>
      <c r="C67" s="44" t="str">
        <f t="shared" si="1"/>
        <v>2</v>
      </c>
      <c r="D67" s="52" t="s">
        <v>1981</v>
      </c>
      <c r="E67" s="52" t="s">
        <v>1876</v>
      </c>
      <c r="F67" s="45">
        <v>44721</v>
      </c>
      <c r="G67" s="53" t="s">
        <v>1388</v>
      </c>
      <c r="H67" s="53" t="s">
        <v>1425</v>
      </c>
      <c r="I67" s="53" t="s">
        <v>1146</v>
      </c>
      <c r="J67" s="53" t="s">
        <v>1848</v>
      </c>
      <c r="K67" s="53" t="s">
        <v>1389</v>
      </c>
      <c r="L67" s="53" t="s">
        <v>3</v>
      </c>
      <c r="M67" s="53" t="s">
        <v>3</v>
      </c>
      <c r="N67" s="53" t="s">
        <v>3</v>
      </c>
      <c r="O67" s="53" t="s">
        <v>3</v>
      </c>
      <c r="P67" s="53" t="s">
        <v>3</v>
      </c>
      <c r="Q67" s="53" t="s">
        <v>3</v>
      </c>
      <c r="R67" s="53" t="s">
        <v>3</v>
      </c>
      <c r="S67" s="53" t="s">
        <v>3</v>
      </c>
      <c r="T67" s="53" t="s">
        <v>3</v>
      </c>
      <c r="U67" s="53" t="s">
        <v>3</v>
      </c>
      <c r="V67" s="53" t="s">
        <v>1231</v>
      </c>
      <c r="W67" s="53" t="s">
        <v>2518</v>
      </c>
      <c r="X67" s="53" t="s">
        <v>48</v>
      </c>
      <c r="Y67" s="53" t="s">
        <v>105</v>
      </c>
      <c r="Z67" s="53" t="s">
        <v>51</v>
      </c>
      <c r="AA67" s="53" t="s">
        <v>1384</v>
      </c>
      <c r="AB67" s="53" t="s">
        <v>95</v>
      </c>
      <c r="AC67" s="53" t="s">
        <v>124</v>
      </c>
      <c r="AD67" s="53" t="s">
        <v>3</v>
      </c>
      <c r="AE67" s="53">
        <v>0</v>
      </c>
      <c r="AF67" s="53" t="s">
        <v>3</v>
      </c>
      <c r="AG67" s="53" t="s">
        <v>1252</v>
      </c>
      <c r="AH67" s="53" t="s">
        <v>1253</v>
      </c>
      <c r="AI67" s="53" t="s">
        <v>3</v>
      </c>
      <c r="AJ67" s="53">
        <v>0</v>
      </c>
      <c r="AK67" s="53" t="s">
        <v>3</v>
      </c>
      <c r="AL67" s="53" t="s">
        <v>1252</v>
      </c>
      <c r="AM67" s="53" t="s">
        <v>1253</v>
      </c>
      <c r="AN67" s="53" t="s">
        <v>3</v>
      </c>
      <c r="AO67" s="53">
        <v>0</v>
      </c>
      <c r="AP67" s="53" t="s">
        <v>3</v>
      </c>
      <c r="AQ67" s="53" t="s">
        <v>1252</v>
      </c>
      <c r="AR67" s="53" t="s">
        <v>1253</v>
      </c>
      <c r="AS67" s="53" t="s">
        <v>3</v>
      </c>
      <c r="AT67" s="53"/>
      <c r="AU67" s="53"/>
      <c r="AV67" s="53"/>
      <c r="AW67" s="53" t="s">
        <v>1761</v>
      </c>
    </row>
    <row r="68" spans="1:49" ht="30" customHeight="1" x14ac:dyDescent="0.3">
      <c r="A68" s="48" t="s">
        <v>1593</v>
      </c>
      <c r="B68" s="44" t="str">
        <f t="shared" ref="B68:B131" si="2">HYPERLINK(CONCATENATE("..\SDB\SDB_",A68,".pdf"),"2")</f>
        <v>2</v>
      </c>
      <c r="C68" s="44" t="str">
        <f t="shared" ref="C68:C131" si="3">HYPERLINK("#"&amp;CONCATENATE(A68,"!B1"),"2")</f>
        <v>2</v>
      </c>
      <c r="D68" s="52" t="s">
        <v>1982</v>
      </c>
      <c r="E68" s="52" t="s">
        <v>1487</v>
      </c>
      <c r="F68" s="45">
        <v>44985</v>
      </c>
      <c r="G68" s="53" t="s">
        <v>1388</v>
      </c>
      <c r="H68" s="53" t="s">
        <v>1425</v>
      </c>
      <c r="I68" s="53" t="s">
        <v>1146</v>
      </c>
      <c r="J68" s="53" t="s">
        <v>1848</v>
      </c>
      <c r="K68" s="53" t="s">
        <v>1394</v>
      </c>
      <c r="L68" s="53" t="s">
        <v>3</v>
      </c>
      <c r="M68" s="53" t="s">
        <v>1983</v>
      </c>
      <c r="N68" s="53" t="s">
        <v>1413</v>
      </c>
      <c r="O68" s="53" t="s">
        <v>3</v>
      </c>
      <c r="P68" s="53" t="s">
        <v>3</v>
      </c>
      <c r="Q68" s="53" t="s">
        <v>1404</v>
      </c>
      <c r="R68" s="53" t="s">
        <v>1984</v>
      </c>
      <c r="S68" s="53" t="s">
        <v>3</v>
      </c>
      <c r="T68" s="53" t="s">
        <v>3</v>
      </c>
      <c r="U68" s="53" t="s">
        <v>3</v>
      </c>
      <c r="V68" s="53">
        <v>1</v>
      </c>
      <c r="W68" s="53" t="s">
        <v>2522</v>
      </c>
      <c r="X68" s="53" t="s">
        <v>48</v>
      </c>
      <c r="Y68" s="53" t="s">
        <v>105</v>
      </c>
      <c r="Z68" s="53" t="s">
        <v>51</v>
      </c>
      <c r="AA68" s="53" t="s">
        <v>1384</v>
      </c>
      <c r="AB68" s="53" t="s">
        <v>95</v>
      </c>
      <c r="AC68" s="53" t="s">
        <v>124</v>
      </c>
      <c r="AD68" s="53" t="s">
        <v>3</v>
      </c>
      <c r="AE68" s="53">
        <v>0</v>
      </c>
      <c r="AF68" s="53" t="s">
        <v>3</v>
      </c>
      <c r="AG68" s="53" t="s">
        <v>1252</v>
      </c>
      <c r="AH68" s="53" t="s">
        <v>1253</v>
      </c>
      <c r="AI68" s="53" t="s">
        <v>3</v>
      </c>
      <c r="AJ68" s="53">
        <v>0</v>
      </c>
      <c r="AK68" s="53" t="s">
        <v>3</v>
      </c>
      <c r="AL68" s="53" t="s">
        <v>1252</v>
      </c>
      <c r="AM68" s="53" t="s">
        <v>1253</v>
      </c>
      <c r="AN68" s="53" t="s">
        <v>3</v>
      </c>
      <c r="AO68" s="53">
        <v>0</v>
      </c>
      <c r="AP68" s="53" t="s">
        <v>3</v>
      </c>
      <c r="AQ68" s="53" t="s">
        <v>1252</v>
      </c>
      <c r="AR68" s="53" t="s">
        <v>1253</v>
      </c>
      <c r="AS68" s="53" t="s">
        <v>3</v>
      </c>
      <c r="AT68" s="53"/>
      <c r="AU68" s="53"/>
      <c r="AV68" s="53"/>
      <c r="AW68" s="53" t="s">
        <v>1761</v>
      </c>
    </row>
    <row r="69" spans="1:49" ht="30" customHeight="1" x14ac:dyDescent="0.3">
      <c r="A69" s="48" t="s">
        <v>1594</v>
      </c>
      <c r="B69" s="44" t="str">
        <f t="shared" si="2"/>
        <v>2</v>
      </c>
      <c r="C69" s="44" t="str">
        <f t="shared" si="3"/>
        <v>2</v>
      </c>
      <c r="D69" s="52" t="s">
        <v>1985</v>
      </c>
      <c r="E69" s="52" t="s">
        <v>1971</v>
      </c>
      <c r="F69" s="45">
        <v>43229</v>
      </c>
      <c r="G69" s="53" t="s">
        <v>1388</v>
      </c>
      <c r="H69" s="53" t="s">
        <v>1425</v>
      </c>
      <c r="I69" s="53" t="s">
        <v>1146</v>
      </c>
      <c r="J69" s="53" t="s">
        <v>1760</v>
      </c>
      <c r="K69" s="53" t="s">
        <v>1405</v>
      </c>
      <c r="L69" s="53" t="s">
        <v>3</v>
      </c>
      <c r="M69" s="53" t="s">
        <v>1525</v>
      </c>
      <c r="N69" s="53" t="s">
        <v>3</v>
      </c>
      <c r="O69" s="53" t="s">
        <v>3</v>
      </c>
      <c r="P69" s="53" t="s">
        <v>3</v>
      </c>
      <c r="Q69" s="53" t="s">
        <v>1401</v>
      </c>
      <c r="R69" s="53" t="s">
        <v>1986</v>
      </c>
      <c r="S69" s="53" t="s">
        <v>3</v>
      </c>
      <c r="T69" s="53" t="s">
        <v>3</v>
      </c>
      <c r="U69" s="53" t="s">
        <v>1987</v>
      </c>
      <c r="V69" s="53">
        <v>1</v>
      </c>
      <c r="W69" s="53" t="s">
        <v>2519</v>
      </c>
      <c r="X69" s="53" t="s">
        <v>86</v>
      </c>
      <c r="Y69" s="53" t="s">
        <v>152</v>
      </c>
      <c r="Z69" s="53" t="s">
        <v>1419</v>
      </c>
      <c r="AA69" s="53" t="s">
        <v>2528</v>
      </c>
      <c r="AB69" s="53" t="s">
        <v>95</v>
      </c>
      <c r="AC69" s="53" t="s">
        <v>124</v>
      </c>
      <c r="AD69" s="53" t="s">
        <v>3</v>
      </c>
      <c r="AE69" s="53">
        <v>0</v>
      </c>
      <c r="AF69" s="53" t="s">
        <v>3</v>
      </c>
      <c r="AG69" s="53" t="s">
        <v>1252</v>
      </c>
      <c r="AH69" s="53" t="s">
        <v>1253</v>
      </c>
      <c r="AI69" s="53" t="s">
        <v>3</v>
      </c>
      <c r="AJ69" s="53">
        <v>0</v>
      </c>
      <c r="AK69" s="53" t="s">
        <v>3</v>
      </c>
      <c r="AL69" s="53" t="s">
        <v>1252</v>
      </c>
      <c r="AM69" s="53" t="s">
        <v>1253</v>
      </c>
      <c r="AN69" s="53" t="s">
        <v>3</v>
      </c>
      <c r="AO69" s="53">
        <v>0</v>
      </c>
      <c r="AP69" s="53" t="s">
        <v>3</v>
      </c>
      <c r="AQ69" s="53" t="s">
        <v>1252</v>
      </c>
      <c r="AR69" s="53" t="s">
        <v>1253</v>
      </c>
      <c r="AS69" s="53" t="s">
        <v>3</v>
      </c>
      <c r="AT69" s="53"/>
      <c r="AU69" s="53"/>
      <c r="AV69" s="53"/>
      <c r="AW69" s="53" t="s">
        <v>1761</v>
      </c>
    </row>
    <row r="70" spans="1:49" ht="30" customHeight="1" x14ac:dyDescent="0.3">
      <c r="A70" s="48" t="s">
        <v>1321</v>
      </c>
      <c r="B70" s="44" t="str">
        <f t="shared" si="2"/>
        <v>2</v>
      </c>
      <c r="C70" s="44" t="str">
        <f t="shared" si="3"/>
        <v>2</v>
      </c>
      <c r="D70" s="52" t="s">
        <v>1988</v>
      </c>
      <c r="E70" s="52" t="s">
        <v>1971</v>
      </c>
      <c r="F70" s="45">
        <v>42543</v>
      </c>
      <c r="G70" s="53" t="s">
        <v>1388</v>
      </c>
      <c r="H70" s="53" t="s">
        <v>1508</v>
      </c>
      <c r="I70" s="53">
        <v>0</v>
      </c>
      <c r="J70" s="53" t="s">
        <v>1779</v>
      </c>
      <c r="K70" s="53" t="s">
        <v>1402</v>
      </c>
      <c r="L70" s="53" t="s">
        <v>1403</v>
      </c>
      <c r="M70" s="53" t="s">
        <v>1989</v>
      </c>
      <c r="N70" s="53" t="s">
        <v>3</v>
      </c>
      <c r="O70" s="53" t="s">
        <v>3</v>
      </c>
      <c r="P70" s="53" t="s">
        <v>3</v>
      </c>
      <c r="Q70" s="53" t="s">
        <v>1990</v>
      </c>
      <c r="R70" s="53" t="s">
        <v>1991</v>
      </c>
      <c r="S70" s="53" t="s">
        <v>3</v>
      </c>
      <c r="T70" s="53" t="s">
        <v>3</v>
      </c>
      <c r="U70" s="53" t="s">
        <v>1992</v>
      </c>
      <c r="V70" s="53">
        <v>2</v>
      </c>
      <c r="W70" s="53" t="s">
        <v>2520</v>
      </c>
      <c r="X70" s="53" t="s">
        <v>48</v>
      </c>
      <c r="Y70" s="53" t="s">
        <v>105</v>
      </c>
      <c r="Z70" s="53" t="s">
        <v>51</v>
      </c>
      <c r="AA70" s="53" t="s">
        <v>1384</v>
      </c>
      <c r="AB70" s="53" t="s">
        <v>96</v>
      </c>
      <c r="AC70" s="53" t="s">
        <v>148</v>
      </c>
      <c r="AD70" s="53">
        <v>0</v>
      </c>
      <c r="AE70" s="53">
        <v>0</v>
      </c>
      <c r="AF70" s="53">
        <v>0</v>
      </c>
      <c r="AG70" s="53">
        <v>0</v>
      </c>
      <c r="AH70" s="53" t="e">
        <v>#N/A</v>
      </c>
      <c r="AI70" s="53" t="s">
        <v>3</v>
      </c>
      <c r="AJ70" s="53">
        <v>0</v>
      </c>
      <c r="AK70" s="53" t="s">
        <v>3</v>
      </c>
      <c r="AL70" s="53" t="s">
        <v>1252</v>
      </c>
      <c r="AM70" s="53" t="s">
        <v>1253</v>
      </c>
      <c r="AN70" s="53" t="s">
        <v>3</v>
      </c>
      <c r="AO70" s="53">
        <v>0</v>
      </c>
      <c r="AP70" s="53" t="s">
        <v>3</v>
      </c>
      <c r="AQ70" s="53" t="s">
        <v>1252</v>
      </c>
      <c r="AR70" s="53" t="s">
        <v>1253</v>
      </c>
      <c r="AS70" s="53">
        <v>49</v>
      </c>
      <c r="AT70" s="53"/>
      <c r="AU70" s="53"/>
      <c r="AV70" s="53"/>
      <c r="AW70" s="53" t="s">
        <v>1761</v>
      </c>
    </row>
    <row r="71" spans="1:49" ht="30" customHeight="1" x14ac:dyDescent="0.3">
      <c r="A71" s="48" t="s">
        <v>1322</v>
      </c>
      <c r="B71" s="44" t="str">
        <f t="shared" si="2"/>
        <v>2</v>
      </c>
      <c r="C71" s="44" t="str">
        <f t="shared" si="3"/>
        <v>2</v>
      </c>
      <c r="D71" s="52" t="s">
        <v>1993</v>
      </c>
      <c r="E71" s="52" t="s">
        <v>1971</v>
      </c>
      <c r="F71" s="45">
        <v>41353</v>
      </c>
      <c r="G71" s="53" t="s">
        <v>1388</v>
      </c>
      <c r="H71" s="53" t="s">
        <v>1425</v>
      </c>
      <c r="I71" s="53" t="s">
        <v>1146</v>
      </c>
      <c r="J71" s="53" t="s">
        <v>1779</v>
      </c>
      <c r="K71" s="53" t="s">
        <v>1389</v>
      </c>
      <c r="L71" s="53" t="s">
        <v>3</v>
      </c>
      <c r="M71" s="53" t="s">
        <v>3</v>
      </c>
      <c r="N71" s="53" t="s">
        <v>3</v>
      </c>
      <c r="O71" s="53" t="s">
        <v>3</v>
      </c>
      <c r="P71" s="53" t="s">
        <v>3</v>
      </c>
      <c r="Q71" s="53" t="s">
        <v>3</v>
      </c>
      <c r="R71" s="53" t="s">
        <v>3</v>
      </c>
      <c r="S71" s="53" t="s">
        <v>3</v>
      </c>
      <c r="T71" s="53" t="s">
        <v>3</v>
      </c>
      <c r="U71" s="53" t="s">
        <v>3</v>
      </c>
      <c r="V71" s="53">
        <v>1</v>
      </c>
      <c r="W71" s="53" t="s">
        <v>2518</v>
      </c>
      <c r="X71" s="53" t="s">
        <v>48</v>
      </c>
      <c r="Y71" s="53" t="s">
        <v>105</v>
      </c>
      <c r="Z71" s="53" t="s">
        <v>51</v>
      </c>
      <c r="AA71" s="53" t="s">
        <v>1384</v>
      </c>
      <c r="AB71" s="53" t="s">
        <v>96</v>
      </c>
      <c r="AC71" s="53" t="s">
        <v>148</v>
      </c>
      <c r="AD71" s="53" t="s">
        <v>3</v>
      </c>
      <c r="AE71" s="53">
        <v>0</v>
      </c>
      <c r="AF71" s="53" t="s">
        <v>3</v>
      </c>
      <c r="AG71" s="53" t="s">
        <v>1252</v>
      </c>
      <c r="AH71" s="53" t="s">
        <v>1253</v>
      </c>
      <c r="AI71" s="53" t="s">
        <v>3</v>
      </c>
      <c r="AJ71" s="53">
        <v>0</v>
      </c>
      <c r="AK71" s="53" t="s">
        <v>3</v>
      </c>
      <c r="AL71" s="53" t="s">
        <v>1252</v>
      </c>
      <c r="AM71" s="53" t="s">
        <v>1253</v>
      </c>
      <c r="AN71" s="53" t="s">
        <v>3</v>
      </c>
      <c r="AO71" s="53">
        <v>0</v>
      </c>
      <c r="AP71" s="53" t="s">
        <v>3</v>
      </c>
      <c r="AQ71" s="53" t="s">
        <v>1252</v>
      </c>
      <c r="AR71" s="53" t="s">
        <v>1253</v>
      </c>
      <c r="AS71" s="53" t="s">
        <v>3</v>
      </c>
      <c r="AT71" s="53"/>
      <c r="AU71" s="53"/>
      <c r="AV71" s="53"/>
      <c r="AW71" s="53" t="s">
        <v>1761</v>
      </c>
    </row>
    <row r="72" spans="1:49" ht="30" customHeight="1" x14ac:dyDescent="0.3">
      <c r="A72" s="48" t="s">
        <v>1323</v>
      </c>
      <c r="B72" s="44" t="str">
        <f t="shared" si="2"/>
        <v>2</v>
      </c>
      <c r="C72" s="44" t="str">
        <f t="shared" si="3"/>
        <v>2</v>
      </c>
      <c r="D72" s="52" t="s">
        <v>1994</v>
      </c>
      <c r="E72" s="52" t="s">
        <v>1971</v>
      </c>
      <c r="F72" s="45">
        <v>43229</v>
      </c>
      <c r="G72" s="53" t="s">
        <v>1388</v>
      </c>
      <c r="H72" s="53" t="s">
        <v>1425</v>
      </c>
      <c r="I72" s="53">
        <v>0</v>
      </c>
      <c r="J72" s="53" t="s">
        <v>1760</v>
      </c>
      <c r="K72" s="53" t="s">
        <v>1405</v>
      </c>
      <c r="L72" s="53" t="s">
        <v>3</v>
      </c>
      <c r="M72" s="53" t="s">
        <v>1525</v>
      </c>
      <c r="N72" s="53" t="s">
        <v>3</v>
      </c>
      <c r="O72" s="53" t="s">
        <v>3</v>
      </c>
      <c r="P72" s="53" t="s">
        <v>3</v>
      </c>
      <c r="Q72" s="53" t="s">
        <v>1401</v>
      </c>
      <c r="R72" s="53" t="s">
        <v>1986</v>
      </c>
      <c r="S72" s="53">
        <v>0</v>
      </c>
      <c r="T72" s="53">
        <v>0</v>
      </c>
      <c r="U72" s="53" t="s">
        <v>1987</v>
      </c>
      <c r="V72" s="53">
        <v>1</v>
      </c>
      <c r="W72" s="53" t="s">
        <v>2520</v>
      </c>
      <c r="X72" s="53" t="s">
        <v>86</v>
      </c>
      <c r="Y72" s="53" t="s">
        <v>152</v>
      </c>
      <c r="Z72" s="53" t="s">
        <v>1419</v>
      </c>
      <c r="AA72" s="53" t="s">
        <v>2528</v>
      </c>
      <c r="AB72" s="53" t="s">
        <v>95</v>
      </c>
      <c r="AC72" s="53" t="s">
        <v>124</v>
      </c>
      <c r="AD72" s="53">
        <v>0</v>
      </c>
      <c r="AE72" s="53">
        <v>0</v>
      </c>
      <c r="AF72" s="53">
        <v>0</v>
      </c>
      <c r="AG72" s="53">
        <v>0</v>
      </c>
      <c r="AH72" s="53" t="e">
        <v>#N/A</v>
      </c>
      <c r="AI72" s="53" t="s">
        <v>3</v>
      </c>
      <c r="AJ72" s="53">
        <v>0</v>
      </c>
      <c r="AK72" s="53" t="s">
        <v>3</v>
      </c>
      <c r="AL72" s="53" t="s">
        <v>1252</v>
      </c>
      <c r="AM72" s="53" t="s">
        <v>1253</v>
      </c>
      <c r="AN72" s="53" t="s">
        <v>3</v>
      </c>
      <c r="AO72" s="53">
        <v>0</v>
      </c>
      <c r="AP72" s="53" t="s">
        <v>3</v>
      </c>
      <c r="AQ72" s="53" t="s">
        <v>1252</v>
      </c>
      <c r="AR72" s="53" t="s">
        <v>1253</v>
      </c>
      <c r="AS72" s="53">
        <v>0</v>
      </c>
      <c r="AT72" s="53"/>
      <c r="AU72" s="53"/>
      <c r="AV72" s="53"/>
      <c r="AW72" s="53" t="s">
        <v>1761</v>
      </c>
    </row>
    <row r="73" spans="1:49" ht="30" customHeight="1" x14ac:dyDescent="0.3">
      <c r="A73" s="48" t="s">
        <v>1595</v>
      </c>
      <c r="B73" s="44" t="str">
        <f t="shared" si="2"/>
        <v>2</v>
      </c>
      <c r="C73" s="44" t="str">
        <f t="shared" si="3"/>
        <v>2</v>
      </c>
      <c r="D73" s="52" t="s">
        <v>1995</v>
      </c>
      <c r="E73" s="52" t="s">
        <v>1971</v>
      </c>
      <c r="F73" s="45">
        <v>42468</v>
      </c>
      <c r="G73" s="53" t="s">
        <v>1388</v>
      </c>
      <c r="H73" s="53" t="s">
        <v>1173</v>
      </c>
      <c r="I73" s="53" t="s">
        <v>1146</v>
      </c>
      <c r="J73" s="53" t="s">
        <v>1779</v>
      </c>
      <c r="K73" s="53" t="s">
        <v>1400</v>
      </c>
      <c r="L73" s="53" t="s">
        <v>3</v>
      </c>
      <c r="M73" s="53" t="s">
        <v>1428</v>
      </c>
      <c r="N73" s="53" t="s">
        <v>3</v>
      </c>
      <c r="O73" s="53" t="s">
        <v>3</v>
      </c>
      <c r="P73" s="53" t="s">
        <v>3</v>
      </c>
      <c r="Q73" s="53" t="s">
        <v>1401</v>
      </c>
      <c r="R73" s="53" t="s">
        <v>1430</v>
      </c>
      <c r="S73" s="53" t="s">
        <v>3</v>
      </c>
      <c r="T73" s="53" t="s">
        <v>3</v>
      </c>
      <c r="U73" s="53" t="s">
        <v>3</v>
      </c>
      <c r="V73" s="53">
        <v>1</v>
      </c>
      <c r="W73" s="53" t="s">
        <v>2521</v>
      </c>
      <c r="X73" s="53" t="s">
        <v>48</v>
      </c>
      <c r="Y73" s="53" t="s">
        <v>105</v>
      </c>
      <c r="Z73" s="53" t="s">
        <v>51</v>
      </c>
      <c r="AA73" s="53" t="s">
        <v>1384</v>
      </c>
      <c r="AB73" s="53" t="s">
        <v>95</v>
      </c>
      <c r="AC73" s="53" t="s">
        <v>124</v>
      </c>
      <c r="AD73" s="53" t="s">
        <v>3</v>
      </c>
      <c r="AE73" s="53">
        <v>0</v>
      </c>
      <c r="AF73" s="53" t="s">
        <v>3</v>
      </c>
      <c r="AG73" s="53" t="s">
        <v>1252</v>
      </c>
      <c r="AH73" s="53" t="s">
        <v>1253</v>
      </c>
      <c r="AI73" s="53" t="s">
        <v>3</v>
      </c>
      <c r="AJ73" s="53">
        <v>0</v>
      </c>
      <c r="AK73" s="53" t="s">
        <v>3</v>
      </c>
      <c r="AL73" s="53" t="s">
        <v>1252</v>
      </c>
      <c r="AM73" s="53" t="s">
        <v>1253</v>
      </c>
      <c r="AN73" s="53" t="s">
        <v>3</v>
      </c>
      <c r="AO73" s="53">
        <v>0</v>
      </c>
      <c r="AP73" s="53" t="s">
        <v>3</v>
      </c>
      <c r="AQ73" s="53" t="s">
        <v>1252</v>
      </c>
      <c r="AR73" s="53" t="s">
        <v>1253</v>
      </c>
      <c r="AS73" s="53" t="s">
        <v>3</v>
      </c>
      <c r="AT73" s="53"/>
      <c r="AU73" s="53"/>
      <c r="AV73" s="53"/>
      <c r="AW73" s="53" t="s">
        <v>1761</v>
      </c>
    </row>
    <row r="74" spans="1:49" ht="30" customHeight="1" x14ac:dyDescent="0.3">
      <c r="A74" s="48" t="s">
        <v>1596</v>
      </c>
      <c r="B74" s="44" t="str">
        <f t="shared" si="2"/>
        <v>2</v>
      </c>
      <c r="C74" s="44" t="str">
        <f t="shared" si="3"/>
        <v>2</v>
      </c>
      <c r="D74" s="52" t="s">
        <v>1996</v>
      </c>
      <c r="E74" s="52" t="s">
        <v>1997</v>
      </c>
      <c r="F74" s="45">
        <v>42453</v>
      </c>
      <c r="G74" s="53" t="s">
        <v>1388</v>
      </c>
      <c r="H74" s="53" t="s">
        <v>1492</v>
      </c>
      <c r="I74" s="53">
        <v>0</v>
      </c>
      <c r="J74" s="53" t="s">
        <v>1998</v>
      </c>
      <c r="K74" s="53" t="s">
        <v>1484</v>
      </c>
      <c r="L74" s="53" t="s">
        <v>3</v>
      </c>
      <c r="M74" s="53" t="s">
        <v>3</v>
      </c>
      <c r="N74" s="53" t="s">
        <v>1141</v>
      </c>
      <c r="O74" s="53" t="s">
        <v>3</v>
      </c>
      <c r="P74" s="53" t="s">
        <v>3</v>
      </c>
      <c r="Q74" s="53" t="s">
        <v>1999</v>
      </c>
      <c r="R74" s="53">
        <v>0</v>
      </c>
      <c r="S74" s="53" t="s">
        <v>3</v>
      </c>
      <c r="T74" s="53" t="s">
        <v>3</v>
      </c>
      <c r="U74" s="53" t="s">
        <v>3</v>
      </c>
      <c r="V74" s="53">
        <v>2</v>
      </c>
      <c r="W74" s="53" t="s">
        <v>2520</v>
      </c>
      <c r="X74" s="53" t="s">
        <v>48</v>
      </c>
      <c r="Y74" s="53" t="s">
        <v>105</v>
      </c>
      <c r="Z74" s="53" t="s">
        <v>51</v>
      </c>
      <c r="AA74" s="53" t="s">
        <v>1384</v>
      </c>
      <c r="AB74" s="53" t="s">
        <v>95</v>
      </c>
      <c r="AC74" s="53" t="s">
        <v>124</v>
      </c>
      <c r="AD74" s="53">
        <v>0</v>
      </c>
      <c r="AE74" s="53">
        <v>0</v>
      </c>
      <c r="AF74" s="53">
        <v>0</v>
      </c>
      <c r="AG74" s="53">
        <v>0</v>
      </c>
      <c r="AH74" s="53" t="e">
        <v>#N/A</v>
      </c>
      <c r="AI74" s="53" t="s">
        <v>3</v>
      </c>
      <c r="AJ74" s="53">
        <v>0</v>
      </c>
      <c r="AK74" s="53" t="s">
        <v>3</v>
      </c>
      <c r="AL74" s="53" t="s">
        <v>1252</v>
      </c>
      <c r="AM74" s="53" t="s">
        <v>1253</v>
      </c>
      <c r="AN74" s="53" t="s">
        <v>3</v>
      </c>
      <c r="AO74" s="53">
        <v>0</v>
      </c>
      <c r="AP74" s="53" t="s">
        <v>3</v>
      </c>
      <c r="AQ74" s="53" t="s">
        <v>1252</v>
      </c>
      <c r="AR74" s="53" t="s">
        <v>1253</v>
      </c>
      <c r="AS74" s="53" t="s">
        <v>3</v>
      </c>
      <c r="AT74" s="53"/>
      <c r="AU74" s="53"/>
      <c r="AV74" s="53"/>
      <c r="AW74" s="53" t="s">
        <v>1761</v>
      </c>
    </row>
    <row r="75" spans="1:49" ht="30" customHeight="1" x14ac:dyDescent="0.3">
      <c r="A75" s="48" t="s">
        <v>1597</v>
      </c>
      <c r="B75" s="44" t="str">
        <f t="shared" si="2"/>
        <v>2</v>
      </c>
      <c r="C75" s="44" t="str">
        <f t="shared" si="3"/>
        <v>2</v>
      </c>
      <c r="D75" s="52" t="s">
        <v>2000</v>
      </c>
      <c r="E75" s="52" t="s">
        <v>1531</v>
      </c>
      <c r="F75" s="45">
        <v>41934</v>
      </c>
      <c r="G75" s="53" t="s">
        <v>1388</v>
      </c>
      <c r="H75" s="53" t="s">
        <v>2001</v>
      </c>
      <c r="I75" s="53">
        <v>0</v>
      </c>
      <c r="J75" s="53" t="s">
        <v>1788</v>
      </c>
      <c r="K75" s="53" t="s">
        <v>1389</v>
      </c>
      <c r="L75" s="53" t="s">
        <v>3</v>
      </c>
      <c r="M75" s="53" t="s">
        <v>3</v>
      </c>
      <c r="N75" s="53" t="s">
        <v>3</v>
      </c>
      <c r="O75" s="53" t="s">
        <v>3</v>
      </c>
      <c r="P75" s="53" t="s">
        <v>3</v>
      </c>
      <c r="Q75" s="53" t="s">
        <v>3</v>
      </c>
      <c r="R75" s="53">
        <v>0</v>
      </c>
      <c r="S75" s="53" t="s">
        <v>3</v>
      </c>
      <c r="T75" s="53" t="s">
        <v>3</v>
      </c>
      <c r="U75" s="53" t="s">
        <v>3</v>
      </c>
      <c r="V75" s="53">
        <v>1</v>
      </c>
      <c r="W75" s="53" t="s">
        <v>2520</v>
      </c>
      <c r="X75" s="53" t="s">
        <v>48</v>
      </c>
      <c r="Y75" s="53" t="s">
        <v>105</v>
      </c>
      <c r="Z75" s="53" t="s">
        <v>51</v>
      </c>
      <c r="AA75" s="53" t="s">
        <v>1384</v>
      </c>
      <c r="AB75" s="53" t="s">
        <v>95</v>
      </c>
      <c r="AC75" s="53" t="s">
        <v>124</v>
      </c>
      <c r="AD75" s="53">
        <v>0</v>
      </c>
      <c r="AE75" s="53">
        <v>0</v>
      </c>
      <c r="AF75" s="53">
        <v>0</v>
      </c>
      <c r="AG75" s="53">
        <v>0</v>
      </c>
      <c r="AH75" s="53" t="e">
        <v>#N/A</v>
      </c>
      <c r="AI75" s="53" t="s">
        <v>3</v>
      </c>
      <c r="AJ75" s="53">
        <v>0</v>
      </c>
      <c r="AK75" s="53" t="s">
        <v>3</v>
      </c>
      <c r="AL75" s="53" t="s">
        <v>1252</v>
      </c>
      <c r="AM75" s="53" t="s">
        <v>1253</v>
      </c>
      <c r="AN75" s="53" t="s">
        <v>3</v>
      </c>
      <c r="AO75" s="53">
        <v>0</v>
      </c>
      <c r="AP75" s="53" t="s">
        <v>3</v>
      </c>
      <c r="AQ75" s="53" t="s">
        <v>1252</v>
      </c>
      <c r="AR75" s="53" t="s">
        <v>1253</v>
      </c>
      <c r="AS75" s="53" t="s">
        <v>3</v>
      </c>
      <c r="AT75" s="53"/>
      <c r="AU75" s="53"/>
      <c r="AV75" s="53"/>
      <c r="AW75" s="53" t="s">
        <v>1761</v>
      </c>
    </row>
    <row r="76" spans="1:49" ht="30" customHeight="1" x14ac:dyDescent="0.3">
      <c r="A76" s="48" t="s">
        <v>1598</v>
      </c>
      <c r="B76" s="44" t="str">
        <f t="shared" si="2"/>
        <v>2</v>
      </c>
      <c r="C76" s="44" t="str">
        <f t="shared" si="3"/>
        <v>2</v>
      </c>
      <c r="D76" s="52" t="s">
        <v>2002</v>
      </c>
      <c r="E76" s="52" t="s">
        <v>2003</v>
      </c>
      <c r="F76" s="45">
        <v>42544</v>
      </c>
      <c r="G76" s="53" t="s">
        <v>1388</v>
      </c>
      <c r="H76" s="53" t="s">
        <v>2004</v>
      </c>
      <c r="I76" s="53" t="s">
        <v>1146</v>
      </c>
      <c r="J76" s="53" t="s">
        <v>1998</v>
      </c>
      <c r="K76" s="53" t="s">
        <v>1405</v>
      </c>
      <c r="L76" s="53" t="s">
        <v>3</v>
      </c>
      <c r="M76" s="53" t="s">
        <v>1477</v>
      </c>
      <c r="N76" s="53">
        <v>0</v>
      </c>
      <c r="O76" s="53" t="s">
        <v>3</v>
      </c>
      <c r="P76" s="53" t="s">
        <v>3</v>
      </c>
      <c r="Q76" s="53" t="s">
        <v>1466</v>
      </c>
      <c r="R76" s="53" t="s">
        <v>1511</v>
      </c>
      <c r="S76" s="53" t="s">
        <v>1142</v>
      </c>
      <c r="T76" s="53" t="s">
        <v>3</v>
      </c>
      <c r="U76" s="53" t="s">
        <v>3</v>
      </c>
      <c r="V76" s="53">
        <v>1</v>
      </c>
      <c r="W76" s="53" t="s">
        <v>2519</v>
      </c>
      <c r="X76" s="53" t="s">
        <v>86</v>
      </c>
      <c r="Y76" s="53" t="s">
        <v>152</v>
      </c>
      <c r="Z76" s="53" t="s">
        <v>1419</v>
      </c>
      <c r="AA76" s="53" t="s">
        <v>2528</v>
      </c>
      <c r="AB76" s="53" t="s">
        <v>95</v>
      </c>
      <c r="AC76" s="53" t="s">
        <v>124</v>
      </c>
      <c r="AD76" s="53" t="s">
        <v>3</v>
      </c>
      <c r="AE76" s="53">
        <v>0</v>
      </c>
      <c r="AF76" s="53" t="s">
        <v>3</v>
      </c>
      <c r="AG76" s="53" t="s">
        <v>1252</v>
      </c>
      <c r="AH76" s="53" t="s">
        <v>1253</v>
      </c>
      <c r="AI76" s="53" t="s">
        <v>3</v>
      </c>
      <c r="AJ76" s="53">
        <v>0</v>
      </c>
      <c r="AK76" s="53" t="s">
        <v>3</v>
      </c>
      <c r="AL76" s="53" t="s">
        <v>1252</v>
      </c>
      <c r="AM76" s="53" t="s">
        <v>1253</v>
      </c>
      <c r="AN76" s="53" t="s">
        <v>3</v>
      </c>
      <c r="AO76" s="53">
        <v>0</v>
      </c>
      <c r="AP76" s="53" t="s">
        <v>3</v>
      </c>
      <c r="AQ76" s="53" t="s">
        <v>1252</v>
      </c>
      <c r="AR76" s="53" t="s">
        <v>1253</v>
      </c>
      <c r="AS76" s="53" t="s">
        <v>3</v>
      </c>
      <c r="AT76" s="53"/>
      <c r="AU76" s="53"/>
      <c r="AV76" s="53"/>
      <c r="AW76" s="53" t="s">
        <v>1761</v>
      </c>
    </row>
    <row r="77" spans="1:49" ht="30" customHeight="1" x14ac:dyDescent="0.3">
      <c r="A77" s="48" t="s">
        <v>1599</v>
      </c>
      <c r="B77" s="44" t="str">
        <f t="shared" si="2"/>
        <v>2</v>
      </c>
      <c r="C77" s="44" t="str">
        <f t="shared" si="3"/>
        <v>2</v>
      </c>
      <c r="D77" s="52" t="s">
        <v>2005</v>
      </c>
      <c r="E77" s="52" t="s">
        <v>2006</v>
      </c>
      <c r="F77" s="45">
        <v>41844</v>
      </c>
      <c r="G77" s="53" t="s">
        <v>1455</v>
      </c>
      <c r="H77" s="53" t="s">
        <v>1425</v>
      </c>
      <c r="I77" s="53" t="s">
        <v>1383</v>
      </c>
      <c r="J77" s="53" t="s">
        <v>1848</v>
      </c>
      <c r="K77" s="53" t="s">
        <v>1389</v>
      </c>
      <c r="L77" s="53" t="s">
        <v>3</v>
      </c>
      <c r="M77" s="53" t="s">
        <v>3</v>
      </c>
      <c r="N77" s="53" t="s">
        <v>3</v>
      </c>
      <c r="O77" s="53" t="s">
        <v>3</v>
      </c>
      <c r="P77" s="53" t="s">
        <v>3</v>
      </c>
      <c r="Q77" s="53" t="s">
        <v>3</v>
      </c>
      <c r="R77" s="53" t="s">
        <v>3</v>
      </c>
      <c r="S77" s="53" t="s">
        <v>3</v>
      </c>
      <c r="T77" s="53" t="s">
        <v>3</v>
      </c>
      <c r="U77" s="53" t="s">
        <v>3</v>
      </c>
      <c r="V77" s="53">
        <v>1</v>
      </c>
      <c r="W77" s="53" t="s">
        <v>2518</v>
      </c>
      <c r="X77" s="53" t="s">
        <v>48</v>
      </c>
      <c r="Y77" s="53" t="s">
        <v>105</v>
      </c>
      <c r="Z77" s="53" t="s">
        <v>51</v>
      </c>
      <c r="AA77" s="53" t="s">
        <v>1384</v>
      </c>
      <c r="AB77" s="53" t="s">
        <v>96</v>
      </c>
      <c r="AC77" s="53" t="s">
        <v>148</v>
      </c>
      <c r="AD77" s="53" t="s">
        <v>3</v>
      </c>
      <c r="AE77" s="53">
        <v>0</v>
      </c>
      <c r="AF77" s="53" t="s">
        <v>3</v>
      </c>
      <c r="AG77" s="53" t="s">
        <v>1252</v>
      </c>
      <c r="AH77" s="53" t="s">
        <v>1253</v>
      </c>
      <c r="AI77" s="53" t="s">
        <v>3</v>
      </c>
      <c r="AJ77" s="53">
        <v>0</v>
      </c>
      <c r="AK77" s="53" t="s">
        <v>3</v>
      </c>
      <c r="AL77" s="53" t="s">
        <v>1252</v>
      </c>
      <c r="AM77" s="53" t="s">
        <v>1253</v>
      </c>
      <c r="AN77" s="53" t="s">
        <v>3</v>
      </c>
      <c r="AO77" s="53">
        <v>0</v>
      </c>
      <c r="AP77" s="53" t="s">
        <v>3</v>
      </c>
      <c r="AQ77" s="53" t="s">
        <v>1252</v>
      </c>
      <c r="AR77" s="53" t="s">
        <v>1253</v>
      </c>
      <c r="AS77" s="53" t="s">
        <v>3</v>
      </c>
      <c r="AT77" s="53"/>
      <c r="AU77" s="53"/>
      <c r="AV77" s="53"/>
      <c r="AW77" s="53" t="s">
        <v>1761</v>
      </c>
    </row>
    <row r="78" spans="1:49" ht="30" customHeight="1" x14ac:dyDescent="0.3">
      <c r="A78" s="48" t="s">
        <v>1324</v>
      </c>
      <c r="B78" s="44" t="str">
        <f t="shared" si="2"/>
        <v>2</v>
      </c>
      <c r="C78" s="44" t="str">
        <f t="shared" si="3"/>
        <v>2</v>
      </c>
      <c r="D78" s="52" t="s">
        <v>2007</v>
      </c>
      <c r="E78" s="52" t="s">
        <v>2003</v>
      </c>
      <c r="F78" s="45">
        <v>42138</v>
      </c>
      <c r="G78" s="53" t="s">
        <v>1455</v>
      </c>
      <c r="H78" s="53" t="s">
        <v>2008</v>
      </c>
      <c r="I78" s="53" t="s">
        <v>1146</v>
      </c>
      <c r="J78" s="53" t="s">
        <v>1998</v>
      </c>
      <c r="K78" s="53" t="s">
        <v>1389</v>
      </c>
      <c r="L78" s="53" t="s">
        <v>3</v>
      </c>
      <c r="M78" s="53" t="s">
        <v>3</v>
      </c>
      <c r="N78" s="53" t="s">
        <v>3</v>
      </c>
      <c r="O78" s="53" t="s">
        <v>3</v>
      </c>
      <c r="P78" s="53" t="s">
        <v>3</v>
      </c>
      <c r="Q78" s="53" t="s">
        <v>3</v>
      </c>
      <c r="R78" s="53" t="s">
        <v>3</v>
      </c>
      <c r="S78" s="53" t="s">
        <v>3</v>
      </c>
      <c r="T78" s="53" t="s">
        <v>3</v>
      </c>
      <c r="U78" s="53" t="s">
        <v>3</v>
      </c>
      <c r="V78" s="53">
        <v>0</v>
      </c>
      <c r="W78" s="53" t="s">
        <v>2518</v>
      </c>
      <c r="X78" s="53" t="s">
        <v>48</v>
      </c>
      <c r="Y78" s="53" t="s">
        <v>105</v>
      </c>
      <c r="Z78" s="53" t="s">
        <v>51</v>
      </c>
      <c r="AA78" s="53" t="s">
        <v>1384</v>
      </c>
      <c r="AB78" s="53" t="s">
        <v>96</v>
      </c>
      <c r="AC78" s="53" t="s">
        <v>148</v>
      </c>
      <c r="AD78" s="53" t="s">
        <v>3</v>
      </c>
      <c r="AE78" s="53">
        <v>0</v>
      </c>
      <c r="AF78" s="53" t="s">
        <v>3</v>
      </c>
      <c r="AG78" s="53" t="s">
        <v>1252</v>
      </c>
      <c r="AH78" s="53" t="s">
        <v>1253</v>
      </c>
      <c r="AI78" s="53" t="s">
        <v>3</v>
      </c>
      <c r="AJ78" s="53">
        <v>0</v>
      </c>
      <c r="AK78" s="53" t="s">
        <v>3</v>
      </c>
      <c r="AL78" s="53" t="s">
        <v>1252</v>
      </c>
      <c r="AM78" s="53" t="s">
        <v>1253</v>
      </c>
      <c r="AN78" s="53" t="s">
        <v>3</v>
      </c>
      <c r="AO78" s="53">
        <v>0</v>
      </c>
      <c r="AP78" s="53" t="s">
        <v>3</v>
      </c>
      <c r="AQ78" s="53" t="s">
        <v>1252</v>
      </c>
      <c r="AR78" s="53" t="s">
        <v>1253</v>
      </c>
      <c r="AS78" s="53" t="s">
        <v>3</v>
      </c>
      <c r="AT78" s="53"/>
      <c r="AU78" s="53"/>
      <c r="AV78" s="53"/>
      <c r="AW78" s="53" t="s">
        <v>1761</v>
      </c>
    </row>
    <row r="79" spans="1:49" ht="30" customHeight="1" x14ac:dyDescent="0.3">
      <c r="A79" s="48" t="s">
        <v>1325</v>
      </c>
      <c r="B79" s="44" t="str">
        <f t="shared" si="2"/>
        <v>2</v>
      </c>
      <c r="C79" s="44" t="str">
        <f t="shared" si="3"/>
        <v>2</v>
      </c>
      <c r="D79" s="52" t="s">
        <v>2009</v>
      </c>
      <c r="E79" s="52" t="s">
        <v>1933</v>
      </c>
      <c r="F79" s="45">
        <v>44550</v>
      </c>
      <c r="G79" s="53" t="s">
        <v>1388</v>
      </c>
      <c r="H79" s="53" t="s">
        <v>1516</v>
      </c>
      <c r="I79" s="53" t="s">
        <v>1146</v>
      </c>
      <c r="J79" s="53" t="s">
        <v>1934</v>
      </c>
      <c r="K79" s="53" t="s">
        <v>1402</v>
      </c>
      <c r="L79" s="53" t="s">
        <v>1403</v>
      </c>
      <c r="M79" s="53" t="s">
        <v>1513</v>
      </c>
      <c r="N79" s="53" t="s">
        <v>1413</v>
      </c>
      <c r="O79" s="53" t="s">
        <v>1468</v>
      </c>
      <c r="P79" s="53" t="s">
        <v>3</v>
      </c>
      <c r="Q79" s="53" t="s">
        <v>1935</v>
      </c>
      <c r="R79" s="53" t="s">
        <v>2010</v>
      </c>
      <c r="S79" s="53" t="s">
        <v>1526</v>
      </c>
      <c r="T79" s="53" t="s">
        <v>3</v>
      </c>
      <c r="U79" s="53" t="s">
        <v>2011</v>
      </c>
      <c r="V79" s="53">
        <v>1</v>
      </c>
      <c r="W79" s="53" t="s">
        <v>2521</v>
      </c>
      <c r="X79" s="53" t="s">
        <v>48</v>
      </c>
      <c r="Y79" s="53" t="s">
        <v>105</v>
      </c>
      <c r="Z79" s="53" t="s">
        <v>51</v>
      </c>
      <c r="AA79" s="53" t="s">
        <v>1384</v>
      </c>
      <c r="AB79" s="53" t="s">
        <v>96</v>
      </c>
      <c r="AC79" s="53" t="s">
        <v>148</v>
      </c>
      <c r="AD79" s="53" t="s">
        <v>1938</v>
      </c>
      <c r="AE79" s="53" t="s">
        <v>1939</v>
      </c>
      <c r="AF79" s="53" t="s">
        <v>1251</v>
      </c>
      <c r="AG79" s="53" t="s">
        <v>1859</v>
      </c>
      <c r="AH79" s="53" t="s">
        <v>1860</v>
      </c>
      <c r="AI79" s="53" t="s">
        <v>3</v>
      </c>
      <c r="AJ79" s="53">
        <v>0</v>
      </c>
      <c r="AK79" s="53" t="s">
        <v>3</v>
      </c>
      <c r="AL79" s="53" t="s">
        <v>1252</v>
      </c>
      <c r="AM79" s="53" t="s">
        <v>1253</v>
      </c>
      <c r="AN79" s="53" t="s">
        <v>3</v>
      </c>
      <c r="AO79" s="53">
        <v>0</v>
      </c>
      <c r="AP79" s="53" t="s">
        <v>3</v>
      </c>
      <c r="AQ79" s="53" t="s">
        <v>1252</v>
      </c>
      <c r="AR79" s="53" t="s">
        <v>1253</v>
      </c>
      <c r="AS79" s="53">
        <v>24</v>
      </c>
      <c r="AT79" s="53"/>
      <c r="AU79" s="53"/>
      <c r="AV79" s="53"/>
      <c r="AW79" s="53" t="s">
        <v>1761</v>
      </c>
    </row>
    <row r="80" spans="1:49" ht="30" customHeight="1" x14ac:dyDescent="0.3">
      <c r="A80" s="48" t="s">
        <v>1326</v>
      </c>
      <c r="B80" s="44" t="str">
        <f t="shared" si="2"/>
        <v>2</v>
      </c>
      <c r="C80" s="44" t="str">
        <f t="shared" si="3"/>
        <v>2</v>
      </c>
      <c r="D80" s="52" t="s">
        <v>2012</v>
      </c>
      <c r="E80" s="52" t="s">
        <v>1933</v>
      </c>
      <c r="F80" s="45">
        <v>45100</v>
      </c>
      <c r="G80" s="53" t="s">
        <v>1455</v>
      </c>
      <c r="H80" s="53" t="s">
        <v>1516</v>
      </c>
      <c r="I80" s="53" t="s">
        <v>1146</v>
      </c>
      <c r="J80" s="53" t="s">
        <v>1934</v>
      </c>
      <c r="K80" s="53" t="s">
        <v>1389</v>
      </c>
      <c r="L80" s="53" t="s">
        <v>3</v>
      </c>
      <c r="M80" s="53" t="s">
        <v>3</v>
      </c>
      <c r="N80" s="53" t="s">
        <v>3</v>
      </c>
      <c r="O80" s="53" t="s">
        <v>3</v>
      </c>
      <c r="P80" s="53" t="s">
        <v>3</v>
      </c>
      <c r="Q80" s="53" t="s">
        <v>3</v>
      </c>
      <c r="R80" s="53" t="s">
        <v>3</v>
      </c>
      <c r="S80" s="53" t="s">
        <v>3</v>
      </c>
      <c r="T80" s="53" t="s">
        <v>3</v>
      </c>
      <c r="U80" s="53" t="s">
        <v>3</v>
      </c>
      <c r="V80" s="53">
        <v>1</v>
      </c>
      <c r="W80" s="53" t="s">
        <v>2518</v>
      </c>
      <c r="X80" s="53" t="s">
        <v>48</v>
      </c>
      <c r="Y80" s="53" t="s">
        <v>105</v>
      </c>
      <c r="Z80" s="53" t="s">
        <v>51</v>
      </c>
      <c r="AA80" s="53" t="s">
        <v>1384</v>
      </c>
      <c r="AB80" s="53" t="s">
        <v>95</v>
      </c>
      <c r="AC80" s="53" t="s">
        <v>124</v>
      </c>
      <c r="AD80" s="53" t="s">
        <v>3</v>
      </c>
      <c r="AE80" s="53">
        <v>0</v>
      </c>
      <c r="AF80" s="53" t="s">
        <v>3</v>
      </c>
      <c r="AG80" s="53" t="s">
        <v>1252</v>
      </c>
      <c r="AH80" s="53" t="s">
        <v>1253</v>
      </c>
      <c r="AI80" s="53" t="s">
        <v>3</v>
      </c>
      <c r="AJ80" s="53">
        <v>0</v>
      </c>
      <c r="AK80" s="53" t="s">
        <v>3</v>
      </c>
      <c r="AL80" s="53" t="s">
        <v>1252</v>
      </c>
      <c r="AM80" s="53" t="s">
        <v>1253</v>
      </c>
      <c r="AN80" s="53" t="s">
        <v>3</v>
      </c>
      <c r="AO80" s="53">
        <v>0</v>
      </c>
      <c r="AP80" s="53" t="s">
        <v>3</v>
      </c>
      <c r="AQ80" s="53" t="s">
        <v>1252</v>
      </c>
      <c r="AR80" s="53" t="s">
        <v>1253</v>
      </c>
      <c r="AS80" s="53" t="s">
        <v>3</v>
      </c>
      <c r="AT80" s="53"/>
      <c r="AU80" s="53"/>
      <c r="AV80" s="53"/>
      <c r="AW80" s="53" t="s">
        <v>1761</v>
      </c>
    </row>
    <row r="81" spans="1:49" ht="30" customHeight="1" x14ac:dyDescent="0.3">
      <c r="A81" s="48" t="s">
        <v>1327</v>
      </c>
      <c r="B81" s="44" t="str">
        <f t="shared" si="2"/>
        <v>2</v>
      </c>
      <c r="C81" s="44" t="str">
        <f t="shared" si="3"/>
        <v>2</v>
      </c>
      <c r="D81" s="52" t="s">
        <v>2013</v>
      </c>
      <c r="E81" s="52" t="s">
        <v>2014</v>
      </c>
      <c r="F81" s="45">
        <v>40070</v>
      </c>
      <c r="G81" s="53" t="s">
        <v>1388</v>
      </c>
      <c r="H81" s="53">
        <v>0</v>
      </c>
      <c r="I81" s="53">
        <v>0</v>
      </c>
      <c r="J81" s="53" t="s">
        <v>1788</v>
      </c>
      <c r="K81" s="53" t="s">
        <v>1389</v>
      </c>
      <c r="L81" s="53" t="s">
        <v>3</v>
      </c>
      <c r="M81" s="53" t="s">
        <v>3</v>
      </c>
      <c r="N81" s="53" t="s">
        <v>3</v>
      </c>
      <c r="O81" s="53" t="s">
        <v>3</v>
      </c>
      <c r="P81" s="53" t="s">
        <v>3</v>
      </c>
      <c r="Q81" s="53" t="s">
        <v>3</v>
      </c>
      <c r="R81" s="53" t="s">
        <v>3</v>
      </c>
      <c r="S81" s="53" t="s">
        <v>3</v>
      </c>
      <c r="T81" s="53" t="s">
        <v>3</v>
      </c>
      <c r="U81" s="53" t="s">
        <v>3</v>
      </c>
      <c r="V81" s="53">
        <v>0</v>
      </c>
      <c r="W81" s="53" t="s">
        <v>2520</v>
      </c>
      <c r="X81" s="53" t="s">
        <v>48</v>
      </c>
      <c r="Y81" s="53" t="s">
        <v>105</v>
      </c>
      <c r="Z81" s="53" t="s">
        <v>51</v>
      </c>
      <c r="AA81" s="53" t="s">
        <v>1384</v>
      </c>
      <c r="AB81" s="53" t="s">
        <v>95</v>
      </c>
      <c r="AC81" s="53" t="s">
        <v>124</v>
      </c>
      <c r="AD81" s="53">
        <v>0</v>
      </c>
      <c r="AE81" s="53">
        <v>0</v>
      </c>
      <c r="AF81" s="53">
        <v>0</v>
      </c>
      <c r="AG81" s="53">
        <v>0</v>
      </c>
      <c r="AH81" s="53" t="e">
        <v>#N/A</v>
      </c>
      <c r="AI81" s="53" t="s">
        <v>3</v>
      </c>
      <c r="AJ81" s="53">
        <v>0</v>
      </c>
      <c r="AK81" s="53" t="s">
        <v>3</v>
      </c>
      <c r="AL81" s="53" t="s">
        <v>1252</v>
      </c>
      <c r="AM81" s="53" t="s">
        <v>1253</v>
      </c>
      <c r="AN81" s="53" t="s">
        <v>3</v>
      </c>
      <c r="AO81" s="53">
        <v>0</v>
      </c>
      <c r="AP81" s="53" t="s">
        <v>3</v>
      </c>
      <c r="AQ81" s="53" t="s">
        <v>1252</v>
      </c>
      <c r="AR81" s="53" t="s">
        <v>1253</v>
      </c>
      <c r="AS81" s="53" t="s">
        <v>3</v>
      </c>
      <c r="AT81" s="53"/>
      <c r="AU81" s="53"/>
      <c r="AV81" s="53"/>
      <c r="AW81" s="53" t="s">
        <v>1761</v>
      </c>
    </row>
    <row r="82" spans="1:49" ht="30" customHeight="1" x14ac:dyDescent="0.3">
      <c r="A82" s="48" t="s">
        <v>1328</v>
      </c>
      <c r="B82" s="44" t="str">
        <f t="shared" si="2"/>
        <v>2</v>
      </c>
      <c r="C82" s="44" t="str">
        <f t="shared" si="3"/>
        <v>2</v>
      </c>
      <c r="D82" s="52" t="s">
        <v>2015</v>
      </c>
      <c r="E82" s="52" t="s">
        <v>2016</v>
      </c>
      <c r="F82" s="45">
        <v>41415</v>
      </c>
      <c r="G82" s="53" t="s">
        <v>1388</v>
      </c>
      <c r="H82" s="53" t="s">
        <v>1425</v>
      </c>
      <c r="I82" s="53" t="s">
        <v>1146</v>
      </c>
      <c r="J82" s="53" t="s">
        <v>2017</v>
      </c>
      <c r="K82" s="53" t="s">
        <v>1447</v>
      </c>
      <c r="L82" s="53" t="s">
        <v>1427</v>
      </c>
      <c r="M82" s="53" t="s">
        <v>2018</v>
      </c>
      <c r="N82" s="53" t="s">
        <v>3</v>
      </c>
      <c r="O82" s="53" t="s">
        <v>3</v>
      </c>
      <c r="P82" s="53" t="s">
        <v>3</v>
      </c>
      <c r="Q82" s="53" t="s">
        <v>2019</v>
      </c>
      <c r="R82" s="53" t="s">
        <v>2020</v>
      </c>
      <c r="S82" s="53" t="s">
        <v>3</v>
      </c>
      <c r="T82" s="53" t="s">
        <v>3</v>
      </c>
      <c r="U82" s="53" t="s">
        <v>2021</v>
      </c>
      <c r="V82" s="53" t="s">
        <v>1231</v>
      </c>
      <c r="W82" s="53" t="s">
        <v>2521</v>
      </c>
      <c r="X82" s="53" t="s">
        <v>53</v>
      </c>
      <c r="Y82" s="53" t="s">
        <v>127</v>
      </c>
      <c r="Z82" s="53" t="s">
        <v>51</v>
      </c>
      <c r="AA82" s="53" t="s">
        <v>1384</v>
      </c>
      <c r="AB82" s="53" t="s">
        <v>96</v>
      </c>
      <c r="AC82" s="53" t="s">
        <v>148</v>
      </c>
      <c r="AD82" s="53" t="s">
        <v>2022</v>
      </c>
      <c r="AE82" s="53" t="s">
        <v>2023</v>
      </c>
      <c r="AF82" s="53" t="s">
        <v>1251</v>
      </c>
      <c r="AG82" s="53" t="s">
        <v>1415</v>
      </c>
      <c r="AH82" s="53" t="s">
        <v>1416</v>
      </c>
      <c r="AI82" s="53" t="s">
        <v>3</v>
      </c>
      <c r="AJ82" s="53">
        <v>0</v>
      </c>
      <c r="AK82" s="53" t="s">
        <v>3</v>
      </c>
      <c r="AL82" s="53" t="s">
        <v>1252</v>
      </c>
      <c r="AM82" s="53" t="s">
        <v>1253</v>
      </c>
      <c r="AN82" s="53" t="s">
        <v>3</v>
      </c>
      <c r="AO82" s="53">
        <v>0</v>
      </c>
      <c r="AP82" s="53" t="s">
        <v>3</v>
      </c>
      <c r="AQ82" s="53" t="s">
        <v>1252</v>
      </c>
      <c r="AR82" s="53" t="s">
        <v>1253</v>
      </c>
      <c r="AS82" s="53">
        <v>21</v>
      </c>
      <c r="AT82" s="53"/>
      <c r="AU82" s="53"/>
      <c r="AV82" s="53"/>
      <c r="AW82" s="53" t="s">
        <v>1761</v>
      </c>
    </row>
    <row r="83" spans="1:49" ht="30" customHeight="1" x14ac:dyDescent="0.3">
      <c r="A83" s="48" t="s">
        <v>1329</v>
      </c>
      <c r="B83" s="44" t="str">
        <f t="shared" si="2"/>
        <v>2</v>
      </c>
      <c r="C83" s="44" t="str">
        <f t="shared" si="3"/>
        <v>2</v>
      </c>
      <c r="D83" s="52" t="s">
        <v>2024</v>
      </c>
      <c r="E83" s="52" t="s">
        <v>2025</v>
      </c>
      <c r="F83" s="45">
        <v>45838</v>
      </c>
      <c r="G83" s="53" t="s">
        <v>1455</v>
      </c>
      <c r="H83" s="53" t="s">
        <v>1492</v>
      </c>
      <c r="I83" s="53" t="s">
        <v>1146</v>
      </c>
      <c r="J83" s="53" t="s">
        <v>1998</v>
      </c>
      <c r="K83" s="53" t="s">
        <v>1394</v>
      </c>
      <c r="L83" s="53" t="s">
        <v>3</v>
      </c>
      <c r="M83" s="53" t="s">
        <v>2026</v>
      </c>
      <c r="N83" s="53" t="s">
        <v>3</v>
      </c>
      <c r="O83" s="53" t="s">
        <v>3</v>
      </c>
      <c r="P83" s="53" t="s">
        <v>3</v>
      </c>
      <c r="Q83" s="53" t="s">
        <v>1466</v>
      </c>
      <c r="R83" s="53" t="s">
        <v>2027</v>
      </c>
      <c r="S83" s="53" t="s">
        <v>3</v>
      </c>
      <c r="T83" s="53" t="s">
        <v>1143</v>
      </c>
      <c r="U83" s="53" t="s">
        <v>2028</v>
      </c>
      <c r="V83" s="53">
        <v>1</v>
      </c>
      <c r="W83" s="53" t="s">
        <v>2521</v>
      </c>
      <c r="X83" s="53" t="s">
        <v>53</v>
      </c>
      <c r="Y83" s="53" t="s">
        <v>127</v>
      </c>
      <c r="Z83" s="53" t="s">
        <v>51</v>
      </c>
      <c r="AA83" s="53" t="s">
        <v>1384</v>
      </c>
      <c r="AB83" s="53" t="s">
        <v>96</v>
      </c>
      <c r="AC83" s="53" t="s">
        <v>148</v>
      </c>
      <c r="AD83" s="53" t="s">
        <v>3</v>
      </c>
      <c r="AE83" s="53">
        <v>0</v>
      </c>
      <c r="AF83" s="53" t="s">
        <v>3</v>
      </c>
      <c r="AG83" s="53" t="s">
        <v>1252</v>
      </c>
      <c r="AH83" s="53" t="s">
        <v>1253</v>
      </c>
      <c r="AI83" s="53" t="s">
        <v>3</v>
      </c>
      <c r="AJ83" s="53">
        <v>0</v>
      </c>
      <c r="AK83" s="53" t="s">
        <v>3</v>
      </c>
      <c r="AL83" s="53" t="s">
        <v>1252</v>
      </c>
      <c r="AM83" s="53" t="s">
        <v>1253</v>
      </c>
      <c r="AN83" s="53" t="s">
        <v>3</v>
      </c>
      <c r="AO83" s="53">
        <v>0</v>
      </c>
      <c r="AP83" s="53" t="s">
        <v>3</v>
      </c>
      <c r="AQ83" s="53" t="s">
        <v>1252</v>
      </c>
      <c r="AR83" s="53" t="s">
        <v>1253</v>
      </c>
      <c r="AS83" s="53" t="s">
        <v>3</v>
      </c>
      <c r="AT83" s="53"/>
      <c r="AU83" s="53"/>
      <c r="AV83" s="53"/>
      <c r="AW83" s="53" t="s">
        <v>1761</v>
      </c>
    </row>
    <row r="84" spans="1:49" ht="30" customHeight="1" x14ac:dyDescent="0.3">
      <c r="A84" s="48" t="s">
        <v>1600</v>
      </c>
      <c r="B84" s="44" t="str">
        <f t="shared" si="2"/>
        <v>2</v>
      </c>
      <c r="C84" s="44" t="str">
        <f t="shared" si="3"/>
        <v>2</v>
      </c>
      <c r="D84" s="52" t="s">
        <v>2029</v>
      </c>
      <c r="E84" s="52" t="s">
        <v>1921</v>
      </c>
      <c r="F84" s="45">
        <v>43129</v>
      </c>
      <c r="G84" s="53" t="s">
        <v>1455</v>
      </c>
      <c r="H84" s="53" t="s">
        <v>1390</v>
      </c>
      <c r="I84" s="53" t="s">
        <v>1146</v>
      </c>
      <c r="J84" s="53" t="s">
        <v>1998</v>
      </c>
      <c r="K84" s="53" t="s">
        <v>1400</v>
      </c>
      <c r="L84" s="53" t="s">
        <v>3</v>
      </c>
      <c r="M84" s="53" t="s">
        <v>3</v>
      </c>
      <c r="N84" s="53" t="s">
        <v>1413</v>
      </c>
      <c r="O84" s="53" t="s">
        <v>3</v>
      </c>
      <c r="P84" s="53" t="s">
        <v>3</v>
      </c>
      <c r="Q84" s="53" t="s">
        <v>3</v>
      </c>
      <c r="R84" s="53" t="s">
        <v>3</v>
      </c>
      <c r="S84" s="53" t="s">
        <v>3</v>
      </c>
      <c r="T84" s="53" t="s">
        <v>3</v>
      </c>
      <c r="U84" s="53" t="s">
        <v>3</v>
      </c>
      <c r="V84" s="53">
        <v>1</v>
      </c>
      <c r="W84" s="53" t="s">
        <v>2521</v>
      </c>
      <c r="X84" s="53" t="s">
        <v>48</v>
      </c>
      <c r="Y84" s="53" t="s">
        <v>105</v>
      </c>
      <c r="Z84" s="53" t="s">
        <v>51</v>
      </c>
      <c r="AA84" s="53" t="s">
        <v>1384</v>
      </c>
      <c r="AB84" s="53" t="s">
        <v>96</v>
      </c>
      <c r="AC84" s="53" t="s">
        <v>148</v>
      </c>
      <c r="AD84" s="53" t="s">
        <v>3</v>
      </c>
      <c r="AE84" s="53">
        <v>0</v>
      </c>
      <c r="AF84" s="53" t="s">
        <v>3</v>
      </c>
      <c r="AG84" s="53" t="s">
        <v>1252</v>
      </c>
      <c r="AH84" s="53" t="s">
        <v>1253</v>
      </c>
      <c r="AI84" s="53" t="s">
        <v>3</v>
      </c>
      <c r="AJ84" s="53">
        <v>0</v>
      </c>
      <c r="AK84" s="53" t="s">
        <v>3</v>
      </c>
      <c r="AL84" s="53" t="s">
        <v>1252</v>
      </c>
      <c r="AM84" s="53" t="s">
        <v>1253</v>
      </c>
      <c r="AN84" s="53" t="s">
        <v>3</v>
      </c>
      <c r="AO84" s="53">
        <v>0</v>
      </c>
      <c r="AP84" s="53" t="s">
        <v>3</v>
      </c>
      <c r="AQ84" s="53" t="s">
        <v>1252</v>
      </c>
      <c r="AR84" s="53" t="s">
        <v>1253</v>
      </c>
      <c r="AS84" s="53" t="s">
        <v>3</v>
      </c>
      <c r="AT84" s="53"/>
      <c r="AU84" s="53"/>
      <c r="AV84" s="53"/>
      <c r="AW84" s="53" t="s">
        <v>1761</v>
      </c>
    </row>
    <row r="85" spans="1:49" ht="30" customHeight="1" x14ac:dyDescent="0.3">
      <c r="A85" s="48" t="s">
        <v>1601</v>
      </c>
      <c r="B85" s="44" t="str">
        <f t="shared" si="2"/>
        <v>2</v>
      </c>
      <c r="C85" s="44" t="str">
        <f t="shared" si="3"/>
        <v>2</v>
      </c>
      <c r="D85" s="52" t="s">
        <v>1420</v>
      </c>
      <c r="E85" s="52" t="s">
        <v>1921</v>
      </c>
      <c r="F85" s="45">
        <v>42585</v>
      </c>
      <c r="G85" s="53" t="s">
        <v>1455</v>
      </c>
      <c r="H85" s="53" t="s">
        <v>1390</v>
      </c>
      <c r="I85" s="53" t="s">
        <v>1383</v>
      </c>
      <c r="J85" s="53" t="s">
        <v>1779</v>
      </c>
      <c r="K85" s="53" t="s">
        <v>1407</v>
      </c>
      <c r="L85" s="53" t="s">
        <v>3</v>
      </c>
      <c r="M85" s="53" t="s">
        <v>2030</v>
      </c>
      <c r="N85" s="53" t="s">
        <v>3</v>
      </c>
      <c r="O85" s="53" t="s">
        <v>3</v>
      </c>
      <c r="P85" s="53" t="s">
        <v>3</v>
      </c>
      <c r="Q85" s="53" t="s">
        <v>1418</v>
      </c>
      <c r="R85" s="53" t="s">
        <v>1473</v>
      </c>
      <c r="S85" s="53" t="s">
        <v>1142</v>
      </c>
      <c r="T85" s="53" t="s">
        <v>3</v>
      </c>
      <c r="U85" s="53" t="s">
        <v>1420</v>
      </c>
      <c r="V85" s="53">
        <v>1</v>
      </c>
      <c r="W85" s="53" t="s">
        <v>2521</v>
      </c>
      <c r="X85" s="53" t="s">
        <v>1385</v>
      </c>
      <c r="Y85" s="53" t="s">
        <v>1799</v>
      </c>
      <c r="Z85" s="53" t="s">
        <v>1419</v>
      </c>
      <c r="AA85" s="53" t="s">
        <v>2528</v>
      </c>
      <c r="AB85" s="53" t="s">
        <v>96</v>
      </c>
      <c r="AC85" s="53" t="s">
        <v>148</v>
      </c>
      <c r="AD85" s="53" t="s">
        <v>1420</v>
      </c>
      <c r="AE85" s="53" t="s">
        <v>1344</v>
      </c>
      <c r="AF85" s="53" t="s">
        <v>1417</v>
      </c>
      <c r="AG85" s="53" t="s">
        <v>1423</v>
      </c>
      <c r="AH85" s="53" t="s">
        <v>1424</v>
      </c>
      <c r="AI85" s="53" t="s">
        <v>3</v>
      </c>
      <c r="AJ85" s="53">
        <v>0</v>
      </c>
      <c r="AK85" s="53" t="s">
        <v>3</v>
      </c>
      <c r="AL85" s="53" t="s">
        <v>1252</v>
      </c>
      <c r="AM85" s="53" t="s">
        <v>1253</v>
      </c>
      <c r="AN85" s="53" t="s">
        <v>3</v>
      </c>
      <c r="AO85" s="53">
        <v>0</v>
      </c>
      <c r="AP85" s="53" t="s">
        <v>3</v>
      </c>
      <c r="AQ85" s="53" t="s">
        <v>1252</v>
      </c>
      <c r="AR85" s="53" t="s">
        <v>1253</v>
      </c>
      <c r="AS85" s="53" t="s">
        <v>3</v>
      </c>
      <c r="AT85" s="53"/>
      <c r="AU85" s="53"/>
      <c r="AV85" s="53"/>
      <c r="AW85" s="53" t="s">
        <v>1761</v>
      </c>
    </row>
    <row r="86" spans="1:49" ht="30" customHeight="1" x14ac:dyDescent="0.3">
      <c r="A86" s="48" t="s">
        <v>1330</v>
      </c>
      <c r="B86" s="44" t="str">
        <f t="shared" si="2"/>
        <v>2</v>
      </c>
      <c r="C86" s="44" t="str">
        <f t="shared" si="3"/>
        <v>2</v>
      </c>
      <c r="D86" s="52" t="s">
        <v>2031</v>
      </c>
      <c r="E86" s="52" t="s">
        <v>1921</v>
      </c>
      <c r="F86" s="45">
        <v>45490</v>
      </c>
      <c r="G86" s="53" t="s">
        <v>1388</v>
      </c>
      <c r="H86" s="53" t="s">
        <v>1425</v>
      </c>
      <c r="I86" s="53" t="s">
        <v>1383</v>
      </c>
      <c r="J86" s="53" t="s">
        <v>1848</v>
      </c>
      <c r="K86" s="53" t="s">
        <v>1389</v>
      </c>
      <c r="L86" s="53" t="s">
        <v>3</v>
      </c>
      <c r="M86" s="53" t="s">
        <v>3</v>
      </c>
      <c r="N86" s="53" t="s">
        <v>3</v>
      </c>
      <c r="O86" s="53" t="s">
        <v>3</v>
      </c>
      <c r="P86" s="53" t="s">
        <v>3</v>
      </c>
      <c r="Q86" s="53" t="s">
        <v>3</v>
      </c>
      <c r="R86" s="53" t="s">
        <v>3</v>
      </c>
      <c r="S86" s="53" t="s">
        <v>3</v>
      </c>
      <c r="T86" s="53" t="s">
        <v>3</v>
      </c>
      <c r="U86" s="53" t="s">
        <v>3</v>
      </c>
      <c r="V86" s="53" t="s">
        <v>1231</v>
      </c>
      <c r="W86" s="53" t="s">
        <v>2518</v>
      </c>
      <c r="X86" s="53" t="s">
        <v>48</v>
      </c>
      <c r="Y86" s="53" t="s">
        <v>105</v>
      </c>
      <c r="Z86" s="53" t="s">
        <v>51</v>
      </c>
      <c r="AA86" s="53" t="s">
        <v>1384</v>
      </c>
      <c r="AB86" s="53" t="s">
        <v>95</v>
      </c>
      <c r="AC86" s="53" t="s">
        <v>124</v>
      </c>
      <c r="AD86" s="53" t="s">
        <v>3</v>
      </c>
      <c r="AE86" s="53">
        <v>0</v>
      </c>
      <c r="AF86" s="53" t="s">
        <v>3</v>
      </c>
      <c r="AG86" s="53" t="s">
        <v>1252</v>
      </c>
      <c r="AH86" s="53" t="s">
        <v>1253</v>
      </c>
      <c r="AI86" s="53" t="s">
        <v>3</v>
      </c>
      <c r="AJ86" s="53">
        <v>0</v>
      </c>
      <c r="AK86" s="53" t="s">
        <v>3</v>
      </c>
      <c r="AL86" s="53" t="s">
        <v>1252</v>
      </c>
      <c r="AM86" s="53" t="s">
        <v>1253</v>
      </c>
      <c r="AN86" s="53" t="s">
        <v>3</v>
      </c>
      <c r="AO86" s="53">
        <v>0</v>
      </c>
      <c r="AP86" s="53" t="s">
        <v>3</v>
      </c>
      <c r="AQ86" s="53" t="s">
        <v>1252</v>
      </c>
      <c r="AR86" s="53" t="s">
        <v>1253</v>
      </c>
      <c r="AS86" s="53" t="s">
        <v>3</v>
      </c>
      <c r="AT86" s="53"/>
      <c r="AU86" s="53"/>
      <c r="AV86" s="53"/>
      <c r="AW86" s="53" t="s">
        <v>1761</v>
      </c>
    </row>
    <row r="87" spans="1:49" ht="30" customHeight="1" x14ac:dyDescent="0.3">
      <c r="A87" s="48" t="s">
        <v>1602</v>
      </c>
      <c r="B87" s="44" t="str">
        <f t="shared" si="2"/>
        <v>2</v>
      </c>
      <c r="C87" s="44" t="str">
        <f t="shared" si="3"/>
        <v>2</v>
      </c>
      <c r="D87" s="52" t="s">
        <v>2032</v>
      </c>
      <c r="E87" s="52" t="s">
        <v>1921</v>
      </c>
      <c r="F87" s="45">
        <v>45135</v>
      </c>
      <c r="G87" s="53" t="s">
        <v>1388</v>
      </c>
      <c r="H87" s="53" t="s">
        <v>2033</v>
      </c>
      <c r="I87" s="53" t="s">
        <v>1146</v>
      </c>
      <c r="J87" s="53" t="s">
        <v>1998</v>
      </c>
      <c r="K87" s="53" t="s">
        <v>1394</v>
      </c>
      <c r="L87" s="53" t="s">
        <v>1476</v>
      </c>
      <c r="M87" s="53" t="s">
        <v>2034</v>
      </c>
      <c r="N87" s="53" t="s">
        <v>3</v>
      </c>
      <c r="O87" s="53" t="s">
        <v>3</v>
      </c>
      <c r="P87" s="53" t="s">
        <v>3</v>
      </c>
      <c r="Q87" s="53" t="s">
        <v>2035</v>
      </c>
      <c r="R87" s="53" t="s">
        <v>2036</v>
      </c>
      <c r="S87" s="53" t="s">
        <v>1142</v>
      </c>
      <c r="T87" s="53" t="s">
        <v>3</v>
      </c>
      <c r="U87" s="53" t="s">
        <v>2037</v>
      </c>
      <c r="V87" s="53">
        <v>1</v>
      </c>
      <c r="W87" s="53" t="s">
        <v>2521</v>
      </c>
      <c r="X87" s="53" t="s">
        <v>53</v>
      </c>
      <c r="Y87" s="53" t="s">
        <v>127</v>
      </c>
      <c r="Z87" s="53" t="s">
        <v>51</v>
      </c>
      <c r="AA87" s="53" t="s">
        <v>1384</v>
      </c>
      <c r="AB87" s="53" t="s">
        <v>96</v>
      </c>
      <c r="AC87" s="53" t="s">
        <v>148</v>
      </c>
      <c r="AD87" s="53" t="s">
        <v>3</v>
      </c>
      <c r="AE87" s="53">
        <v>0</v>
      </c>
      <c r="AF87" s="53" t="s">
        <v>3</v>
      </c>
      <c r="AG87" s="53" t="s">
        <v>1252</v>
      </c>
      <c r="AH87" s="53" t="s">
        <v>1253</v>
      </c>
      <c r="AI87" s="53" t="s">
        <v>3</v>
      </c>
      <c r="AJ87" s="53">
        <v>0</v>
      </c>
      <c r="AK87" s="53" t="s">
        <v>3</v>
      </c>
      <c r="AL87" s="53" t="s">
        <v>1252</v>
      </c>
      <c r="AM87" s="53" t="s">
        <v>1253</v>
      </c>
      <c r="AN87" s="53" t="s">
        <v>3</v>
      </c>
      <c r="AO87" s="53">
        <v>0</v>
      </c>
      <c r="AP87" s="53" t="s">
        <v>3</v>
      </c>
      <c r="AQ87" s="53" t="s">
        <v>1252</v>
      </c>
      <c r="AR87" s="53" t="s">
        <v>1253</v>
      </c>
      <c r="AS87" s="53" t="s">
        <v>3</v>
      </c>
      <c r="AT87" s="53"/>
      <c r="AU87" s="53"/>
      <c r="AV87" s="53"/>
      <c r="AW87" s="53" t="s">
        <v>1761</v>
      </c>
    </row>
    <row r="88" spans="1:49" ht="30" customHeight="1" x14ac:dyDescent="0.3">
      <c r="A88" s="48" t="s">
        <v>1331</v>
      </c>
      <c r="B88" s="44" t="str">
        <f t="shared" si="2"/>
        <v>2</v>
      </c>
      <c r="C88" s="44" t="str">
        <f t="shared" si="3"/>
        <v>2</v>
      </c>
      <c r="D88" s="52" t="s">
        <v>2038</v>
      </c>
      <c r="E88" s="52" t="s">
        <v>1921</v>
      </c>
      <c r="F88" s="45">
        <v>45204</v>
      </c>
      <c r="G88" s="53" t="s">
        <v>1388</v>
      </c>
      <c r="H88" s="53" t="s">
        <v>1425</v>
      </c>
      <c r="I88" s="53" t="s">
        <v>1146</v>
      </c>
      <c r="J88" s="53" t="s">
        <v>1760</v>
      </c>
      <c r="K88" s="53" t="s">
        <v>1763</v>
      </c>
      <c r="L88" s="53" t="s">
        <v>3</v>
      </c>
      <c r="M88" s="53" t="s">
        <v>2039</v>
      </c>
      <c r="N88" s="53" t="s">
        <v>3</v>
      </c>
      <c r="O88" s="53" t="s">
        <v>3</v>
      </c>
      <c r="P88" s="53" t="s">
        <v>3</v>
      </c>
      <c r="Q88" s="53" t="s">
        <v>3</v>
      </c>
      <c r="R88" s="53" t="s">
        <v>2040</v>
      </c>
      <c r="S88" s="53" t="s">
        <v>1142</v>
      </c>
      <c r="T88" s="53" t="s">
        <v>3</v>
      </c>
      <c r="U88" s="53" t="s">
        <v>2041</v>
      </c>
      <c r="V88" s="53">
        <v>2</v>
      </c>
      <c r="W88" s="53" t="s">
        <v>2519</v>
      </c>
      <c r="X88" s="53" t="s">
        <v>1385</v>
      </c>
      <c r="Y88" s="53" t="s">
        <v>1799</v>
      </c>
      <c r="Z88" s="53" t="s">
        <v>1419</v>
      </c>
      <c r="AA88" s="53" t="s">
        <v>2528</v>
      </c>
      <c r="AB88" s="53" t="s">
        <v>95</v>
      </c>
      <c r="AC88" s="53" t="s">
        <v>124</v>
      </c>
      <c r="AD88" s="53" t="s">
        <v>3</v>
      </c>
      <c r="AE88" s="53">
        <v>0</v>
      </c>
      <c r="AF88" s="53" t="s">
        <v>3</v>
      </c>
      <c r="AG88" s="53" t="s">
        <v>1252</v>
      </c>
      <c r="AH88" s="53" t="s">
        <v>1253</v>
      </c>
      <c r="AI88" s="53" t="s">
        <v>3</v>
      </c>
      <c r="AJ88" s="53">
        <v>0</v>
      </c>
      <c r="AK88" s="53" t="s">
        <v>3</v>
      </c>
      <c r="AL88" s="53" t="s">
        <v>1252</v>
      </c>
      <c r="AM88" s="53" t="s">
        <v>1253</v>
      </c>
      <c r="AN88" s="53" t="s">
        <v>3</v>
      </c>
      <c r="AO88" s="53">
        <v>0</v>
      </c>
      <c r="AP88" s="53" t="s">
        <v>3</v>
      </c>
      <c r="AQ88" s="53" t="s">
        <v>1252</v>
      </c>
      <c r="AR88" s="53" t="s">
        <v>1253</v>
      </c>
      <c r="AS88" s="53" t="s">
        <v>3</v>
      </c>
      <c r="AT88" s="53"/>
      <c r="AU88" s="53"/>
      <c r="AV88" s="53"/>
      <c r="AW88" s="53" t="s">
        <v>1761</v>
      </c>
    </row>
    <row r="89" spans="1:49" ht="30" customHeight="1" x14ac:dyDescent="0.3">
      <c r="A89" s="48" t="s">
        <v>1332</v>
      </c>
      <c r="B89" s="44" t="str">
        <f t="shared" si="2"/>
        <v>2</v>
      </c>
      <c r="C89" s="44" t="str">
        <f t="shared" si="3"/>
        <v>2</v>
      </c>
      <c r="D89" s="52" t="s">
        <v>2042</v>
      </c>
      <c r="E89" s="52" t="s">
        <v>1921</v>
      </c>
      <c r="F89" s="45">
        <v>45110</v>
      </c>
      <c r="G89" s="53" t="s">
        <v>1455</v>
      </c>
      <c r="H89" s="53" t="s">
        <v>1390</v>
      </c>
      <c r="I89" s="53" t="s">
        <v>1383</v>
      </c>
      <c r="J89" s="53" t="s">
        <v>1779</v>
      </c>
      <c r="K89" s="53" t="s">
        <v>1389</v>
      </c>
      <c r="L89" s="53" t="s">
        <v>3</v>
      </c>
      <c r="M89" s="53" t="s">
        <v>3</v>
      </c>
      <c r="N89" s="53" t="s">
        <v>3</v>
      </c>
      <c r="O89" s="53" t="s">
        <v>3</v>
      </c>
      <c r="P89" s="53" t="s">
        <v>3</v>
      </c>
      <c r="Q89" s="53" t="s">
        <v>3</v>
      </c>
      <c r="R89" s="53" t="s">
        <v>3</v>
      </c>
      <c r="S89" s="53" t="s">
        <v>3</v>
      </c>
      <c r="T89" s="53" t="s">
        <v>3</v>
      </c>
      <c r="U89" s="53" t="s">
        <v>3</v>
      </c>
      <c r="V89" s="53">
        <v>1</v>
      </c>
      <c r="W89" s="53" t="s">
        <v>2518</v>
      </c>
      <c r="X89" s="53" t="s">
        <v>48</v>
      </c>
      <c r="Y89" s="53" t="s">
        <v>105</v>
      </c>
      <c r="Z89" s="53" t="s">
        <v>51</v>
      </c>
      <c r="AA89" s="53" t="s">
        <v>1384</v>
      </c>
      <c r="AB89" s="53" t="s">
        <v>96</v>
      </c>
      <c r="AC89" s="53" t="s">
        <v>148</v>
      </c>
      <c r="AD89" s="53" t="s">
        <v>3</v>
      </c>
      <c r="AE89" s="53">
        <v>0</v>
      </c>
      <c r="AF89" s="53" t="s">
        <v>3</v>
      </c>
      <c r="AG89" s="53" t="s">
        <v>1252</v>
      </c>
      <c r="AH89" s="53" t="s">
        <v>1253</v>
      </c>
      <c r="AI89" s="53" t="s">
        <v>3</v>
      </c>
      <c r="AJ89" s="53">
        <v>0</v>
      </c>
      <c r="AK89" s="53" t="s">
        <v>3</v>
      </c>
      <c r="AL89" s="53" t="s">
        <v>1252</v>
      </c>
      <c r="AM89" s="53" t="s">
        <v>1253</v>
      </c>
      <c r="AN89" s="53" t="s">
        <v>3</v>
      </c>
      <c r="AO89" s="53">
        <v>0</v>
      </c>
      <c r="AP89" s="53" t="s">
        <v>3</v>
      </c>
      <c r="AQ89" s="53" t="s">
        <v>1252</v>
      </c>
      <c r="AR89" s="53" t="s">
        <v>1253</v>
      </c>
      <c r="AS89" s="53" t="s">
        <v>3</v>
      </c>
      <c r="AT89" s="53"/>
      <c r="AU89" s="53"/>
      <c r="AV89" s="53"/>
      <c r="AW89" s="53" t="s">
        <v>1761</v>
      </c>
    </row>
    <row r="90" spans="1:49" ht="30" customHeight="1" x14ac:dyDescent="0.3">
      <c r="A90" s="48" t="s">
        <v>1333</v>
      </c>
      <c r="B90" s="44" t="str">
        <f t="shared" si="2"/>
        <v>2</v>
      </c>
      <c r="C90" s="44" t="str">
        <f t="shared" si="3"/>
        <v>2</v>
      </c>
      <c r="D90" s="52" t="s">
        <v>2043</v>
      </c>
      <c r="E90" s="52" t="s">
        <v>1921</v>
      </c>
      <c r="F90" s="45">
        <v>43364</v>
      </c>
      <c r="G90" s="53" t="s">
        <v>1140</v>
      </c>
      <c r="H90" s="53" t="s">
        <v>1390</v>
      </c>
      <c r="I90" s="53" t="s">
        <v>1383</v>
      </c>
      <c r="J90" s="53" t="s">
        <v>1779</v>
      </c>
      <c r="K90" s="53" t="s">
        <v>1389</v>
      </c>
      <c r="L90" s="53" t="s">
        <v>3</v>
      </c>
      <c r="M90" s="53" t="s">
        <v>3</v>
      </c>
      <c r="N90" s="53" t="s">
        <v>3</v>
      </c>
      <c r="O90" s="53" t="s">
        <v>3</v>
      </c>
      <c r="P90" s="53" t="s">
        <v>3</v>
      </c>
      <c r="Q90" s="53" t="s">
        <v>3</v>
      </c>
      <c r="R90" s="53" t="s">
        <v>3</v>
      </c>
      <c r="S90" s="53" t="s">
        <v>3</v>
      </c>
      <c r="T90" s="53" t="s">
        <v>3</v>
      </c>
      <c r="U90" s="53" t="s">
        <v>3</v>
      </c>
      <c r="V90" s="53">
        <v>1</v>
      </c>
      <c r="W90" s="53" t="s">
        <v>2518</v>
      </c>
      <c r="X90" s="53" t="s">
        <v>48</v>
      </c>
      <c r="Y90" s="53" t="s">
        <v>105</v>
      </c>
      <c r="Z90" s="53" t="s">
        <v>51</v>
      </c>
      <c r="AA90" s="53" t="s">
        <v>1384</v>
      </c>
      <c r="AB90" s="53" t="s">
        <v>96</v>
      </c>
      <c r="AC90" s="53" t="s">
        <v>148</v>
      </c>
      <c r="AD90" s="53" t="s">
        <v>3</v>
      </c>
      <c r="AE90" s="53">
        <v>0</v>
      </c>
      <c r="AF90" s="53" t="s">
        <v>3</v>
      </c>
      <c r="AG90" s="53" t="s">
        <v>1252</v>
      </c>
      <c r="AH90" s="53" t="s">
        <v>1253</v>
      </c>
      <c r="AI90" s="53" t="s">
        <v>3</v>
      </c>
      <c r="AJ90" s="53">
        <v>0</v>
      </c>
      <c r="AK90" s="53" t="s">
        <v>3</v>
      </c>
      <c r="AL90" s="53" t="s">
        <v>1252</v>
      </c>
      <c r="AM90" s="53" t="s">
        <v>1253</v>
      </c>
      <c r="AN90" s="53" t="s">
        <v>3</v>
      </c>
      <c r="AO90" s="53">
        <v>0</v>
      </c>
      <c r="AP90" s="53" t="s">
        <v>3</v>
      </c>
      <c r="AQ90" s="53" t="s">
        <v>1252</v>
      </c>
      <c r="AR90" s="53" t="s">
        <v>1253</v>
      </c>
      <c r="AS90" s="53" t="s">
        <v>3</v>
      </c>
      <c r="AT90" s="53"/>
      <c r="AU90" s="53"/>
      <c r="AV90" s="53"/>
      <c r="AW90" s="53" t="s">
        <v>1761</v>
      </c>
    </row>
    <row r="91" spans="1:49" ht="30" customHeight="1" x14ac:dyDescent="0.3">
      <c r="A91" s="48" t="s">
        <v>1603</v>
      </c>
      <c r="B91" s="44" t="str">
        <f t="shared" si="2"/>
        <v>2</v>
      </c>
      <c r="C91" s="44" t="str">
        <f t="shared" si="3"/>
        <v>2</v>
      </c>
      <c r="D91" s="52" t="s">
        <v>2044</v>
      </c>
      <c r="E91" s="52" t="s">
        <v>1921</v>
      </c>
      <c r="F91" s="45">
        <v>45224</v>
      </c>
      <c r="G91" s="53" t="s">
        <v>1455</v>
      </c>
      <c r="H91" s="53" t="s">
        <v>1390</v>
      </c>
      <c r="I91" s="53" t="s">
        <v>1383</v>
      </c>
      <c r="J91" s="53" t="s">
        <v>1998</v>
      </c>
      <c r="K91" s="53" t="s">
        <v>1394</v>
      </c>
      <c r="L91" s="53" t="s">
        <v>3</v>
      </c>
      <c r="M91" s="53" t="s">
        <v>2045</v>
      </c>
      <c r="N91" s="53" t="s">
        <v>3</v>
      </c>
      <c r="O91" s="53" t="s">
        <v>3</v>
      </c>
      <c r="P91" s="53" t="s">
        <v>3</v>
      </c>
      <c r="Q91" s="53" t="s">
        <v>1396</v>
      </c>
      <c r="R91" s="53" t="s">
        <v>2046</v>
      </c>
      <c r="S91" s="53">
        <v>0</v>
      </c>
      <c r="T91" s="53" t="s">
        <v>3</v>
      </c>
      <c r="U91" s="53" t="s">
        <v>2047</v>
      </c>
      <c r="V91" s="53">
        <v>1</v>
      </c>
      <c r="W91" s="53" t="s">
        <v>2521</v>
      </c>
      <c r="X91" s="53" t="s">
        <v>53</v>
      </c>
      <c r="Y91" s="53" t="s">
        <v>127</v>
      </c>
      <c r="Z91" s="53" t="s">
        <v>51</v>
      </c>
      <c r="AA91" s="53" t="s">
        <v>1384</v>
      </c>
      <c r="AB91" s="53" t="s">
        <v>96</v>
      </c>
      <c r="AC91" s="53" t="s">
        <v>148</v>
      </c>
      <c r="AD91" s="53">
        <v>0</v>
      </c>
      <c r="AE91" s="53">
        <v>0</v>
      </c>
      <c r="AF91" s="53">
        <v>0</v>
      </c>
      <c r="AG91" s="53">
        <v>0</v>
      </c>
      <c r="AH91" s="53" t="e">
        <v>#N/A</v>
      </c>
      <c r="AI91" s="53" t="s">
        <v>3</v>
      </c>
      <c r="AJ91" s="53">
        <v>0</v>
      </c>
      <c r="AK91" s="53" t="s">
        <v>3</v>
      </c>
      <c r="AL91" s="53" t="s">
        <v>1252</v>
      </c>
      <c r="AM91" s="53" t="s">
        <v>1253</v>
      </c>
      <c r="AN91" s="53" t="s">
        <v>3</v>
      </c>
      <c r="AO91" s="53">
        <v>0</v>
      </c>
      <c r="AP91" s="53" t="s">
        <v>3</v>
      </c>
      <c r="AQ91" s="53" t="s">
        <v>1252</v>
      </c>
      <c r="AR91" s="53" t="s">
        <v>1253</v>
      </c>
      <c r="AS91" s="53" t="s">
        <v>3</v>
      </c>
      <c r="AT91" s="53"/>
      <c r="AU91" s="53"/>
      <c r="AV91" s="53"/>
      <c r="AW91" s="53" t="s">
        <v>1761</v>
      </c>
    </row>
    <row r="92" spans="1:49" ht="30" customHeight="1" x14ac:dyDescent="0.3">
      <c r="A92" s="48" t="s">
        <v>1334</v>
      </c>
      <c r="B92" s="44" t="str">
        <f t="shared" si="2"/>
        <v>2</v>
      </c>
      <c r="C92" s="44" t="str">
        <f t="shared" si="3"/>
        <v>2</v>
      </c>
      <c r="D92" s="52" t="s">
        <v>2048</v>
      </c>
      <c r="E92" s="52" t="s">
        <v>1921</v>
      </c>
      <c r="F92" s="45">
        <v>42285</v>
      </c>
      <c r="G92" s="53" t="s">
        <v>1455</v>
      </c>
      <c r="H92" s="53" t="s">
        <v>1390</v>
      </c>
      <c r="I92" s="53" t="s">
        <v>1383</v>
      </c>
      <c r="J92" s="53" t="s">
        <v>1998</v>
      </c>
      <c r="K92" s="53" t="s">
        <v>1405</v>
      </c>
      <c r="L92" s="53" t="s">
        <v>1476</v>
      </c>
      <c r="M92" s="53" t="s">
        <v>1477</v>
      </c>
      <c r="N92" s="53" t="s">
        <v>3</v>
      </c>
      <c r="O92" s="53" t="s">
        <v>3</v>
      </c>
      <c r="P92" s="53" t="s">
        <v>3</v>
      </c>
      <c r="Q92" s="53" t="s">
        <v>1466</v>
      </c>
      <c r="R92" s="53" t="s">
        <v>2049</v>
      </c>
      <c r="S92" s="53">
        <v>0</v>
      </c>
      <c r="T92" s="53" t="s">
        <v>3</v>
      </c>
      <c r="U92" s="53" t="s">
        <v>3</v>
      </c>
      <c r="V92" s="53">
        <v>1</v>
      </c>
      <c r="W92" s="53" t="s">
        <v>2519</v>
      </c>
      <c r="X92" s="53" t="s">
        <v>86</v>
      </c>
      <c r="Y92" s="53" t="s">
        <v>152</v>
      </c>
      <c r="Z92" s="53" t="s">
        <v>1419</v>
      </c>
      <c r="AA92" s="53" t="s">
        <v>2528</v>
      </c>
      <c r="AB92" s="53" t="s">
        <v>96</v>
      </c>
      <c r="AC92" s="53" t="s">
        <v>148</v>
      </c>
      <c r="AD92" s="53">
        <v>0</v>
      </c>
      <c r="AE92" s="53">
        <v>0</v>
      </c>
      <c r="AF92" s="53">
        <v>0</v>
      </c>
      <c r="AG92" s="53">
        <v>0</v>
      </c>
      <c r="AH92" s="53" t="e">
        <v>#N/A</v>
      </c>
      <c r="AI92" s="53" t="s">
        <v>3</v>
      </c>
      <c r="AJ92" s="53">
        <v>0</v>
      </c>
      <c r="AK92" s="53" t="s">
        <v>3</v>
      </c>
      <c r="AL92" s="53" t="s">
        <v>1252</v>
      </c>
      <c r="AM92" s="53" t="s">
        <v>1253</v>
      </c>
      <c r="AN92" s="53" t="s">
        <v>3</v>
      </c>
      <c r="AO92" s="53">
        <v>0</v>
      </c>
      <c r="AP92" s="53" t="s">
        <v>3</v>
      </c>
      <c r="AQ92" s="53" t="s">
        <v>1252</v>
      </c>
      <c r="AR92" s="53" t="s">
        <v>1253</v>
      </c>
      <c r="AS92" s="53" t="s">
        <v>3</v>
      </c>
      <c r="AT92" s="53"/>
      <c r="AU92" s="53"/>
      <c r="AV92" s="53"/>
      <c r="AW92" s="53" t="s">
        <v>1761</v>
      </c>
    </row>
    <row r="93" spans="1:49" ht="30" customHeight="1" x14ac:dyDescent="0.3">
      <c r="A93" s="48" t="s">
        <v>1335</v>
      </c>
      <c r="B93" s="44" t="str">
        <f t="shared" si="2"/>
        <v>2</v>
      </c>
      <c r="C93" s="44" t="str">
        <f t="shared" si="3"/>
        <v>2</v>
      </c>
      <c r="D93" s="52" t="s">
        <v>2050</v>
      </c>
      <c r="E93" s="52" t="s">
        <v>1921</v>
      </c>
      <c r="F93" s="45">
        <v>45222</v>
      </c>
      <c r="G93" s="53" t="s">
        <v>1388</v>
      </c>
      <c r="H93" s="53" t="s">
        <v>1425</v>
      </c>
      <c r="I93" s="53" t="s">
        <v>1146</v>
      </c>
      <c r="J93" s="53" t="s">
        <v>1760</v>
      </c>
      <c r="K93" s="53" t="s">
        <v>1763</v>
      </c>
      <c r="L93" s="53" t="s">
        <v>1476</v>
      </c>
      <c r="M93" s="53" t="s">
        <v>2051</v>
      </c>
      <c r="N93" s="53" t="s">
        <v>3</v>
      </c>
      <c r="O93" s="53" t="s">
        <v>3</v>
      </c>
      <c r="P93" s="53" t="s">
        <v>3</v>
      </c>
      <c r="Q93" s="53" t="s">
        <v>1523</v>
      </c>
      <c r="R93" s="53" t="s">
        <v>1475</v>
      </c>
      <c r="S93" s="53" t="s">
        <v>1142</v>
      </c>
      <c r="T93" s="53" t="s">
        <v>3</v>
      </c>
      <c r="U93" s="53" t="s">
        <v>2052</v>
      </c>
      <c r="V93" s="53">
        <v>1</v>
      </c>
      <c r="W93" s="53" t="s">
        <v>2519</v>
      </c>
      <c r="X93" s="53" t="s">
        <v>86</v>
      </c>
      <c r="Y93" s="53" t="s">
        <v>152</v>
      </c>
      <c r="Z93" s="53" t="s">
        <v>1419</v>
      </c>
      <c r="AA93" s="53" t="s">
        <v>2528</v>
      </c>
      <c r="AB93" s="53" t="s">
        <v>96</v>
      </c>
      <c r="AC93" s="53" t="s">
        <v>148</v>
      </c>
      <c r="AD93" s="53" t="s">
        <v>3</v>
      </c>
      <c r="AE93" s="53">
        <v>0</v>
      </c>
      <c r="AF93" s="53" t="s">
        <v>3</v>
      </c>
      <c r="AG93" s="53" t="s">
        <v>1252</v>
      </c>
      <c r="AH93" s="53" t="s">
        <v>1253</v>
      </c>
      <c r="AI93" s="53" t="s">
        <v>3</v>
      </c>
      <c r="AJ93" s="53">
        <v>0</v>
      </c>
      <c r="AK93" s="53" t="s">
        <v>3</v>
      </c>
      <c r="AL93" s="53" t="s">
        <v>1252</v>
      </c>
      <c r="AM93" s="53" t="s">
        <v>1253</v>
      </c>
      <c r="AN93" s="53" t="s">
        <v>3</v>
      </c>
      <c r="AO93" s="53">
        <v>0</v>
      </c>
      <c r="AP93" s="53" t="s">
        <v>3</v>
      </c>
      <c r="AQ93" s="53" t="s">
        <v>1252</v>
      </c>
      <c r="AR93" s="53" t="s">
        <v>1253</v>
      </c>
      <c r="AS93" s="53" t="s">
        <v>3</v>
      </c>
      <c r="AT93" s="53"/>
      <c r="AU93" s="53"/>
      <c r="AV93" s="53"/>
      <c r="AW93" s="53" t="s">
        <v>1761</v>
      </c>
    </row>
    <row r="94" spans="1:49" ht="30" customHeight="1" x14ac:dyDescent="0.3">
      <c r="A94" s="48" t="s">
        <v>1336</v>
      </c>
      <c r="B94" s="44" t="str">
        <f t="shared" si="2"/>
        <v>2</v>
      </c>
      <c r="C94" s="44" t="str">
        <f t="shared" si="3"/>
        <v>2</v>
      </c>
      <c r="D94" s="52" t="s">
        <v>2053</v>
      </c>
      <c r="E94" s="52" t="s">
        <v>2054</v>
      </c>
      <c r="F94" s="45">
        <v>43008</v>
      </c>
      <c r="G94" s="53" t="s">
        <v>1388</v>
      </c>
      <c r="H94" s="53" t="s">
        <v>1173</v>
      </c>
      <c r="I94" s="53" t="s">
        <v>1383</v>
      </c>
      <c r="J94" s="53" t="s">
        <v>1760</v>
      </c>
      <c r="K94" s="53" t="s">
        <v>1394</v>
      </c>
      <c r="L94" s="53" t="s">
        <v>1476</v>
      </c>
      <c r="M94" s="53" t="s">
        <v>1463</v>
      </c>
      <c r="N94" s="53" t="s">
        <v>3</v>
      </c>
      <c r="O94" s="53" t="s">
        <v>3</v>
      </c>
      <c r="P94" s="53" t="s">
        <v>3</v>
      </c>
      <c r="Q94" s="53" t="s">
        <v>1396</v>
      </c>
      <c r="R94" s="53" t="s">
        <v>2055</v>
      </c>
      <c r="S94" s="53" t="s">
        <v>3</v>
      </c>
      <c r="T94" s="53" t="s">
        <v>3</v>
      </c>
      <c r="U94" s="53" t="s">
        <v>2056</v>
      </c>
      <c r="V94" s="53">
        <v>1</v>
      </c>
      <c r="W94" s="53" t="s">
        <v>2519</v>
      </c>
      <c r="X94" s="53" t="s">
        <v>86</v>
      </c>
      <c r="Y94" s="53" t="s">
        <v>152</v>
      </c>
      <c r="Z94" s="53" t="s">
        <v>1419</v>
      </c>
      <c r="AA94" s="53" t="s">
        <v>2528</v>
      </c>
      <c r="AB94" s="53" t="s">
        <v>96</v>
      </c>
      <c r="AC94" s="53" t="s">
        <v>148</v>
      </c>
      <c r="AD94" s="53" t="s">
        <v>3</v>
      </c>
      <c r="AE94" s="53">
        <v>0</v>
      </c>
      <c r="AF94" s="53" t="s">
        <v>3</v>
      </c>
      <c r="AG94" s="53" t="s">
        <v>1252</v>
      </c>
      <c r="AH94" s="53" t="s">
        <v>1253</v>
      </c>
      <c r="AI94" s="53" t="s">
        <v>3</v>
      </c>
      <c r="AJ94" s="53">
        <v>0</v>
      </c>
      <c r="AK94" s="53" t="s">
        <v>3</v>
      </c>
      <c r="AL94" s="53" t="s">
        <v>1252</v>
      </c>
      <c r="AM94" s="53" t="s">
        <v>1253</v>
      </c>
      <c r="AN94" s="53" t="s">
        <v>3</v>
      </c>
      <c r="AO94" s="53">
        <v>0</v>
      </c>
      <c r="AP94" s="53" t="s">
        <v>3</v>
      </c>
      <c r="AQ94" s="53" t="s">
        <v>1252</v>
      </c>
      <c r="AR94" s="53" t="s">
        <v>1253</v>
      </c>
      <c r="AS94" s="53" t="s">
        <v>3</v>
      </c>
      <c r="AT94" s="53"/>
      <c r="AU94" s="53"/>
      <c r="AV94" s="53"/>
      <c r="AW94" s="53" t="s">
        <v>1761</v>
      </c>
    </row>
    <row r="95" spans="1:49" ht="30" customHeight="1" x14ac:dyDescent="0.3">
      <c r="A95" s="48" t="s">
        <v>1337</v>
      </c>
      <c r="B95" s="44" t="str">
        <f t="shared" si="2"/>
        <v>2</v>
      </c>
      <c r="C95" s="44" t="str">
        <f t="shared" si="3"/>
        <v>2</v>
      </c>
      <c r="D95" s="52" t="s">
        <v>2057</v>
      </c>
      <c r="E95" s="52" t="s">
        <v>2058</v>
      </c>
      <c r="F95" s="45">
        <v>45722</v>
      </c>
      <c r="G95" s="53" t="s">
        <v>1388</v>
      </c>
      <c r="H95" s="53" t="s">
        <v>1546</v>
      </c>
      <c r="I95" s="53" t="s">
        <v>1146</v>
      </c>
      <c r="J95" s="53" t="s">
        <v>2059</v>
      </c>
      <c r="K95" s="53" t="s">
        <v>1489</v>
      </c>
      <c r="L95" s="53" t="s">
        <v>3</v>
      </c>
      <c r="M95" s="53" t="s">
        <v>2060</v>
      </c>
      <c r="N95" s="53" t="s">
        <v>3</v>
      </c>
      <c r="O95" s="53" t="s">
        <v>3</v>
      </c>
      <c r="P95" s="53" t="s">
        <v>3</v>
      </c>
      <c r="Q95" s="53" t="s">
        <v>1490</v>
      </c>
      <c r="R95" s="53" t="s">
        <v>2061</v>
      </c>
      <c r="S95" s="53" t="s">
        <v>3</v>
      </c>
      <c r="T95" s="53" t="s">
        <v>1143</v>
      </c>
      <c r="U95" s="53" t="s">
        <v>1963</v>
      </c>
      <c r="V95" s="53">
        <v>1</v>
      </c>
      <c r="W95" s="53" t="s">
        <v>2521</v>
      </c>
      <c r="X95" s="53" t="s">
        <v>86</v>
      </c>
      <c r="Y95" s="53" t="s">
        <v>152</v>
      </c>
      <c r="Z95" s="53" t="s">
        <v>51</v>
      </c>
      <c r="AA95" s="53" t="s">
        <v>1384</v>
      </c>
      <c r="AB95" s="53" t="s">
        <v>95</v>
      </c>
      <c r="AC95" s="53" t="s">
        <v>124</v>
      </c>
      <c r="AD95" s="53" t="s">
        <v>3</v>
      </c>
      <c r="AE95" s="53">
        <v>0</v>
      </c>
      <c r="AF95" s="53" t="s">
        <v>3</v>
      </c>
      <c r="AG95" s="53" t="s">
        <v>1252</v>
      </c>
      <c r="AH95" s="53" t="s">
        <v>1253</v>
      </c>
      <c r="AI95" s="53" t="s">
        <v>3</v>
      </c>
      <c r="AJ95" s="53">
        <v>0</v>
      </c>
      <c r="AK95" s="53" t="s">
        <v>3</v>
      </c>
      <c r="AL95" s="53" t="s">
        <v>1252</v>
      </c>
      <c r="AM95" s="53" t="s">
        <v>1253</v>
      </c>
      <c r="AN95" s="53" t="s">
        <v>3</v>
      </c>
      <c r="AO95" s="53">
        <v>0</v>
      </c>
      <c r="AP95" s="53" t="s">
        <v>3</v>
      </c>
      <c r="AQ95" s="53" t="s">
        <v>1252</v>
      </c>
      <c r="AR95" s="53" t="s">
        <v>1253</v>
      </c>
      <c r="AS95" s="53" t="s">
        <v>3</v>
      </c>
      <c r="AT95" s="53"/>
      <c r="AU95" s="53"/>
      <c r="AV95" s="53"/>
      <c r="AW95" s="53" t="s">
        <v>1761</v>
      </c>
    </row>
    <row r="96" spans="1:49" ht="30" customHeight="1" x14ac:dyDescent="0.3">
      <c r="A96" s="48" t="s">
        <v>1338</v>
      </c>
      <c r="B96" s="44" t="str">
        <f t="shared" si="2"/>
        <v>2</v>
      </c>
      <c r="C96" s="44" t="str">
        <f t="shared" si="3"/>
        <v>2</v>
      </c>
      <c r="D96" s="52" t="s">
        <v>2062</v>
      </c>
      <c r="E96" s="52" t="s">
        <v>1921</v>
      </c>
      <c r="F96" s="45">
        <v>45224</v>
      </c>
      <c r="G96" s="53" t="s">
        <v>1388</v>
      </c>
      <c r="H96" s="53" t="s">
        <v>1173</v>
      </c>
      <c r="I96" s="53" t="s">
        <v>1146</v>
      </c>
      <c r="J96" s="53" t="s">
        <v>1760</v>
      </c>
      <c r="K96" s="53" t="s">
        <v>1405</v>
      </c>
      <c r="L96" s="53" t="s">
        <v>3</v>
      </c>
      <c r="M96" s="53" t="s">
        <v>1477</v>
      </c>
      <c r="N96" s="53" t="s">
        <v>3</v>
      </c>
      <c r="O96" s="53" t="s">
        <v>3</v>
      </c>
      <c r="P96" s="53" t="s">
        <v>3</v>
      </c>
      <c r="Q96" s="53" t="s">
        <v>1523</v>
      </c>
      <c r="R96" s="53" t="s">
        <v>1475</v>
      </c>
      <c r="S96" s="53" t="s">
        <v>1142</v>
      </c>
      <c r="T96" s="53" t="s">
        <v>3</v>
      </c>
      <c r="U96" s="53" t="s">
        <v>1543</v>
      </c>
      <c r="V96" s="53">
        <v>1</v>
      </c>
      <c r="W96" s="53" t="s">
        <v>2519</v>
      </c>
      <c r="X96" s="53" t="s">
        <v>53</v>
      </c>
      <c r="Y96" s="53" t="s">
        <v>127</v>
      </c>
      <c r="Z96" s="53" t="s">
        <v>1419</v>
      </c>
      <c r="AA96" s="53" t="s">
        <v>2528</v>
      </c>
      <c r="AB96" s="53" t="s">
        <v>95</v>
      </c>
      <c r="AC96" s="53" t="s">
        <v>124</v>
      </c>
      <c r="AD96" s="53" t="s">
        <v>3</v>
      </c>
      <c r="AE96" s="53">
        <v>0</v>
      </c>
      <c r="AF96" s="53" t="s">
        <v>3</v>
      </c>
      <c r="AG96" s="53" t="s">
        <v>1252</v>
      </c>
      <c r="AH96" s="53" t="s">
        <v>1253</v>
      </c>
      <c r="AI96" s="53" t="s">
        <v>3</v>
      </c>
      <c r="AJ96" s="53">
        <v>0</v>
      </c>
      <c r="AK96" s="53" t="s">
        <v>3</v>
      </c>
      <c r="AL96" s="53" t="s">
        <v>1252</v>
      </c>
      <c r="AM96" s="53" t="s">
        <v>1253</v>
      </c>
      <c r="AN96" s="53" t="s">
        <v>3</v>
      </c>
      <c r="AO96" s="53">
        <v>0</v>
      </c>
      <c r="AP96" s="53" t="s">
        <v>3</v>
      </c>
      <c r="AQ96" s="53" t="s">
        <v>1252</v>
      </c>
      <c r="AR96" s="53" t="s">
        <v>1253</v>
      </c>
      <c r="AS96" s="53" t="s">
        <v>3</v>
      </c>
      <c r="AT96" s="53"/>
      <c r="AU96" s="53"/>
      <c r="AV96" s="53"/>
      <c r="AW96" s="53" t="s">
        <v>1761</v>
      </c>
    </row>
    <row r="97" spans="1:49" ht="30" customHeight="1" x14ac:dyDescent="0.3">
      <c r="A97" s="48" t="s">
        <v>1339</v>
      </c>
      <c r="B97" s="44" t="str">
        <f t="shared" si="2"/>
        <v>2</v>
      </c>
      <c r="C97" s="44" t="str">
        <f t="shared" si="3"/>
        <v>2</v>
      </c>
      <c r="D97" s="52" t="s">
        <v>2063</v>
      </c>
      <c r="E97" s="52" t="s">
        <v>1921</v>
      </c>
      <c r="F97" s="45">
        <v>43313</v>
      </c>
      <c r="G97" s="53" t="s">
        <v>1388</v>
      </c>
      <c r="H97" s="53" t="s">
        <v>1425</v>
      </c>
      <c r="I97" s="53" t="s">
        <v>1146</v>
      </c>
      <c r="J97" s="53" t="s">
        <v>1760</v>
      </c>
      <c r="K97" s="53" t="s">
        <v>1394</v>
      </c>
      <c r="L97" s="53" t="s">
        <v>3</v>
      </c>
      <c r="M97" s="53" t="s">
        <v>1983</v>
      </c>
      <c r="N97" s="53" t="s">
        <v>3</v>
      </c>
      <c r="O97" s="53" t="s">
        <v>3</v>
      </c>
      <c r="P97" s="53" t="s">
        <v>3</v>
      </c>
      <c r="Q97" s="53" t="s">
        <v>1396</v>
      </c>
      <c r="R97" s="53" t="s">
        <v>2064</v>
      </c>
      <c r="S97" s="53" t="s">
        <v>1142</v>
      </c>
      <c r="T97" s="53" t="s">
        <v>3</v>
      </c>
      <c r="U97" s="53" t="s">
        <v>3</v>
      </c>
      <c r="V97" s="53">
        <v>1</v>
      </c>
      <c r="W97" s="53" t="s">
        <v>2521</v>
      </c>
      <c r="X97" s="53" t="s">
        <v>53</v>
      </c>
      <c r="Y97" s="53" t="s">
        <v>127</v>
      </c>
      <c r="Z97" s="53" t="s">
        <v>51</v>
      </c>
      <c r="AA97" s="53" t="s">
        <v>1384</v>
      </c>
      <c r="AB97" s="53" t="s">
        <v>95</v>
      </c>
      <c r="AC97" s="53" t="s">
        <v>124</v>
      </c>
      <c r="AD97" s="53" t="s">
        <v>3</v>
      </c>
      <c r="AE97" s="53">
        <v>0</v>
      </c>
      <c r="AF97" s="53" t="s">
        <v>3</v>
      </c>
      <c r="AG97" s="53" t="s">
        <v>1252</v>
      </c>
      <c r="AH97" s="53" t="s">
        <v>1253</v>
      </c>
      <c r="AI97" s="53" t="s">
        <v>3</v>
      </c>
      <c r="AJ97" s="53">
        <v>0</v>
      </c>
      <c r="AK97" s="53" t="s">
        <v>3</v>
      </c>
      <c r="AL97" s="53" t="s">
        <v>1252</v>
      </c>
      <c r="AM97" s="53" t="s">
        <v>1253</v>
      </c>
      <c r="AN97" s="53" t="s">
        <v>3</v>
      </c>
      <c r="AO97" s="53">
        <v>0</v>
      </c>
      <c r="AP97" s="53" t="s">
        <v>3</v>
      </c>
      <c r="AQ97" s="53" t="s">
        <v>1252</v>
      </c>
      <c r="AR97" s="53" t="s">
        <v>1253</v>
      </c>
      <c r="AS97" s="53" t="s">
        <v>3</v>
      </c>
      <c r="AT97" s="53"/>
      <c r="AU97" s="53"/>
      <c r="AV97" s="53"/>
      <c r="AW97" s="53" t="s">
        <v>1761</v>
      </c>
    </row>
    <row r="98" spans="1:49" ht="30" customHeight="1" x14ac:dyDescent="0.3">
      <c r="A98" s="48" t="s">
        <v>1604</v>
      </c>
      <c r="B98" s="44" t="str">
        <f t="shared" si="2"/>
        <v>2</v>
      </c>
      <c r="C98" s="44" t="str">
        <f t="shared" si="3"/>
        <v>2</v>
      </c>
      <c r="D98" s="52" t="s">
        <v>2065</v>
      </c>
      <c r="E98" s="52" t="s">
        <v>2066</v>
      </c>
      <c r="F98" s="45">
        <v>42080</v>
      </c>
      <c r="G98" s="53" t="s">
        <v>1455</v>
      </c>
      <c r="H98" s="53" t="s">
        <v>1390</v>
      </c>
      <c r="I98" s="53">
        <v>0</v>
      </c>
      <c r="J98" s="53" t="s">
        <v>1998</v>
      </c>
      <c r="K98" s="53" t="s">
        <v>1405</v>
      </c>
      <c r="L98" s="53" t="s">
        <v>1476</v>
      </c>
      <c r="M98" s="53" t="s">
        <v>1477</v>
      </c>
      <c r="N98" s="53" t="s">
        <v>3</v>
      </c>
      <c r="O98" s="53" t="s">
        <v>3</v>
      </c>
      <c r="P98" s="53" t="s">
        <v>3</v>
      </c>
      <c r="Q98" s="53" t="s">
        <v>1466</v>
      </c>
      <c r="R98" s="53" t="s">
        <v>1478</v>
      </c>
      <c r="S98" s="53" t="s">
        <v>3</v>
      </c>
      <c r="T98" s="53" t="s">
        <v>3</v>
      </c>
      <c r="U98" s="53" t="s">
        <v>3</v>
      </c>
      <c r="V98" s="53">
        <v>1</v>
      </c>
      <c r="W98" s="53" t="s">
        <v>2519</v>
      </c>
      <c r="X98" s="53" t="s">
        <v>86</v>
      </c>
      <c r="Y98" s="53" t="s">
        <v>152</v>
      </c>
      <c r="Z98" s="53" t="s">
        <v>84</v>
      </c>
      <c r="AA98" s="53" t="s">
        <v>147</v>
      </c>
      <c r="AB98" s="53" t="s">
        <v>96</v>
      </c>
      <c r="AC98" s="53" t="s">
        <v>148</v>
      </c>
      <c r="AD98" s="53">
        <v>0</v>
      </c>
      <c r="AE98" s="53">
        <v>0</v>
      </c>
      <c r="AF98" s="53">
        <v>0</v>
      </c>
      <c r="AG98" s="53">
        <v>0</v>
      </c>
      <c r="AH98" s="53" t="e">
        <v>#N/A</v>
      </c>
      <c r="AI98" s="53" t="s">
        <v>3</v>
      </c>
      <c r="AJ98" s="53">
        <v>0</v>
      </c>
      <c r="AK98" s="53" t="s">
        <v>3</v>
      </c>
      <c r="AL98" s="53" t="s">
        <v>1252</v>
      </c>
      <c r="AM98" s="53" t="s">
        <v>1253</v>
      </c>
      <c r="AN98" s="53" t="s">
        <v>3</v>
      </c>
      <c r="AO98" s="53">
        <v>0</v>
      </c>
      <c r="AP98" s="53" t="s">
        <v>3</v>
      </c>
      <c r="AQ98" s="53" t="s">
        <v>1252</v>
      </c>
      <c r="AR98" s="53" t="s">
        <v>1253</v>
      </c>
      <c r="AS98" s="53" t="s">
        <v>3</v>
      </c>
      <c r="AT98" s="53"/>
      <c r="AU98" s="53"/>
      <c r="AV98" s="53"/>
      <c r="AW98" s="53" t="s">
        <v>1761</v>
      </c>
    </row>
    <row r="99" spans="1:49" ht="30" customHeight="1" x14ac:dyDescent="0.3">
      <c r="A99" s="48" t="s">
        <v>1340</v>
      </c>
      <c r="B99" s="44" t="str">
        <f t="shared" si="2"/>
        <v>2</v>
      </c>
      <c r="C99" s="44" t="str">
        <f t="shared" si="3"/>
        <v>2</v>
      </c>
      <c r="D99" s="52" t="s">
        <v>2067</v>
      </c>
      <c r="E99" s="52" t="s">
        <v>2066</v>
      </c>
      <c r="F99" s="45">
        <v>42121</v>
      </c>
      <c r="G99" s="53" t="s">
        <v>1455</v>
      </c>
      <c r="H99" s="53" t="s">
        <v>1390</v>
      </c>
      <c r="I99" s="53">
        <v>0</v>
      </c>
      <c r="J99" s="53" t="s">
        <v>1998</v>
      </c>
      <c r="K99" s="53" t="s">
        <v>1400</v>
      </c>
      <c r="L99" s="53" t="s">
        <v>3</v>
      </c>
      <c r="M99" s="53" t="s">
        <v>1411</v>
      </c>
      <c r="N99" s="53" t="s">
        <v>1413</v>
      </c>
      <c r="O99" s="53" t="s">
        <v>3</v>
      </c>
      <c r="P99" s="53" t="s">
        <v>3</v>
      </c>
      <c r="Q99" s="53" t="s">
        <v>1414</v>
      </c>
      <c r="R99" s="53" t="s">
        <v>2068</v>
      </c>
      <c r="S99" s="53" t="s">
        <v>3</v>
      </c>
      <c r="T99" s="53" t="s">
        <v>3</v>
      </c>
      <c r="U99" s="53" t="s">
        <v>3</v>
      </c>
      <c r="V99" s="53">
        <v>1</v>
      </c>
      <c r="W99" s="53" t="s">
        <v>2520</v>
      </c>
      <c r="X99" s="53" t="s">
        <v>53</v>
      </c>
      <c r="Y99" s="53" t="s">
        <v>127</v>
      </c>
      <c r="Z99" s="53" t="s">
        <v>51</v>
      </c>
      <c r="AA99" s="53" t="s">
        <v>1384</v>
      </c>
      <c r="AB99" s="53" t="s">
        <v>96</v>
      </c>
      <c r="AC99" s="53" t="s">
        <v>148</v>
      </c>
      <c r="AD99" s="53">
        <v>0</v>
      </c>
      <c r="AE99" s="53">
        <v>0</v>
      </c>
      <c r="AF99" s="53">
        <v>0</v>
      </c>
      <c r="AG99" s="53">
        <v>0</v>
      </c>
      <c r="AH99" s="53" t="e">
        <v>#N/A</v>
      </c>
      <c r="AI99" s="53" t="s">
        <v>3</v>
      </c>
      <c r="AJ99" s="53">
        <v>0</v>
      </c>
      <c r="AK99" s="53" t="s">
        <v>3</v>
      </c>
      <c r="AL99" s="53" t="s">
        <v>1252</v>
      </c>
      <c r="AM99" s="53" t="s">
        <v>1253</v>
      </c>
      <c r="AN99" s="53" t="s">
        <v>3</v>
      </c>
      <c r="AO99" s="53">
        <v>0</v>
      </c>
      <c r="AP99" s="53" t="s">
        <v>3</v>
      </c>
      <c r="AQ99" s="53" t="s">
        <v>1252</v>
      </c>
      <c r="AR99" s="53" t="s">
        <v>1253</v>
      </c>
      <c r="AS99" s="53" t="s">
        <v>3</v>
      </c>
      <c r="AT99" s="53"/>
      <c r="AU99" s="53"/>
      <c r="AV99" s="53"/>
      <c r="AW99" s="53" t="s">
        <v>1761</v>
      </c>
    </row>
    <row r="100" spans="1:49" ht="30" customHeight="1" x14ac:dyDescent="0.3">
      <c r="A100" s="48" t="s">
        <v>1341</v>
      </c>
      <c r="B100" s="44" t="str">
        <f t="shared" si="2"/>
        <v>2</v>
      </c>
      <c r="C100" s="44" t="str">
        <f t="shared" si="3"/>
        <v>2</v>
      </c>
      <c r="D100" s="52" t="s">
        <v>2069</v>
      </c>
      <c r="E100" s="52" t="s">
        <v>2066</v>
      </c>
      <c r="F100" s="45">
        <v>41507</v>
      </c>
      <c r="G100" s="53" t="s">
        <v>1455</v>
      </c>
      <c r="H100" s="53">
        <v>0</v>
      </c>
      <c r="I100" s="53">
        <v>0</v>
      </c>
      <c r="J100" s="53" t="s">
        <v>1779</v>
      </c>
      <c r="K100" s="53" t="s">
        <v>1389</v>
      </c>
      <c r="L100" s="53" t="s">
        <v>3</v>
      </c>
      <c r="M100" s="53" t="s">
        <v>3</v>
      </c>
      <c r="N100" s="53" t="s">
        <v>3</v>
      </c>
      <c r="O100" s="53" t="s">
        <v>3</v>
      </c>
      <c r="P100" s="53" t="s">
        <v>3</v>
      </c>
      <c r="Q100" s="53" t="s">
        <v>3</v>
      </c>
      <c r="R100" s="53" t="s">
        <v>3</v>
      </c>
      <c r="S100" s="53" t="s">
        <v>3</v>
      </c>
      <c r="T100" s="53" t="s">
        <v>3</v>
      </c>
      <c r="U100" s="53" t="s">
        <v>3</v>
      </c>
      <c r="V100" s="53">
        <v>1</v>
      </c>
      <c r="W100" s="53" t="s">
        <v>2520</v>
      </c>
      <c r="X100" s="53" t="s">
        <v>48</v>
      </c>
      <c r="Y100" s="53" t="s">
        <v>105</v>
      </c>
      <c r="Z100" s="53" t="s">
        <v>51</v>
      </c>
      <c r="AA100" s="53" t="s">
        <v>1384</v>
      </c>
      <c r="AB100" s="53" t="s">
        <v>96</v>
      </c>
      <c r="AC100" s="53" t="s">
        <v>148</v>
      </c>
      <c r="AD100" s="53">
        <v>0</v>
      </c>
      <c r="AE100" s="53">
        <v>0</v>
      </c>
      <c r="AF100" s="53">
        <v>0</v>
      </c>
      <c r="AG100" s="53">
        <v>0</v>
      </c>
      <c r="AH100" s="53" t="e">
        <v>#N/A</v>
      </c>
      <c r="AI100" s="53" t="s">
        <v>3</v>
      </c>
      <c r="AJ100" s="53">
        <v>0</v>
      </c>
      <c r="AK100" s="53" t="s">
        <v>3</v>
      </c>
      <c r="AL100" s="53" t="s">
        <v>1252</v>
      </c>
      <c r="AM100" s="53" t="s">
        <v>1253</v>
      </c>
      <c r="AN100" s="53" t="s">
        <v>3</v>
      </c>
      <c r="AO100" s="53">
        <v>0</v>
      </c>
      <c r="AP100" s="53" t="s">
        <v>3</v>
      </c>
      <c r="AQ100" s="53" t="s">
        <v>1252</v>
      </c>
      <c r="AR100" s="53" t="s">
        <v>1253</v>
      </c>
      <c r="AS100" s="53" t="s">
        <v>3</v>
      </c>
      <c r="AT100" s="53"/>
      <c r="AU100" s="53"/>
      <c r="AV100" s="53"/>
      <c r="AW100" s="53" t="s">
        <v>1761</v>
      </c>
    </row>
    <row r="101" spans="1:49" ht="30" customHeight="1" x14ac:dyDescent="0.3">
      <c r="A101" s="48" t="s">
        <v>1342</v>
      </c>
      <c r="B101" s="44" t="str">
        <f t="shared" si="2"/>
        <v>2</v>
      </c>
      <c r="C101" s="44" t="str">
        <f t="shared" si="3"/>
        <v>2</v>
      </c>
      <c r="D101" s="52" t="s">
        <v>2070</v>
      </c>
      <c r="E101" s="52" t="s">
        <v>2066</v>
      </c>
      <c r="F101" s="45">
        <v>42074</v>
      </c>
      <c r="G101" s="53" t="s">
        <v>1455</v>
      </c>
      <c r="H101" s="53">
        <v>0</v>
      </c>
      <c r="I101" s="53">
        <v>0</v>
      </c>
      <c r="J101" s="53" t="s">
        <v>1779</v>
      </c>
      <c r="K101" s="53" t="s">
        <v>1389</v>
      </c>
      <c r="L101" s="53" t="s">
        <v>3</v>
      </c>
      <c r="M101" s="53" t="s">
        <v>3</v>
      </c>
      <c r="N101" s="53" t="s">
        <v>3</v>
      </c>
      <c r="O101" s="53" t="s">
        <v>3</v>
      </c>
      <c r="P101" s="53" t="s">
        <v>3</v>
      </c>
      <c r="Q101" s="53" t="s">
        <v>3</v>
      </c>
      <c r="R101" s="53" t="s">
        <v>3</v>
      </c>
      <c r="S101" s="53" t="s">
        <v>3</v>
      </c>
      <c r="T101" s="53" t="s">
        <v>3</v>
      </c>
      <c r="U101" s="53" t="s">
        <v>3</v>
      </c>
      <c r="V101" s="53">
        <v>1</v>
      </c>
      <c r="W101" s="53" t="s">
        <v>2518</v>
      </c>
      <c r="X101" s="53" t="s">
        <v>48</v>
      </c>
      <c r="Y101" s="53" t="s">
        <v>105</v>
      </c>
      <c r="Z101" s="53" t="s">
        <v>51</v>
      </c>
      <c r="AA101" s="53" t="s">
        <v>1384</v>
      </c>
      <c r="AB101" s="53" t="s">
        <v>96</v>
      </c>
      <c r="AC101" s="53" t="s">
        <v>148</v>
      </c>
      <c r="AD101" s="53">
        <v>0</v>
      </c>
      <c r="AE101" s="53">
        <v>0</v>
      </c>
      <c r="AF101" s="53">
        <v>0</v>
      </c>
      <c r="AG101" s="53">
        <v>0</v>
      </c>
      <c r="AH101" s="53" t="e">
        <v>#N/A</v>
      </c>
      <c r="AI101" s="53" t="s">
        <v>3</v>
      </c>
      <c r="AJ101" s="53">
        <v>0</v>
      </c>
      <c r="AK101" s="53" t="s">
        <v>3</v>
      </c>
      <c r="AL101" s="53" t="s">
        <v>1252</v>
      </c>
      <c r="AM101" s="53" t="s">
        <v>1253</v>
      </c>
      <c r="AN101" s="53" t="s">
        <v>3</v>
      </c>
      <c r="AO101" s="53">
        <v>0</v>
      </c>
      <c r="AP101" s="53" t="s">
        <v>3</v>
      </c>
      <c r="AQ101" s="53" t="s">
        <v>1252</v>
      </c>
      <c r="AR101" s="53" t="s">
        <v>1253</v>
      </c>
      <c r="AS101" s="53" t="s">
        <v>3</v>
      </c>
      <c r="AT101" s="53"/>
      <c r="AU101" s="53"/>
      <c r="AV101" s="53"/>
      <c r="AW101" s="53" t="s">
        <v>1761</v>
      </c>
    </row>
    <row r="102" spans="1:49" ht="30" customHeight="1" x14ac:dyDescent="0.3">
      <c r="A102" s="48" t="s">
        <v>1343</v>
      </c>
      <c r="B102" s="44" t="str">
        <f t="shared" si="2"/>
        <v>2</v>
      </c>
      <c r="C102" s="44" t="str">
        <f t="shared" si="3"/>
        <v>2</v>
      </c>
      <c r="D102" s="52" t="s">
        <v>2071</v>
      </c>
      <c r="E102" s="52" t="s">
        <v>2066</v>
      </c>
      <c r="F102" s="45">
        <v>43817</v>
      </c>
      <c r="G102" s="53" t="s">
        <v>1455</v>
      </c>
      <c r="H102" s="53" t="s">
        <v>2072</v>
      </c>
      <c r="I102" s="53">
        <v>0</v>
      </c>
      <c r="J102" s="53" t="s">
        <v>1998</v>
      </c>
      <c r="K102" s="53" t="s">
        <v>1394</v>
      </c>
      <c r="L102" s="53" t="s">
        <v>3</v>
      </c>
      <c r="M102" s="53" t="s">
        <v>2026</v>
      </c>
      <c r="N102" s="53" t="s">
        <v>3</v>
      </c>
      <c r="O102" s="53" t="s">
        <v>3</v>
      </c>
      <c r="P102" s="53" t="s">
        <v>3</v>
      </c>
      <c r="Q102" s="53" t="s">
        <v>1396</v>
      </c>
      <c r="R102" s="53" t="s">
        <v>2073</v>
      </c>
      <c r="S102" s="53" t="s">
        <v>3</v>
      </c>
      <c r="T102" s="53" t="s">
        <v>3</v>
      </c>
      <c r="U102" s="53" t="s">
        <v>2047</v>
      </c>
      <c r="V102" s="53">
        <v>1</v>
      </c>
      <c r="W102" s="53" t="s">
        <v>2520</v>
      </c>
      <c r="X102" s="53" t="s">
        <v>53</v>
      </c>
      <c r="Y102" s="53" t="s">
        <v>127</v>
      </c>
      <c r="Z102" s="53" t="s">
        <v>51</v>
      </c>
      <c r="AA102" s="53" t="s">
        <v>1384</v>
      </c>
      <c r="AB102" s="53" t="s">
        <v>96</v>
      </c>
      <c r="AC102" s="53" t="s">
        <v>148</v>
      </c>
      <c r="AD102" s="53">
        <v>0</v>
      </c>
      <c r="AE102" s="53">
        <v>0</v>
      </c>
      <c r="AF102" s="53">
        <v>0</v>
      </c>
      <c r="AG102" s="53">
        <v>0</v>
      </c>
      <c r="AH102" s="53" t="e">
        <v>#N/A</v>
      </c>
      <c r="AI102" s="53" t="s">
        <v>3</v>
      </c>
      <c r="AJ102" s="53">
        <v>0</v>
      </c>
      <c r="AK102" s="53" t="s">
        <v>3</v>
      </c>
      <c r="AL102" s="53" t="s">
        <v>1252</v>
      </c>
      <c r="AM102" s="53" t="s">
        <v>1253</v>
      </c>
      <c r="AN102" s="53" t="s">
        <v>3</v>
      </c>
      <c r="AO102" s="53">
        <v>0</v>
      </c>
      <c r="AP102" s="53" t="s">
        <v>3</v>
      </c>
      <c r="AQ102" s="53" t="s">
        <v>1252</v>
      </c>
      <c r="AR102" s="53" t="s">
        <v>1253</v>
      </c>
      <c r="AS102" s="53" t="s">
        <v>3</v>
      </c>
      <c r="AT102" s="53"/>
      <c r="AU102" s="53"/>
      <c r="AV102" s="53"/>
      <c r="AW102" s="53" t="s">
        <v>1761</v>
      </c>
    </row>
    <row r="103" spans="1:49" ht="30" customHeight="1" x14ac:dyDescent="0.3">
      <c r="A103" s="48" t="s">
        <v>1344</v>
      </c>
      <c r="B103" s="44" t="str">
        <f t="shared" si="2"/>
        <v>2</v>
      </c>
      <c r="C103" s="44" t="str">
        <f t="shared" si="3"/>
        <v>2</v>
      </c>
      <c r="D103" s="52" t="s">
        <v>2074</v>
      </c>
      <c r="E103" s="52" t="s">
        <v>2066</v>
      </c>
      <c r="F103" s="45">
        <v>40539</v>
      </c>
      <c r="G103" s="53" t="s">
        <v>1455</v>
      </c>
      <c r="H103" s="53" t="s">
        <v>1460</v>
      </c>
      <c r="I103" s="53">
        <v>0</v>
      </c>
      <c r="J103" s="53" t="s">
        <v>1779</v>
      </c>
      <c r="K103" s="53" t="s">
        <v>1922</v>
      </c>
      <c r="L103" s="53" t="s">
        <v>3</v>
      </c>
      <c r="M103" s="53" t="s">
        <v>2075</v>
      </c>
      <c r="N103" s="53" t="s">
        <v>1141</v>
      </c>
      <c r="O103" s="53" t="s">
        <v>3</v>
      </c>
      <c r="P103" s="53" t="s">
        <v>3</v>
      </c>
      <c r="Q103" s="53" t="s">
        <v>2076</v>
      </c>
      <c r="R103" s="53" t="s">
        <v>2077</v>
      </c>
      <c r="S103" s="53" t="s">
        <v>1142</v>
      </c>
      <c r="T103" s="53" t="s">
        <v>3</v>
      </c>
      <c r="U103" s="53" t="s">
        <v>3</v>
      </c>
      <c r="V103" s="53">
        <v>2</v>
      </c>
      <c r="W103" s="53" t="s">
        <v>2520</v>
      </c>
      <c r="X103" s="53" t="s">
        <v>1385</v>
      </c>
      <c r="Y103" s="53" t="s">
        <v>1799</v>
      </c>
      <c r="Z103" s="53" t="s">
        <v>1419</v>
      </c>
      <c r="AA103" s="53" t="s">
        <v>2528</v>
      </c>
      <c r="AB103" s="53" t="s">
        <v>96</v>
      </c>
      <c r="AC103" s="53" t="s">
        <v>148</v>
      </c>
      <c r="AD103" s="53">
        <v>0</v>
      </c>
      <c r="AE103" s="53">
        <v>0</v>
      </c>
      <c r="AF103" s="53">
        <v>0</v>
      </c>
      <c r="AG103" s="53">
        <v>0</v>
      </c>
      <c r="AH103" s="53" t="e">
        <v>#N/A</v>
      </c>
      <c r="AI103" s="53" t="s">
        <v>3</v>
      </c>
      <c r="AJ103" s="53">
        <v>0</v>
      </c>
      <c r="AK103" s="53" t="s">
        <v>3</v>
      </c>
      <c r="AL103" s="53" t="s">
        <v>1252</v>
      </c>
      <c r="AM103" s="53" t="s">
        <v>1253</v>
      </c>
      <c r="AN103" s="53" t="s">
        <v>3</v>
      </c>
      <c r="AO103" s="53">
        <v>0</v>
      </c>
      <c r="AP103" s="53" t="s">
        <v>3</v>
      </c>
      <c r="AQ103" s="53" t="s">
        <v>1252</v>
      </c>
      <c r="AR103" s="53" t="s">
        <v>1253</v>
      </c>
      <c r="AS103" s="53" t="s">
        <v>3</v>
      </c>
      <c r="AT103" s="53"/>
      <c r="AU103" s="53"/>
      <c r="AV103" s="53"/>
      <c r="AW103" s="53" t="s">
        <v>1761</v>
      </c>
    </row>
    <row r="104" spans="1:49" ht="30" customHeight="1" x14ac:dyDescent="0.3">
      <c r="A104" s="48" t="s">
        <v>1345</v>
      </c>
      <c r="B104" s="44" t="str">
        <f t="shared" si="2"/>
        <v>2</v>
      </c>
      <c r="C104" s="44" t="str">
        <f t="shared" si="3"/>
        <v>2</v>
      </c>
      <c r="D104" s="52" t="s">
        <v>2078</v>
      </c>
      <c r="E104" s="52" t="s">
        <v>2066</v>
      </c>
      <c r="F104" s="45">
        <v>43627</v>
      </c>
      <c r="G104" s="53" t="s">
        <v>1455</v>
      </c>
      <c r="H104" s="53">
        <v>0</v>
      </c>
      <c r="I104" s="53">
        <v>0</v>
      </c>
      <c r="J104" s="53" t="s">
        <v>1779</v>
      </c>
      <c r="K104" s="53" t="s">
        <v>1394</v>
      </c>
      <c r="L104" s="53" t="s">
        <v>1476</v>
      </c>
      <c r="M104" s="53" t="s">
        <v>1463</v>
      </c>
      <c r="N104" s="53" t="s">
        <v>3</v>
      </c>
      <c r="O104" s="53" t="s">
        <v>3</v>
      </c>
      <c r="P104" s="53" t="s">
        <v>3</v>
      </c>
      <c r="Q104" s="53" t="s">
        <v>1466</v>
      </c>
      <c r="R104" s="53" t="s">
        <v>2079</v>
      </c>
      <c r="S104" s="53">
        <v>0</v>
      </c>
      <c r="T104" s="53" t="s">
        <v>3</v>
      </c>
      <c r="U104" s="53" t="s">
        <v>1949</v>
      </c>
      <c r="V104" s="53">
        <v>1</v>
      </c>
      <c r="W104" s="53" t="s">
        <v>2520</v>
      </c>
      <c r="X104" s="53" t="s">
        <v>86</v>
      </c>
      <c r="Y104" s="53" t="s">
        <v>152</v>
      </c>
      <c r="Z104" s="53" t="s">
        <v>84</v>
      </c>
      <c r="AA104" s="53" t="s">
        <v>147</v>
      </c>
      <c r="AB104" s="53" t="s">
        <v>96</v>
      </c>
      <c r="AC104" s="53" t="s">
        <v>148</v>
      </c>
      <c r="AD104" s="53">
        <v>0</v>
      </c>
      <c r="AE104" s="53">
        <v>0</v>
      </c>
      <c r="AF104" s="53">
        <v>0</v>
      </c>
      <c r="AG104" s="53">
        <v>0</v>
      </c>
      <c r="AH104" s="53" t="e">
        <v>#N/A</v>
      </c>
      <c r="AI104" s="53" t="s">
        <v>3</v>
      </c>
      <c r="AJ104" s="53">
        <v>0</v>
      </c>
      <c r="AK104" s="53" t="s">
        <v>3</v>
      </c>
      <c r="AL104" s="53" t="s">
        <v>1252</v>
      </c>
      <c r="AM104" s="53" t="s">
        <v>1253</v>
      </c>
      <c r="AN104" s="53" t="s">
        <v>3</v>
      </c>
      <c r="AO104" s="53">
        <v>0</v>
      </c>
      <c r="AP104" s="53" t="s">
        <v>3</v>
      </c>
      <c r="AQ104" s="53" t="s">
        <v>1252</v>
      </c>
      <c r="AR104" s="53" t="s">
        <v>1253</v>
      </c>
      <c r="AS104" s="53" t="s">
        <v>3</v>
      </c>
      <c r="AT104" s="53"/>
      <c r="AU104" s="53"/>
      <c r="AV104" s="53"/>
      <c r="AW104" s="53" t="s">
        <v>1761</v>
      </c>
    </row>
    <row r="105" spans="1:49" ht="30" customHeight="1" x14ac:dyDescent="0.3">
      <c r="A105" s="48" t="s">
        <v>1346</v>
      </c>
      <c r="B105" s="44" t="str">
        <f t="shared" si="2"/>
        <v>2</v>
      </c>
      <c r="C105" s="44" t="str">
        <f t="shared" si="3"/>
        <v>2</v>
      </c>
      <c r="D105" s="52" t="s">
        <v>2080</v>
      </c>
      <c r="E105" s="52" t="s">
        <v>2066</v>
      </c>
      <c r="F105" s="45">
        <v>43017</v>
      </c>
      <c r="G105" s="53" t="s">
        <v>1388</v>
      </c>
      <c r="H105" s="53" t="s">
        <v>1425</v>
      </c>
      <c r="I105" s="53">
        <v>0</v>
      </c>
      <c r="J105" s="53" t="s">
        <v>1779</v>
      </c>
      <c r="K105" s="53" t="s">
        <v>1405</v>
      </c>
      <c r="L105" s="53" t="s">
        <v>1476</v>
      </c>
      <c r="M105" s="53" t="s">
        <v>1477</v>
      </c>
      <c r="N105" s="53" t="s">
        <v>3</v>
      </c>
      <c r="O105" s="53" t="s">
        <v>3</v>
      </c>
      <c r="P105" s="53" t="s">
        <v>3</v>
      </c>
      <c r="Q105" s="53" t="s">
        <v>1404</v>
      </c>
      <c r="R105" s="53" t="s">
        <v>1931</v>
      </c>
      <c r="S105" s="53" t="s">
        <v>1503</v>
      </c>
      <c r="T105" s="53" t="s">
        <v>3</v>
      </c>
      <c r="U105" s="53" t="s">
        <v>2081</v>
      </c>
      <c r="V105" s="53">
        <v>1</v>
      </c>
      <c r="W105" s="53" t="s">
        <v>2520</v>
      </c>
      <c r="X105" s="53" t="s">
        <v>53</v>
      </c>
      <c r="Y105" s="53" t="s">
        <v>127</v>
      </c>
      <c r="Z105" s="53" t="s">
        <v>84</v>
      </c>
      <c r="AA105" s="53" t="s">
        <v>147</v>
      </c>
      <c r="AB105" s="53" t="s">
        <v>95</v>
      </c>
      <c r="AC105" s="53" t="s">
        <v>124</v>
      </c>
      <c r="AD105" s="53">
        <v>0</v>
      </c>
      <c r="AE105" s="53">
        <v>0</v>
      </c>
      <c r="AF105" s="53">
        <v>0</v>
      </c>
      <c r="AG105" s="53">
        <v>0</v>
      </c>
      <c r="AH105" s="53" t="e">
        <v>#N/A</v>
      </c>
      <c r="AI105" s="53" t="s">
        <v>3</v>
      </c>
      <c r="AJ105" s="53">
        <v>0</v>
      </c>
      <c r="AK105" s="53" t="s">
        <v>3</v>
      </c>
      <c r="AL105" s="53" t="s">
        <v>1252</v>
      </c>
      <c r="AM105" s="53" t="s">
        <v>1253</v>
      </c>
      <c r="AN105" s="53" t="s">
        <v>3</v>
      </c>
      <c r="AO105" s="53">
        <v>0</v>
      </c>
      <c r="AP105" s="53" t="s">
        <v>3</v>
      </c>
      <c r="AQ105" s="53" t="s">
        <v>1252</v>
      </c>
      <c r="AR105" s="53" t="s">
        <v>1253</v>
      </c>
      <c r="AS105" s="53" t="s">
        <v>3</v>
      </c>
      <c r="AT105" s="53"/>
      <c r="AU105" s="53"/>
      <c r="AV105" s="53"/>
      <c r="AW105" s="53" t="s">
        <v>1761</v>
      </c>
    </row>
    <row r="106" spans="1:49" ht="30" customHeight="1" x14ac:dyDescent="0.3">
      <c r="A106" s="48" t="s">
        <v>1347</v>
      </c>
      <c r="B106" s="44" t="str">
        <f t="shared" si="2"/>
        <v>2</v>
      </c>
      <c r="C106" s="44" t="str">
        <f t="shared" si="3"/>
        <v>2</v>
      </c>
      <c r="D106" s="52" t="s">
        <v>2082</v>
      </c>
      <c r="E106" s="52" t="s">
        <v>2066</v>
      </c>
      <c r="F106" s="45">
        <v>43367</v>
      </c>
      <c r="G106" s="53" t="s">
        <v>1388</v>
      </c>
      <c r="H106" s="53" t="s">
        <v>1550</v>
      </c>
      <c r="I106" s="53">
        <v>0</v>
      </c>
      <c r="J106" s="53" t="s">
        <v>1998</v>
      </c>
      <c r="K106" s="53" t="s">
        <v>1394</v>
      </c>
      <c r="L106" s="53" t="s">
        <v>1476</v>
      </c>
      <c r="M106" s="53" t="s">
        <v>2083</v>
      </c>
      <c r="N106" s="53" t="s">
        <v>3</v>
      </c>
      <c r="O106" s="53" t="s">
        <v>3</v>
      </c>
      <c r="P106" s="53" t="s">
        <v>3</v>
      </c>
      <c r="Q106" s="53" t="s">
        <v>1396</v>
      </c>
      <c r="R106" s="53" t="s">
        <v>2084</v>
      </c>
      <c r="S106" s="53" t="s">
        <v>1503</v>
      </c>
      <c r="T106" s="53" t="s">
        <v>3</v>
      </c>
      <c r="U106" s="53" t="s">
        <v>2085</v>
      </c>
      <c r="V106" s="53">
        <v>1</v>
      </c>
      <c r="W106" s="53" t="s">
        <v>2520</v>
      </c>
      <c r="X106" s="53" t="s">
        <v>53</v>
      </c>
      <c r="Y106" s="53" t="s">
        <v>127</v>
      </c>
      <c r="Z106" s="53" t="s">
        <v>51</v>
      </c>
      <c r="AA106" s="53" t="s">
        <v>1384</v>
      </c>
      <c r="AB106" s="53" t="s">
        <v>96</v>
      </c>
      <c r="AC106" s="53" t="s">
        <v>148</v>
      </c>
      <c r="AD106" s="53">
        <v>0</v>
      </c>
      <c r="AE106" s="53">
        <v>0</v>
      </c>
      <c r="AF106" s="53">
        <v>0</v>
      </c>
      <c r="AG106" s="53">
        <v>0</v>
      </c>
      <c r="AH106" s="53" t="e">
        <v>#N/A</v>
      </c>
      <c r="AI106" s="53" t="s">
        <v>3</v>
      </c>
      <c r="AJ106" s="53">
        <v>0</v>
      </c>
      <c r="AK106" s="53" t="s">
        <v>3</v>
      </c>
      <c r="AL106" s="53" t="s">
        <v>1252</v>
      </c>
      <c r="AM106" s="53" t="s">
        <v>1253</v>
      </c>
      <c r="AN106" s="53" t="s">
        <v>3</v>
      </c>
      <c r="AO106" s="53">
        <v>0</v>
      </c>
      <c r="AP106" s="53" t="s">
        <v>3</v>
      </c>
      <c r="AQ106" s="53" t="s">
        <v>1252</v>
      </c>
      <c r="AR106" s="53" t="s">
        <v>1253</v>
      </c>
      <c r="AS106" s="53" t="s">
        <v>3</v>
      </c>
      <c r="AT106" s="53"/>
      <c r="AU106" s="53"/>
      <c r="AV106" s="53"/>
      <c r="AW106" s="53" t="s">
        <v>1761</v>
      </c>
    </row>
    <row r="107" spans="1:49" ht="30" customHeight="1" x14ac:dyDescent="0.3">
      <c r="A107" s="48" t="s">
        <v>1605</v>
      </c>
      <c r="B107" s="44" t="str">
        <f t="shared" si="2"/>
        <v>2</v>
      </c>
      <c r="C107" s="44" t="str">
        <f t="shared" si="3"/>
        <v>2</v>
      </c>
      <c r="D107" s="52" t="s">
        <v>2086</v>
      </c>
      <c r="E107" s="52" t="s">
        <v>2025</v>
      </c>
      <c r="F107" s="45">
        <v>44105</v>
      </c>
      <c r="G107" s="53" t="s">
        <v>1388</v>
      </c>
      <c r="H107" s="53" t="s">
        <v>1480</v>
      </c>
      <c r="I107" s="53" t="s">
        <v>1146</v>
      </c>
      <c r="J107" s="53" t="s">
        <v>1998</v>
      </c>
      <c r="K107" s="53" t="s">
        <v>1407</v>
      </c>
      <c r="L107" s="53" t="s">
        <v>3</v>
      </c>
      <c r="M107" s="53" t="s">
        <v>1408</v>
      </c>
      <c r="N107" s="53" t="s">
        <v>3</v>
      </c>
      <c r="O107" s="53" t="s">
        <v>3</v>
      </c>
      <c r="P107" s="53" t="s">
        <v>3</v>
      </c>
      <c r="Q107" s="53" t="s">
        <v>3</v>
      </c>
      <c r="R107" s="53" t="s">
        <v>2087</v>
      </c>
      <c r="S107" s="53" t="s">
        <v>3</v>
      </c>
      <c r="T107" s="53" t="s">
        <v>3</v>
      </c>
      <c r="U107" s="53" t="s">
        <v>2088</v>
      </c>
      <c r="V107" s="53">
        <v>1</v>
      </c>
      <c r="W107" s="53" t="s">
        <v>2521</v>
      </c>
      <c r="X107" s="53" t="s">
        <v>48</v>
      </c>
      <c r="Y107" s="53" t="s">
        <v>105</v>
      </c>
      <c r="Z107" s="53" t="s">
        <v>51</v>
      </c>
      <c r="AA107" s="53" t="s">
        <v>1384</v>
      </c>
      <c r="AB107" s="53" t="s">
        <v>95</v>
      </c>
      <c r="AC107" s="53" t="s">
        <v>124</v>
      </c>
      <c r="AD107" s="53" t="s">
        <v>3</v>
      </c>
      <c r="AE107" s="53">
        <v>0</v>
      </c>
      <c r="AF107" s="53" t="s">
        <v>3</v>
      </c>
      <c r="AG107" s="53" t="s">
        <v>1252</v>
      </c>
      <c r="AH107" s="53" t="s">
        <v>1253</v>
      </c>
      <c r="AI107" s="53" t="s">
        <v>3</v>
      </c>
      <c r="AJ107" s="53">
        <v>0</v>
      </c>
      <c r="AK107" s="53" t="s">
        <v>3</v>
      </c>
      <c r="AL107" s="53" t="s">
        <v>1252</v>
      </c>
      <c r="AM107" s="53" t="s">
        <v>1253</v>
      </c>
      <c r="AN107" s="53" t="s">
        <v>3</v>
      </c>
      <c r="AO107" s="53">
        <v>0</v>
      </c>
      <c r="AP107" s="53" t="s">
        <v>3</v>
      </c>
      <c r="AQ107" s="53" t="s">
        <v>1252</v>
      </c>
      <c r="AR107" s="53" t="s">
        <v>1253</v>
      </c>
      <c r="AS107" s="53">
        <v>70</v>
      </c>
      <c r="AT107" s="53"/>
      <c r="AU107" s="53"/>
      <c r="AV107" s="53"/>
      <c r="AW107" s="53" t="s">
        <v>1761</v>
      </c>
    </row>
    <row r="108" spans="1:49" ht="30" customHeight="1" x14ac:dyDescent="0.3">
      <c r="A108" s="48" t="s">
        <v>1606</v>
      </c>
      <c r="B108" s="44" t="str">
        <f t="shared" si="2"/>
        <v>2</v>
      </c>
      <c r="C108" s="44" t="str">
        <f t="shared" si="3"/>
        <v>2</v>
      </c>
      <c r="D108" s="52" t="s">
        <v>2089</v>
      </c>
      <c r="E108" s="52" t="s">
        <v>2066</v>
      </c>
      <c r="F108" s="45">
        <v>42093</v>
      </c>
      <c r="G108" s="53" t="s">
        <v>1455</v>
      </c>
      <c r="H108" s="53" t="s">
        <v>1460</v>
      </c>
      <c r="I108" s="53">
        <v>0</v>
      </c>
      <c r="J108" s="53" t="s">
        <v>1779</v>
      </c>
      <c r="K108" s="53" t="s">
        <v>1890</v>
      </c>
      <c r="L108" s="53" t="s">
        <v>3</v>
      </c>
      <c r="M108" s="53" t="s">
        <v>2090</v>
      </c>
      <c r="N108" s="53" t="s">
        <v>1141</v>
      </c>
      <c r="O108" s="53" t="s">
        <v>3</v>
      </c>
      <c r="P108" s="53" t="s">
        <v>3</v>
      </c>
      <c r="Q108" s="53" t="s">
        <v>2091</v>
      </c>
      <c r="R108" s="53" t="s">
        <v>2092</v>
      </c>
      <c r="S108" s="53" t="s">
        <v>1142</v>
      </c>
      <c r="T108" s="53" t="s">
        <v>3</v>
      </c>
      <c r="U108" s="53" t="s">
        <v>2093</v>
      </c>
      <c r="V108" s="53">
        <v>2</v>
      </c>
      <c r="W108" s="53" t="s">
        <v>2521</v>
      </c>
      <c r="X108" s="53" t="s">
        <v>1385</v>
      </c>
      <c r="Y108" s="53" t="s">
        <v>1799</v>
      </c>
      <c r="Z108" s="53" t="s">
        <v>1419</v>
      </c>
      <c r="AA108" s="53" t="s">
        <v>2528</v>
      </c>
      <c r="AB108" s="53" t="s">
        <v>95</v>
      </c>
      <c r="AC108" s="53" t="s">
        <v>124</v>
      </c>
      <c r="AD108" s="53">
        <v>0</v>
      </c>
      <c r="AE108" s="53">
        <v>0</v>
      </c>
      <c r="AF108" s="53">
        <v>0</v>
      </c>
      <c r="AG108" s="53">
        <v>0</v>
      </c>
      <c r="AH108" s="53" t="e">
        <v>#N/A</v>
      </c>
      <c r="AI108" s="53" t="s">
        <v>3</v>
      </c>
      <c r="AJ108" s="53">
        <v>0</v>
      </c>
      <c r="AK108" s="53" t="s">
        <v>3</v>
      </c>
      <c r="AL108" s="53" t="s">
        <v>1252</v>
      </c>
      <c r="AM108" s="53" t="s">
        <v>1253</v>
      </c>
      <c r="AN108" s="53" t="s">
        <v>3</v>
      </c>
      <c r="AO108" s="53">
        <v>0</v>
      </c>
      <c r="AP108" s="53" t="s">
        <v>3</v>
      </c>
      <c r="AQ108" s="53" t="s">
        <v>1252</v>
      </c>
      <c r="AR108" s="53" t="s">
        <v>1253</v>
      </c>
      <c r="AS108" s="53" t="s">
        <v>3</v>
      </c>
      <c r="AT108" s="53"/>
      <c r="AU108" s="53"/>
      <c r="AV108" s="53"/>
      <c r="AW108" s="53" t="s">
        <v>1761</v>
      </c>
    </row>
    <row r="109" spans="1:49" ht="30" customHeight="1" x14ac:dyDescent="0.3">
      <c r="A109" s="48" t="s">
        <v>1607</v>
      </c>
      <c r="B109" s="44" t="str">
        <f t="shared" si="2"/>
        <v>2</v>
      </c>
      <c r="C109" s="44" t="str">
        <f t="shared" si="3"/>
        <v>2</v>
      </c>
      <c r="D109" s="52" t="s">
        <v>2094</v>
      </c>
      <c r="E109" s="52" t="s">
        <v>2066</v>
      </c>
      <c r="F109" s="45">
        <v>42073</v>
      </c>
      <c r="G109" s="53" t="s">
        <v>1485</v>
      </c>
      <c r="H109" s="53" t="s">
        <v>1390</v>
      </c>
      <c r="I109" s="53" t="s">
        <v>1383</v>
      </c>
      <c r="J109" s="53" t="s">
        <v>2095</v>
      </c>
      <c r="K109" s="53" t="s">
        <v>1389</v>
      </c>
      <c r="L109" s="53" t="s">
        <v>3</v>
      </c>
      <c r="M109" s="53" t="s">
        <v>3</v>
      </c>
      <c r="N109" s="53" t="s">
        <v>3</v>
      </c>
      <c r="O109" s="53" t="s">
        <v>3</v>
      </c>
      <c r="P109" s="53" t="s">
        <v>3</v>
      </c>
      <c r="Q109" s="53" t="s">
        <v>3</v>
      </c>
      <c r="R109" s="53" t="s">
        <v>3</v>
      </c>
      <c r="S109" s="53" t="s">
        <v>3</v>
      </c>
      <c r="T109" s="53" t="s">
        <v>3</v>
      </c>
      <c r="U109" s="53" t="s">
        <v>3</v>
      </c>
      <c r="V109" s="53">
        <v>1</v>
      </c>
      <c r="W109" s="53" t="s">
        <v>2518</v>
      </c>
      <c r="X109" s="53" t="s">
        <v>48</v>
      </c>
      <c r="Y109" s="53" t="s">
        <v>105</v>
      </c>
      <c r="Z109" s="53" t="s">
        <v>51</v>
      </c>
      <c r="AA109" s="53" t="s">
        <v>1384</v>
      </c>
      <c r="AB109" s="53" t="s">
        <v>96</v>
      </c>
      <c r="AC109" s="53" t="s">
        <v>148</v>
      </c>
      <c r="AD109" s="53" t="s">
        <v>3</v>
      </c>
      <c r="AE109" s="53">
        <v>0</v>
      </c>
      <c r="AF109" s="53" t="s">
        <v>3</v>
      </c>
      <c r="AG109" s="53" t="s">
        <v>1252</v>
      </c>
      <c r="AH109" s="53" t="s">
        <v>1253</v>
      </c>
      <c r="AI109" s="53" t="s">
        <v>3</v>
      </c>
      <c r="AJ109" s="53">
        <v>0</v>
      </c>
      <c r="AK109" s="53" t="s">
        <v>3</v>
      </c>
      <c r="AL109" s="53" t="s">
        <v>1252</v>
      </c>
      <c r="AM109" s="53" t="s">
        <v>1253</v>
      </c>
      <c r="AN109" s="53" t="s">
        <v>3</v>
      </c>
      <c r="AO109" s="53">
        <v>0</v>
      </c>
      <c r="AP109" s="53" t="s">
        <v>3</v>
      </c>
      <c r="AQ109" s="53" t="s">
        <v>1252</v>
      </c>
      <c r="AR109" s="53" t="s">
        <v>1253</v>
      </c>
      <c r="AS109" s="53" t="s">
        <v>3</v>
      </c>
      <c r="AT109" s="53"/>
      <c r="AU109" s="53"/>
      <c r="AV109" s="53"/>
      <c r="AW109" s="53" t="s">
        <v>1761</v>
      </c>
    </row>
    <row r="110" spans="1:49" ht="30" customHeight="1" x14ac:dyDescent="0.3">
      <c r="A110" s="48" t="s">
        <v>1608</v>
      </c>
      <c r="B110" s="44" t="str">
        <f t="shared" si="2"/>
        <v>2</v>
      </c>
      <c r="C110" s="44" t="str">
        <f t="shared" si="3"/>
        <v>2</v>
      </c>
      <c r="D110" s="52" t="s">
        <v>2096</v>
      </c>
      <c r="E110" s="52" t="s">
        <v>2066</v>
      </c>
      <c r="F110" s="45">
        <v>41880</v>
      </c>
      <c r="G110" s="53" t="s">
        <v>1455</v>
      </c>
      <c r="H110" s="53" t="s">
        <v>1390</v>
      </c>
      <c r="I110" s="53" t="s">
        <v>1383</v>
      </c>
      <c r="J110" s="53" t="s">
        <v>1779</v>
      </c>
      <c r="K110" s="53" t="s">
        <v>1452</v>
      </c>
      <c r="L110" s="53" t="s">
        <v>3</v>
      </c>
      <c r="M110" s="53" t="s">
        <v>2097</v>
      </c>
      <c r="N110" s="53" t="s">
        <v>1141</v>
      </c>
      <c r="O110" s="53" t="s">
        <v>3</v>
      </c>
      <c r="P110" s="53" t="s">
        <v>3</v>
      </c>
      <c r="Q110" s="53" t="s">
        <v>2098</v>
      </c>
      <c r="R110" s="53" t="s">
        <v>2099</v>
      </c>
      <c r="S110" s="53" t="s">
        <v>3</v>
      </c>
      <c r="T110" s="53" t="s">
        <v>3</v>
      </c>
      <c r="U110" s="53" t="s">
        <v>3</v>
      </c>
      <c r="V110" s="53">
        <v>3</v>
      </c>
      <c r="W110" s="53" t="s">
        <v>2519</v>
      </c>
      <c r="X110" s="53" t="s">
        <v>86</v>
      </c>
      <c r="Y110" s="53" t="s">
        <v>152</v>
      </c>
      <c r="Z110" s="53" t="s">
        <v>1419</v>
      </c>
      <c r="AA110" s="53" t="s">
        <v>2528</v>
      </c>
      <c r="AB110" s="53" t="s">
        <v>96</v>
      </c>
      <c r="AC110" s="53" t="s">
        <v>148</v>
      </c>
      <c r="AD110" s="53" t="s">
        <v>3</v>
      </c>
      <c r="AE110" s="53">
        <v>0</v>
      </c>
      <c r="AF110" s="53" t="s">
        <v>3</v>
      </c>
      <c r="AG110" s="53" t="s">
        <v>1252</v>
      </c>
      <c r="AH110" s="53" t="s">
        <v>1253</v>
      </c>
      <c r="AI110" s="53" t="s">
        <v>3</v>
      </c>
      <c r="AJ110" s="53">
        <v>0</v>
      </c>
      <c r="AK110" s="53" t="s">
        <v>3</v>
      </c>
      <c r="AL110" s="53" t="s">
        <v>1252</v>
      </c>
      <c r="AM110" s="53" t="s">
        <v>1253</v>
      </c>
      <c r="AN110" s="53" t="s">
        <v>3</v>
      </c>
      <c r="AO110" s="53">
        <v>0</v>
      </c>
      <c r="AP110" s="53" t="s">
        <v>3</v>
      </c>
      <c r="AQ110" s="53" t="s">
        <v>1252</v>
      </c>
      <c r="AR110" s="53" t="s">
        <v>1253</v>
      </c>
      <c r="AS110" s="53" t="s">
        <v>3</v>
      </c>
      <c r="AT110" s="53"/>
      <c r="AU110" s="53"/>
      <c r="AV110" s="53"/>
      <c r="AW110" s="53" t="s">
        <v>1761</v>
      </c>
    </row>
    <row r="111" spans="1:49" ht="30" customHeight="1" x14ac:dyDescent="0.3">
      <c r="A111" s="48" t="s">
        <v>1348</v>
      </c>
      <c r="B111" s="44" t="str">
        <f t="shared" si="2"/>
        <v>2</v>
      </c>
      <c r="C111" s="44" t="str">
        <f t="shared" si="3"/>
        <v>2</v>
      </c>
      <c r="D111" s="52" t="s">
        <v>2100</v>
      </c>
      <c r="E111" s="52" t="s">
        <v>2066</v>
      </c>
      <c r="F111" s="45">
        <v>40640</v>
      </c>
      <c r="G111" s="53" t="s">
        <v>1388</v>
      </c>
      <c r="H111" s="53" t="s">
        <v>1425</v>
      </c>
      <c r="I111" s="53" t="s">
        <v>1383</v>
      </c>
      <c r="J111" s="53" t="s">
        <v>1779</v>
      </c>
      <c r="K111" s="53" t="s">
        <v>1452</v>
      </c>
      <c r="L111" s="53" t="s">
        <v>3</v>
      </c>
      <c r="M111" s="53" t="s">
        <v>1463</v>
      </c>
      <c r="N111" s="53" t="s">
        <v>2101</v>
      </c>
      <c r="O111" s="53" t="s">
        <v>3</v>
      </c>
      <c r="P111" s="53" t="s">
        <v>3</v>
      </c>
      <c r="Q111" s="53" t="s">
        <v>1414</v>
      </c>
      <c r="R111" s="53" t="s">
        <v>2102</v>
      </c>
      <c r="S111" s="53" t="s">
        <v>1469</v>
      </c>
      <c r="T111" s="53" t="s">
        <v>3</v>
      </c>
      <c r="U111" s="53" t="s">
        <v>2103</v>
      </c>
      <c r="V111" s="53">
        <v>2</v>
      </c>
      <c r="W111" s="53" t="s">
        <v>2519</v>
      </c>
      <c r="X111" s="53" t="s">
        <v>86</v>
      </c>
      <c r="Y111" s="53" t="s">
        <v>152</v>
      </c>
      <c r="Z111" s="53" t="s">
        <v>1419</v>
      </c>
      <c r="AA111" s="53" t="s">
        <v>2528</v>
      </c>
      <c r="AB111" s="53" t="s">
        <v>96</v>
      </c>
      <c r="AC111" s="53" t="s">
        <v>148</v>
      </c>
      <c r="AD111" s="53" t="s">
        <v>3</v>
      </c>
      <c r="AE111" s="53">
        <v>0</v>
      </c>
      <c r="AF111" s="53" t="s">
        <v>3</v>
      </c>
      <c r="AG111" s="53" t="s">
        <v>1252</v>
      </c>
      <c r="AH111" s="53" t="s">
        <v>1253</v>
      </c>
      <c r="AI111" s="53" t="s">
        <v>3</v>
      </c>
      <c r="AJ111" s="53">
        <v>0</v>
      </c>
      <c r="AK111" s="53" t="s">
        <v>3</v>
      </c>
      <c r="AL111" s="53" t="s">
        <v>1252</v>
      </c>
      <c r="AM111" s="53" t="s">
        <v>1253</v>
      </c>
      <c r="AN111" s="53" t="s">
        <v>3</v>
      </c>
      <c r="AO111" s="53">
        <v>0</v>
      </c>
      <c r="AP111" s="53" t="s">
        <v>3</v>
      </c>
      <c r="AQ111" s="53" t="s">
        <v>1252</v>
      </c>
      <c r="AR111" s="53" t="s">
        <v>1253</v>
      </c>
      <c r="AS111" s="53" t="s">
        <v>3</v>
      </c>
      <c r="AT111" s="53"/>
      <c r="AU111" s="53"/>
      <c r="AV111" s="53"/>
      <c r="AW111" s="53" t="s">
        <v>1761</v>
      </c>
    </row>
    <row r="112" spans="1:49" ht="30" customHeight="1" x14ac:dyDescent="0.3">
      <c r="A112" s="48" t="s">
        <v>1349</v>
      </c>
      <c r="B112" s="44" t="str">
        <f t="shared" si="2"/>
        <v>2</v>
      </c>
      <c r="C112" s="44" t="str">
        <f t="shared" si="3"/>
        <v>2</v>
      </c>
      <c r="D112" s="52" t="s">
        <v>2104</v>
      </c>
      <c r="E112" s="52" t="s">
        <v>2066</v>
      </c>
      <c r="F112" s="45">
        <v>41985</v>
      </c>
      <c r="G112" s="53" t="s">
        <v>1388</v>
      </c>
      <c r="H112" s="53" t="s">
        <v>1550</v>
      </c>
      <c r="I112" s="53">
        <v>0</v>
      </c>
      <c r="J112" s="53" t="s">
        <v>1998</v>
      </c>
      <c r="K112" s="53" t="s">
        <v>1394</v>
      </c>
      <c r="L112" s="53" t="s">
        <v>1476</v>
      </c>
      <c r="M112" s="53" t="s">
        <v>1843</v>
      </c>
      <c r="N112" s="53" t="s">
        <v>3</v>
      </c>
      <c r="O112" s="53" t="s">
        <v>3</v>
      </c>
      <c r="P112" s="53" t="s">
        <v>3</v>
      </c>
      <c r="Q112" s="53" t="s">
        <v>1404</v>
      </c>
      <c r="R112" s="53" t="s">
        <v>2105</v>
      </c>
      <c r="S112" s="53" t="s">
        <v>1503</v>
      </c>
      <c r="T112" s="53" t="s">
        <v>3</v>
      </c>
      <c r="U112" s="53" t="s">
        <v>2085</v>
      </c>
      <c r="V112" s="53">
        <v>1</v>
      </c>
      <c r="W112" s="53" t="s">
        <v>2520</v>
      </c>
      <c r="X112" s="53" t="s">
        <v>53</v>
      </c>
      <c r="Y112" s="53" t="s">
        <v>127</v>
      </c>
      <c r="Z112" s="53" t="s">
        <v>51</v>
      </c>
      <c r="AA112" s="53" t="s">
        <v>1384</v>
      </c>
      <c r="AB112" s="53" t="s">
        <v>96</v>
      </c>
      <c r="AC112" s="53" t="s">
        <v>148</v>
      </c>
      <c r="AD112" s="53">
        <v>0</v>
      </c>
      <c r="AE112" s="53">
        <v>0</v>
      </c>
      <c r="AF112" s="53">
        <v>0</v>
      </c>
      <c r="AG112" s="53">
        <v>0</v>
      </c>
      <c r="AH112" s="53" t="e">
        <v>#N/A</v>
      </c>
      <c r="AI112" s="53" t="s">
        <v>3</v>
      </c>
      <c r="AJ112" s="53">
        <v>0</v>
      </c>
      <c r="AK112" s="53" t="s">
        <v>3</v>
      </c>
      <c r="AL112" s="53" t="s">
        <v>1252</v>
      </c>
      <c r="AM112" s="53" t="s">
        <v>1253</v>
      </c>
      <c r="AN112" s="53" t="s">
        <v>3</v>
      </c>
      <c r="AO112" s="53">
        <v>0</v>
      </c>
      <c r="AP112" s="53" t="s">
        <v>3</v>
      </c>
      <c r="AQ112" s="53" t="s">
        <v>1252</v>
      </c>
      <c r="AR112" s="53" t="s">
        <v>1253</v>
      </c>
      <c r="AS112" s="53" t="s">
        <v>3</v>
      </c>
      <c r="AT112" s="53"/>
      <c r="AU112" s="53"/>
      <c r="AV112" s="53"/>
      <c r="AW112" s="53" t="s">
        <v>1761</v>
      </c>
    </row>
    <row r="113" spans="1:49" ht="30" customHeight="1" x14ac:dyDescent="0.3">
      <c r="A113" s="48" t="s">
        <v>1350</v>
      </c>
      <c r="B113" s="44" t="str">
        <f t="shared" si="2"/>
        <v>2</v>
      </c>
      <c r="C113" s="44" t="str">
        <f t="shared" si="3"/>
        <v>2</v>
      </c>
      <c r="D113" s="52" t="s">
        <v>2106</v>
      </c>
      <c r="E113" s="52" t="s">
        <v>2066</v>
      </c>
      <c r="F113" s="45">
        <v>42892</v>
      </c>
      <c r="G113" s="53" t="s">
        <v>1388</v>
      </c>
      <c r="H113" s="53" t="s">
        <v>1173</v>
      </c>
      <c r="I113" s="53">
        <v>0</v>
      </c>
      <c r="J113" s="53" t="s">
        <v>1760</v>
      </c>
      <c r="K113" s="53" t="s">
        <v>1763</v>
      </c>
      <c r="L113" s="53" t="s">
        <v>1476</v>
      </c>
      <c r="M113" s="53" t="s">
        <v>2107</v>
      </c>
      <c r="N113" s="53" t="s">
        <v>3</v>
      </c>
      <c r="O113" s="53" t="s">
        <v>2108</v>
      </c>
      <c r="P113" s="53" t="s">
        <v>3</v>
      </c>
      <c r="Q113" s="53" t="s">
        <v>1466</v>
      </c>
      <c r="R113" s="53" t="s">
        <v>2099</v>
      </c>
      <c r="S113" s="53" t="s">
        <v>1142</v>
      </c>
      <c r="T113" s="53" t="s">
        <v>3</v>
      </c>
      <c r="U113" s="53" t="s">
        <v>1549</v>
      </c>
      <c r="V113" s="53">
        <v>1</v>
      </c>
      <c r="W113" s="53" t="s">
        <v>2519</v>
      </c>
      <c r="X113" s="53" t="s">
        <v>86</v>
      </c>
      <c r="Y113" s="53" t="s">
        <v>152</v>
      </c>
      <c r="Z113" s="53" t="s">
        <v>51</v>
      </c>
      <c r="AA113" s="53" t="s">
        <v>1384</v>
      </c>
      <c r="AB113" s="53" t="s">
        <v>96</v>
      </c>
      <c r="AC113" s="53" t="s">
        <v>148</v>
      </c>
      <c r="AD113" s="53">
        <v>0</v>
      </c>
      <c r="AE113" s="53">
        <v>0</v>
      </c>
      <c r="AF113" s="53">
        <v>0</v>
      </c>
      <c r="AG113" s="53">
        <v>0</v>
      </c>
      <c r="AH113" s="53" t="e">
        <v>#N/A</v>
      </c>
      <c r="AI113" s="53" t="s">
        <v>3</v>
      </c>
      <c r="AJ113" s="53">
        <v>0</v>
      </c>
      <c r="AK113" s="53" t="s">
        <v>3</v>
      </c>
      <c r="AL113" s="53" t="s">
        <v>1252</v>
      </c>
      <c r="AM113" s="53" t="s">
        <v>1253</v>
      </c>
      <c r="AN113" s="53" t="s">
        <v>3</v>
      </c>
      <c r="AO113" s="53">
        <v>0</v>
      </c>
      <c r="AP113" s="53" t="s">
        <v>3</v>
      </c>
      <c r="AQ113" s="53" t="s">
        <v>1252</v>
      </c>
      <c r="AR113" s="53" t="s">
        <v>1253</v>
      </c>
      <c r="AS113" s="53" t="s">
        <v>3</v>
      </c>
      <c r="AT113" s="53"/>
      <c r="AU113" s="53"/>
      <c r="AV113" s="53"/>
      <c r="AW113" s="53" t="s">
        <v>1761</v>
      </c>
    </row>
    <row r="114" spans="1:49" ht="30" customHeight="1" x14ac:dyDescent="0.3">
      <c r="A114" s="48" t="s">
        <v>1351</v>
      </c>
      <c r="B114" s="44" t="str">
        <f t="shared" si="2"/>
        <v>2</v>
      </c>
      <c r="C114" s="44" t="str">
        <f t="shared" si="3"/>
        <v>2</v>
      </c>
      <c r="D114" s="52" t="s">
        <v>2109</v>
      </c>
      <c r="E114" s="52" t="s">
        <v>2025</v>
      </c>
      <c r="F114" s="45">
        <v>45887</v>
      </c>
      <c r="G114" s="53" t="s">
        <v>1388</v>
      </c>
      <c r="H114" s="53" t="s">
        <v>2004</v>
      </c>
      <c r="I114" s="53" t="s">
        <v>1146</v>
      </c>
      <c r="J114" s="53" t="s">
        <v>1998</v>
      </c>
      <c r="K114" s="53" t="s">
        <v>1405</v>
      </c>
      <c r="L114" s="53" t="s">
        <v>3</v>
      </c>
      <c r="M114" s="53" t="s">
        <v>1477</v>
      </c>
      <c r="N114" s="53" t="s">
        <v>3</v>
      </c>
      <c r="O114" s="53" t="s">
        <v>3</v>
      </c>
      <c r="P114" s="53" t="s">
        <v>3</v>
      </c>
      <c r="Q114" s="53" t="s">
        <v>1466</v>
      </c>
      <c r="R114" s="53" t="s">
        <v>1511</v>
      </c>
      <c r="S114" s="53" t="s">
        <v>1142</v>
      </c>
      <c r="T114" s="53" t="s">
        <v>1143</v>
      </c>
      <c r="U114" s="53" t="s">
        <v>3</v>
      </c>
      <c r="V114" s="53">
        <v>3</v>
      </c>
      <c r="W114" s="53" t="s">
        <v>2519</v>
      </c>
      <c r="X114" s="53" t="s">
        <v>86</v>
      </c>
      <c r="Y114" s="53" t="s">
        <v>152</v>
      </c>
      <c r="Z114" s="53" t="s">
        <v>1419</v>
      </c>
      <c r="AA114" s="53" t="s">
        <v>2528</v>
      </c>
      <c r="AB114" s="53" t="s">
        <v>95</v>
      </c>
      <c r="AC114" s="53" t="s">
        <v>124</v>
      </c>
      <c r="AD114" s="53" t="s">
        <v>3</v>
      </c>
      <c r="AE114" s="53">
        <v>0</v>
      </c>
      <c r="AF114" s="53" t="s">
        <v>3</v>
      </c>
      <c r="AG114" s="53" t="s">
        <v>1252</v>
      </c>
      <c r="AH114" s="53" t="s">
        <v>1253</v>
      </c>
      <c r="AI114" s="53" t="s">
        <v>3</v>
      </c>
      <c r="AJ114" s="53">
        <v>0</v>
      </c>
      <c r="AK114" s="53" t="s">
        <v>3</v>
      </c>
      <c r="AL114" s="53" t="s">
        <v>1252</v>
      </c>
      <c r="AM114" s="53" t="s">
        <v>1253</v>
      </c>
      <c r="AN114" s="53" t="s">
        <v>3</v>
      </c>
      <c r="AO114" s="53">
        <v>0</v>
      </c>
      <c r="AP114" s="53" t="s">
        <v>3</v>
      </c>
      <c r="AQ114" s="53" t="s">
        <v>1252</v>
      </c>
      <c r="AR114" s="53" t="s">
        <v>1253</v>
      </c>
      <c r="AS114" s="53" t="s">
        <v>3</v>
      </c>
      <c r="AT114" s="53"/>
      <c r="AU114" s="53"/>
      <c r="AV114" s="53"/>
      <c r="AW114" s="53" t="s">
        <v>1761</v>
      </c>
    </row>
    <row r="115" spans="1:49" ht="30" customHeight="1" x14ac:dyDescent="0.3">
      <c r="A115" s="48" t="s">
        <v>1352</v>
      </c>
      <c r="B115" s="44" t="str">
        <f t="shared" si="2"/>
        <v>2</v>
      </c>
      <c r="C115" s="44" t="str">
        <f t="shared" si="3"/>
        <v>2</v>
      </c>
      <c r="D115" s="52" t="s">
        <v>2078</v>
      </c>
      <c r="E115" s="52" t="s">
        <v>2066</v>
      </c>
      <c r="F115" s="45">
        <v>43627</v>
      </c>
      <c r="G115" s="53" t="s">
        <v>1388</v>
      </c>
      <c r="H115" s="53" t="s">
        <v>1173</v>
      </c>
      <c r="I115" s="53" t="s">
        <v>1146</v>
      </c>
      <c r="J115" s="53" t="s">
        <v>1760</v>
      </c>
      <c r="K115" s="53" t="s">
        <v>1394</v>
      </c>
      <c r="L115" s="53" t="s">
        <v>1476</v>
      </c>
      <c r="M115" s="53" t="s">
        <v>1463</v>
      </c>
      <c r="N115" s="53" t="s">
        <v>3</v>
      </c>
      <c r="O115" s="53" t="s">
        <v>3</v>
      </c>
      <c r="P115" s="53" t="s">
        <v>3</v>
      </c>
      <c r="Q115" s="53" t="s">
        <v>1466</v>
      </c>
      <c r="R115" s="53" t="s">
        <v>2110</v>
      </c>
      <c r="S115" s="53" t="s">
        <v>3</v>
      </c>
      <c r="T115" s="53" t="s">
        <v>1143</v>
      </c>
      <c r="U115" s="53" t="s">
        <v>1949</v>
      </c>
      <c r="V115" s="53">
        <v>1</v>
      </c>
      <c r="W115" s="53" t="s">
        <v>2519</v>
      </c>
      <c r="X115" s="53" t="s">
        <v>86</v>
      </c>
      <c r="Y115" s="53" t="s">
        <v>152</v>
      </c>
      <c r="Z115" s="53" t="s">
        <v>51</v>
      </c>
      <c r="AA115" s="53" t="s">
        <v>1384</v>
      </c>
      <c r="AB115" s="53" t="s">
        <v>96</v>
      </c>
      <c r="AC115" s="53" t="s">
        <v>148</v>
      </c>
      <c r="AD115" s="53" t="s">
        <v>3</v>
      </c>
      <c r="AE115" s="53">
        <v>0</v>
      </c>
      <c r="AF115" s="53" t="s">
        <v>3</v>
      </c>
      <c r="AG115" s="53" t="s">
        <v>1252</v>
      </c>
      <c r="AH115" s="53" t="s">
        <v>1253</v>
      </c>
      <c r="AI115" s="53" t="s">
        <v>3</v>
      </c>
      <c r="AJ115" s="53">
        <v>0</v>
      </c>
      <c r="AK115" s="53" t="s">
        <v>3</v>
      </c>
      <c r="AL115" s="53" t="s">
        <v>1252</v>
      </c>
      <c r="AM115" s="53" t="s">
        <v>1253</v>
      </c>
      <c r="AN115" s="53" t="s">
        <v>3</v>
      </c>
      <c r="AO115" s="53">
        <v>0</v>
      </c>
      <c r="AP115" s="53" t="s">
        <v>3</v>
      </c>
      <c r="AQ115" s="53" t="s">
        <v>1252</v>
      </c>
      <c r="AR115" s="53" t="s">
        <v>1253</v>
      </c>
      <c r="AS115" s="53" t="s">
        <v>3</v>
      </c>
      <c r="AT115" s="53"/>
      <c r="AU115" s="53"/>
      <c r="AV115" s="53"/>
      <c r="AW115" s="53" t="s">
        <v>1761</v>
      </c>
    </row>
    <row r="116" spans="1:49" ht="30" customHeight="1" x14ac:dyDescent="0.3">
      <c r="A116" s="48" t="s">
        <v>1353</v>
      </c>
      <c r="B116" s="44" t="str">
        <f t="shared" si="2"/>
        <v>2</v>
      </c>
      <c r="C116" s="44" t="str">
        <f t="shared" si="3"/>
        <v>2</v>
      </c>
      <c r="D116" s="52" t="s">
        <v>1420</v>
      </c>
      <c r="E116" s="52" t="s">
        <v>2111</v>
      </c>
      <c r="F116" s="45">
        <v>40518</v>
      </c>
      <c r="G116" s="53" t="s">
        <v>1485</v>
      </c>
      <c r="H116" s="53" t="s">
        <v>1390</v>
      </c>
      <c r="I116" s="53">
        <v>0</v>
      </c>
      <c r="J116" s="53" t="s">
        <v>1779</v>
      </c>
      <c r="K116" s="53" t="s">
        <v>1407</v>
      </c>
      <c r="L116" s="53" t="s">
        <v>3</v>
      </c>
      <c r="M116" s="53" t="s">
        <v>2030</v>
      </c>
      <c r="N116" s="53" t="s">
        <v>3</v>
      </c>
      <c r="O116" s="53" t="s">
        <v>3</v>
      </c>
      <c r="P116" s="53" t="s">
        <v>3</v>
      </c>
      <c r="Q116" s="53" t="s">
        <v>2112</v>
      </c>
      <c r="R116" s="53" t="s">
        <v>1473</v>
      </c>
      <c r="S116" s="53" t="s">
        <v>3</v>
      </c>
      <c r="T116" s="53" t="s">
        <v>3</v>
      </c>
      <c r="U116" s="53" t="s">
        <v>1420</v>
      </c>
      <c r="V116" s="53">
        <v>1</v>
      </c>
      <c r="W116" s="53" t="s">
        <v>2520</v>
      </c>
      <c r="X116" s="53" t="s">
        <v>1385</v>
      </c>
      <c r="Y116" s="53" t="s">
        <v>1799</v>
      </c>
      <c r="Z116" s="53" t="s">
        <v>1419</v>
      </c>
      <c r="AA116" s="53" t="s">
        <v>2528</v>
      </c>
      <c r="AB116" s="53" t="s">
        <v>95</v>
      </c>
      <c r="AC116" s="53" t="s">
        <v>124</v>
      </c>
      <c r="AD116" s="53">
        <v>0</v>
      </c>
      <c r="AE116" s="53">
        <v>0</v>
      </c>
      <c r="AF116" s="53">
        <v>0</v>
      </c>
      <c r="AG116" s="53">
        <v>0</v>
      </c>
      <c r="AH116" s="53" t="e">
        <v>#N/A</v>
      </c>
      <c r="AI116" s="53" t="s">
        <v>3</v>
      </c>
      <c r="AJ116" s="53">
        <v>0</v>
      </c>
      <c r="AK116" s="53" t="s">
        <v>3</v>
      </c>
      <c r="AL116" s="53" t="s">
        <v>1252</v>
      </c>
      <c r="AM116" s="53" t="s">
        <v>1253</v>
      </c>
      <c r="AN116" s="53" t="s">
        <v>3</v>
      </c>
      <c r="AO116" s="53">
        <v>0</v>
      </c>
      <c r="AP116" s="53" t="s">
        <v>3</v>
      </c>
      <c r="AQ116" s="53" t="s">
        <v>1252</v>
      </c>
      <c r="AR116" s="53" t="s">
        <v>1253</v>
      </c>
      <c r="AS116" s="53" t="s">
        <v>3</v>
      </c>
      <c r="AT116" s="53"/>
      <c r="AU116" s="53"/>
      <c r="AV116" s="53"/>
      <c r="AW116" s="53" t="s">
        <v>1761</v>
      </c>
    </row>
    <row r="117" spans="1:49" ht="30" customHeight="1" x14ac:dyDescent="0.3">
      <c r="A117" s="48" t="s">
        <v>1354</v>
      </c>
      <c r="B117" s="44" t="str">
        <f t="shared" si="2"/>
        <v>2</v>
      </c>
      <c r="C117" s="44" t="str">
        <f t="shared" si="3"/>
        <v>2</v>
      </c>
      <c r="D117" s="52" t="s">
        <v>2113</v>
      </c>
      <c r="E117" s="52" t="s">
        <v>2066</v>
      </c>
      <c r="F117" s="45">
        <v>42396</v>
      </c>
      <c r="G117" s="53" t="s">
        <v>1388</v>
      </c>
      <c r="H117" s="53" t="s">
        <v>1425</v>
      </c>
      <c r="I117" s="53">
        <v>0</v>
      </c>
      <c r="J117" s="53" t="s">
        <v>1760</v>
      </c>
      <c r="K117" s="53" t="s">
        <v>1394</v>
      </c>
      <c r="L117" s="53" t="s">
        <v>2114</v>
      </c>
      <c r="M117" s="53" t="s">
        <v>1843</v>
      </c>
      <c r="N117" s="53" t="s">
        <v>3</v>
      </c>
      <c r="O117" s="53" t="s">
        <v>3</v>
      </c>
      <c r="P117" s="53" t="s">
        <v>3</v>
      </c>
      <c r="Q117" s="53" t="s">
        <v>1396</v>
      </c>
      <c r="R117" s="53" t="s">
        <v>2115</v>
      </c>
      <c r="S117" s="53" t="s">
        <v>3</v>
      </c>
      <c r="T117" s="53" t="s">
        <v>3</v>
      </c>
      <c r="U117" s="53" t="s">
        <v>3</v>
      </c>
      <c r="V117" s="53">
        <v>1</v>
      </c>
      <c r="W117" s="53" t="s">
        <v>2520</v>
      </c>
      <c r="X117" s="53" t="s">
        <v>53</v>
      </c>
      <c r="Y117" s="53" t="s">
        <v>127</v>
      </c>
      <c r="Z117" s="53" t="s">
        <v>51</v>
      </c>
      <c r="AA117" s="53" t="s">
        <v>1384</v>
      </c>
      <c r="AB117" s="53" t="s">
        <v>95</v>
      </c>
      <c r="AC117" s="53" t="s">
        <v>124</v>
      </c>
      <c r="AD117" s="53">
        <v>0</v>
      </c>
      <c r="AE117" s="53">
        <v>0</v>
      </c>
      <c r="AF117" s="53">
        <v>0</v>
      </c>
      <c r="AG117" s="53">
        <v>0</v>
      </c>
      <c r="AH117" s="53" t="e">
        <v>#N/A</v>
      </c>
      <c r="AI117" s="53" t="s">
        <v>3</v>
      </c>
      <c r="AJ117" s="53">
        <v>0</v>
      </c>
      <c r="AK117" s="53" t="s">
        <v>3</v>
      </c>
      <c r="AL117" s="53" t="s">
        <v>1252</v>
      </c>
      <c r="AM117" s="53" t="s">
        <v>1253</v>
      </c>
      <c r="AN117" s="53" t="s">
        <v>3</v>
      </c>
      <c r="AO117" s="53">
        <v>0</v>
      </c>
      <c r="AP117" s="53" t="s">
        <v>3</v>
      </c>
      <c r="AQ117" s="53" t="s">
        <v>1252</v>
      </c>
      <c r="AR117" s="53" t="s">
        <v>1253</v>
      </c>
      <c r="AS117" s="53" t="s">
        <v>3</v>
      </c>
      <c r="AT117" s="53"/>
      <c r="AU117" s="53"/>
      <c r="AV117" s="53"/>
      <c r="AW117" s="53" t="s">
        <v>1761</v>
      </c>
    </row>
    <row r="118" spans="1:49" ht="30" customHeight="1" x14ac:dyDescent="0.3">
      <c r="A118" s="48" t="s">
        <v>1355</v>
      </c>
      <c r="B118" s="44" t="str">
        <f t="shared" si="2"/>
        <v>2</v>
      </c>
      <c r="C118" s="44" t="str">
        <f t="shared" si="3"/>
        <v>2</v>
      </c>
      <c r="D118" s="52" t="s">
        <v>2116</v>
      </c>
      <c r="E118" s="52" t="s">
        <v>2117</v>
      </c>
      <c r="F118" s="45">
        <v>43677</v>
      </c>
      <c r="G118" s="53" t="s">
        <v>1388</v>
      </c>
      <c r="H118" s="53" t="s">
        <v>1425</v>
      </c>
      <c r="I118" s="53" t="s">
        <v>1146</v>
      </c>
      <c r="J118" s="53" t="s">
        <v>2118</v>
      </c>
      <c r="K118" s="53" t="s">
        <v>1452</v>
      </c>
      <c r="L118" s="53" t="s">
        <v>3</v>
      </c>
      <c r="M118" s="53" t="s">
        <v>2119</v>
      </c>
      <c r="N118" s="53" t="s">
        <v>1141</v>
      </c>
      <c r="O118" s="53" t="s">
        <v>3</v>
      </c>
      <c r="P118" s="53" t="s">
        <v>3</v>
      </c>
      <c r="Q118" s="53" t="s">
        <v>1414</v>
      </c>
      <c r="R118" s="53" t="s">
        <v>2120</v>
      </c>
      <c r="S118" s="53" t="s">
        <v>3</v>
      </c>
      <c r="T118" s="53" t="s">
        <v>3</v>
      </c>
      <c r="U118" s="53" t="s">
        <v>3</v>
      </c>
      <c r="V118" s="53">
        <v>2</v>
      </c>
      <c r="W118" s="53" t="s">
        <v>2519</v>
      </c>
      <c r="X118" s="53" t="s">
        <v>86</v>
      </c>
      <c r="Y118" s="53" t="s">
        <v>152</v>
      </c>
      <c r="Z118" s="53" t="s">
        <v>1419</v>
      </c>
      <c r="AA118" s="53" t="s">
        <v>2528</v>
      </c>
      <c r="AB118" s="53" t="s">
        <v>95</v>
      </c>
      <c r="AC118" s="53" t="s">
        <v>124</v>
      </c>
      <c r="AD118" s="53" t="s">
        <v>3</v>
      </c>
      <c r="AE118" s="53">
        <v>0</v>
      </c>
      <c r="AF118" s="53" t="s">
        <v>3</v>
      </c>
      <c r="AG118" s="53" t="s">
        <v>1252</v>
      </c>
      <c r="AH118" s="53" t="s">
        <v>1253</v>
      </c>
      <c r="AI118" s="53" t="s">
        <v>3</v>
      </c>
      <c r="AJ118" s="53">
        <v>0</v>
      </c>
      <c r="AK118" s="53" t="s">
        <v>3</v>
      </c>
      <c r="AL118" s="53" t="s">
        <v>1252</v>
      </c>
      <c r="AM118" s="53" t="s">
        <v>1253</v>
      </c>
      <c r="AN118" s="53" t="s">
        <v>3</v>
      </c>
      <c r="AO118" s="53">
        <v>0</v>
      </c>
      <c r="AP118" s="53" t="s">
        <v>3</v>
      </c>
      <c r="AQ118" s="53" t="s">
        <v>1252</v>
      </c>
      <c r="AR118" s="53" t="s">
        <v>1253</v>
      </c>
      <c r="AS118" s="53" t="s">
        <v>3</v>
      </c>
      <c r="AT118" s="53"/>
      <c r="AU118" s="53"/>
      <c r="AV118" s="53"/>
      <c r="AW118" s="53" t="s">
        <v>1761</v>
      </c>
    </row>
    <row r="119" spans="1:49" ht="30" customHeight="1" x14ac:dyDescent="0.3">
      <c r="A119" s="48" t="s">
        <v>1356</v>
      </c>
      <c r="B119" s="44" t="str">
        <f t="shared" si="2"/>
        <v>2</v>
      </c>
      <c r="C119" s="44" t="str">
        <f t="shared" si="3"/>
        <v>2</v>
      </c>
      <c r="D119" s="52" t="s">
        <v>2121</v>
      </c>
      <c r="E119" s="52" t="s">
        <v>2122</v>
      </c>
      <c r="F119" s="45">
        <v>45666</v>
      </c>
      <c r="G119" s="53" t="s">
        <v>1455</v>
      </c>
      <c r="H119" s="53" t="s">
        <v>1390</v>
      </c>
      <c r="I119" s="53" t="s">
        <v>1146</v>
      </c>
      <c r="J119" s="53" t="s">
        <v>1779</v>
      </c>
      <c r="K119" s="53" t="s">
        <v>1405</v>
      </c>
      <c r="L119" s="53" t="s">
        <v>3</v>
      </c>
      <c r="M119" s="53" t="s">
        <v>1477</v>
      </c>
      <c r="N119" s="53" t="s">
        <v>3</v>
      </c>
      <c r="O119" s="53" t="s">
        <v>3</v>
      </c>
      <c r="P119" s="53" t="s">
        <v>3</v>
      </c>
      <c r="Q119" s="53" t="s">
        <v>1466</v>
      </c>
      <c r="R119" s="53" t="s">
        <v>2123</v>
      </c>
      <c r="S119" s="53" t="s">
        <v>1142</v>
      </c>
      <c r="T119" s="53" t="s">
        <v>1143</v>
      </c>
      <c r="U119" s="53" t="s">
        <v>1552</v>
      </c>
      <c r="V119" s="53">
        <v>1</v>
      </c>
      <c r="W119" s="53" t="s">
        <v>2519</v>
      </c>
      <c r="X119" s="53" t="s">
        <v>86</v>
      </c>
      <c r="Y119" s="53" t="s">
        <v>152</v>
      </c>
      <c r="Z119" s="53" t="s">
        <v>1419</v>
      </c>
      <c r="AA119" s="53" t="s">
        <v>2528</v>
      </c>
      <c r="AB119" s="53" t="s">
        <v>96</v>
      </c>
      <c r="AC119" s="53" t="s">
        <v>148</v>
      </c>
      <c r="AD119" s="53" t="s">
        <v>3</v>
      </c>
      <c r="AE119" s="53">
        <v>0</v>
      </c>
      <c r="AF119" s="53" t="s">
        <v>3</v>
      </c>
      <c r="AG119" s="53" t="s">
        <v>1252</v>
      </c>
      <c r="AH119" s="53" t="s">
        <v>1253</v>
      </c>
      <c r="AI119" s="53" t="s">
        <v>3</v>
      </c>
      <c r="AJ119" s="53">
        <v>0</v>
      </c>
      <c r="AK119" s="53" t="s">
        <v>3</v>
      </c>
      <c r="AL119" s="53" t="s">
        <v>1252</v>
      </c>
      <c r="AM119" s="53" t="s">
        <v>1253</v>
      </c>
      <c r="AN119" s="53" t="s">
        <v>3</v>
      </c>
      <c r="AO119" s="53">
        <v>0</v>
      </c>
      <c r="AP119" s="53" t="s">
        <v>3</v>
      </c>
      <c r="AQ119" s="53" t="s">
        <v>1252</v>
      </c>
      <c r="AR119" s="53" t="s">
        <v>1253</v>
      </c>
      <c r="AS119" s="53" t="s">
        <v>3</v>
      </c>
      <c r="AT119" s="53"/>
      <c r="AU119" s="53"/>
      <c r="AV119" s="53"/>
      <c r="AW119" s="53" t="s">
        <v>1761</v>
      </c>
    </row>
    <row r="120" spans="1:49" ht="30" customHeight="1" x14ac:dyDescent="0.3">
      <c r="A120" s="48" t="s">
        <v>1357</v>
      </c>
      <c r="B120" s="44" t="str">
        <f t="shared" si="2"/>
        <v>2</v>
      </c>
      <c r="C120" s="44" t="str">
        <f t="shared" si="3"/>
        <v>2</v>
      </c>
      <c r="D120" s="52" t="s">
        <v>2124</v>
      </c>
      <c r="E120" s="52" t="s">
        <v>2122</v>
      </c>
      <c r="F120" s="45">
        <v>45099</v>
      </c>
      <c r="G120" s="53" t="s">
        <v>1455</v>
      </c>
      <c r="H120" s="53" t="s">
        <v>1390</v>
      </c>
      <c r="I120" s="53" t="s">
        <v>1146</v>
      </c>
      <c r="J120" s="53" t="s">
        <v>1779</v>
      </c>
      <c r="K120" s="53" t="s">
        <v>1389</v>
      </c>
      <c r="L120" s="53" t="s">
        <v>3</v>
      </c>
      <c r="M120" s="53" t="s">
        <v>3</v>
      </c>
      <c r="N120" s="53" t="s">
        <v>3</v>
      </c>
      <c r="O120" s="53" t="s">
        <v>3</v>
      </c>
      <c r="P120" s="53" t="s">
        <v>3</v>
      </c>
      <c r="Q120" s="53" t="s">
        <v>3</v>
      </c>
      <c r="R120" s="53" t="s">
        <v>3</v>
      </c>
      <c r="S120" s="53" t="s">
        <v>3</v>
      </c>
      <c r="T120" s="53" t="s">
        <v>3</v>
      </c>
      <c r="U120" s="53" t="s">
        <v>3</v>
      </c>
      <c r="V120" s="53">
        <v>1</v>
      </c>
      <c r="W120" s="53" t="s">
        <v>2518</v>
      </c>
      <c r="X120" s="53" t="s">
        <v>48</v>
      </c>
      <c r="Y120" s="53" t="s">
        <v>105</v>
      </c>
      <c r="Z120" s="53" t="s">
        <v>51</v>
      </c>
      <c r="AA120" s="53" t="s">
        <v>1384</v>
      </c>
      <c r="AB120" s="53" t="s">
        <v>96</v>
      </c>
      <c r="AC120" s="53" t="s">
        <v>148</v>
      </c>
      <c r="AD120" s="53" t="s">
        <v>3</v>
      </c>
      <c r="AE120" s="53">
        <v>0</v>
      </c>
      <c r="AF120" s="53" t="s">
        <v>3</v>
      </c>
      <c r="AG120" s="53" t="s">
        <v>1252</v>
      </c>
      <c r="AH120" s="53" t="s">
        <v>1253</v>
      </c>
      <c r="AI120" s="53" t="s">
        <v>3</v>
      </c>
      <c r="AJ120" s="53">
        <v>0</v>
      </c>
      <c r="AK120" s="53" t="s">
        <v>3</v>
      </c>
      <c r="AL120" s="53" t="s">
        <v>1252</v>
      </c>
      <c r="AM120" s="53" t="s">
        <v>1253</v>
      </c>
      <c r="AN120" s="53" t="s">
        <v>3</v>
      </c>
      <c r="AO120" s="53">
        <v>0</v>
      </c>
      <c r="AP120" s="53" t="s">
        <v>3</v>
      </c>
      <c r="AQ120" s="53" t="s">
        <v>1252</v>
      </c>
      <c r="AR120" s="53" t="s">
        <v>1253</v>
      </c>
      <c r="AS120" s="53" t="s">
        <v>3</v>
      </c>
      <c r="AT120" s="53"/>
      <c r="AU120" s="53"/>
      <c r="AV120" s="53"/>
      <c r="AW120" s="53" t="s">
        <v>1761</v>
      </c>
    </row>
    <row r="121" spans="1:49" ht="30" customHeight="1" x14ac:dyDescent="0.3">
      <c r="A121" s="48" t="s">
        <v>1358</v>
      </c>
      <c r="B121" s="44" t="str">
        <f t="shared" si="2"/>
        <v>2</v>
      </c>
      <c r="C121" s="44" t="str">
        <f t="shared" si="3"/>
        <v>2</v>
      </c>
      <c r="D121" s="52" t="s">
        <v>2125</v>
      </c>
      <c r="E121" s="52" t="s">
        <v>2122</v>
      </c>
      <c r="F121" s="45">
        <v>45328</v>
      </c>
      <c r="G121" s="53" t="s">
        <v>1140</v>
      </c>
      <c r="H121" s="53" t="s">
        <v>2126</v>
      </c>
      <c r="I121" s="53" t="s">
        <v>1146</v>
      </c>
      <c r="J121" s="53" t="s">
        <v>1779</v>
      </c>
      <c r="K121" s="53" t="s">
        <v>1878</v>
      </c>
      <c r="L121" s="53" t="s">
        <v>3</v>
      </c>
      <c r="M121" s="53" t="s">
        <v>1879</v>
      </c>
      <c r="N121" s="53" t="s">
        <v>1413</v>
      </c>
      <c r="O121" s="53" t="s">
        <v>3</v>
      </c>
      <c r="P121" s="53" t="s">
        <v>3</v>
      </c>
      <c r="Q121" s="53" t="s">
        <v>2127</v>
      </c>
      <c r="R121" s="53" t="s">
        <v>1454</v>
      </c>
      <c r="S121" s="53" t="s">
        <v>3</v>
      </c>
      <c r="T121" s="53" t="s">
        <v>1143</v>
      </c>
      <c r="U121" s="53" t="s">
        <v>3</v>
      </c>
      <c r="V121" s="53">
        <v>1</v>
      </c>
      <c r="W121" s="53" t="s">
        <v>2521</v>
      </c>
      <c r="X121" s="53" t="s">
        <v>86</v>
      </c>
      <c r="Y121" s="53" t="s">
        <v>152</v>
      </c>
      <c r="Z121" s="53" t="s">
        <v>51</v>
      </c>
      <c r="AA121" s="53" t="s">
        <v>1384</v>
      </c>
      <c r="AB121" s="53" t="s">
        <v>96</v>
      </c>
      <c r="AC121" s="53" t="s">
        <v>148</v>
      </c>
      <c r="AD121" s="53" t="s">
        <v>3</v>
      </c>
      <c r="AE121" s="53">
        <v>0</v>
      </c>
      <c r="AF121" s="53" t="s">
        <v>3</v>
      </c>
      <c r="AG121" s="53" t="s">
        <v>1252</v>
      </c>
      <c r="AH121" s="53" t="s">
        <v>1253</v>
      </c>
      <c r="AI121" s="53" t="s">
        <v>3</v>
      </c>
      <c r="AJ121" s="53">
        <v>0</v>
      </c>
      <c r="AK121" s="53" t="s">
        <v>3</v>
      </c>
      <c r="AL121" s="53" t="s">
        <v>1252</v>
      </c>
      <c r="AM121" s="53" t="s">
        <v>1253</v>
      </c>
      <c r="AN121" s="53" t="s">
        <v>3</v>
      </c>
      <c r="AO121" s="53">
        <v>0</v>
      </c>
      <c r="AP121" s="53" t="s">
        <v>3</v>
      </c>
      <c r="AQ121" s="53" t="s">
        <v>1252</v>
      </c>
      <c r="AR121" s="53" t="s">
        <v>1253</v>
      </c>
      <c r="AS121" s="53" t="s">
        <v>3</v>
      </c>
      <c r="AT121" s="53"/>
      <c r="AU121" s="53"/>
      <c r="AV121" s="53"/>
      <c r="AW121" s="53" t="s">
        <v>1761</v>
      </c>
    </row>
    <row r="122" spans="1:49" ht="30" customHeight="1" x14ac:dyDescent="0.3">
      <c r="A122" s="48" t="s">
        <v>1609</v>
      </c>
      <c r="B122" s="44" t="str">
        <f t="shared" si="2"/>
        <v>2</v>
      </c>
      <c r="C122" s="44" t="str">
        <f t="shared" si="3"/>
        <v>2</v>
      </c>
      <c r="D122" s="52" t="s">
        <v>2128</v>
      </c>
      <c r="E122" s="52" t="s">
        <v>2122</v>
      </c>
      <c r="F122" s="45">
        <v>45666</v>
      </c>
      <c r="G122" s="53" t="s">
        <v>1140</v>
      </c>
      <c r="H122" s="53" t="s">
        <v>1390</v>
      </c>
      <c r="I122" s="53" t="s">
        <v>1146</v>
      </c>
      <c r="J122" s="53" t="s">
        <v>1779</v>
      </c>
      <c r="K122" s="53" t="s">
        <v>1394</v>
      </c>
      <c r="L122" s="53" t="s">
        <v>3</v>
      </c>
      <c r="M122" s="53" t="s">
        <v>2129</v>
      </c>
      <c r="N122" s="53" t="s">
        <v>3</v>
      </c>
      <c r="O122" s="53" t="s">
        <v>3</v>
      </c>
      <c r="P122" s="53" t="s">
        <v>3</v>
      </c>
      <c r="Q122" s="53" t="s">
        <v>1404</v>
      </c>
      <c r="R122" s="53" t="s">
        <v>2130</v>
      </c>
      <c r="S122" s="53" t="s">
        <v>3</v>
      </c>
      <c r="T122" s="53" t="s">
        <v>1143</v>
      </c>
      <c r="U122" s="53" t="s">
        <v>2131</v>
      </c>
      <c r="V122" s="53">
        <v>1</v>
      </c>
      <c r="W122" s="53" t="s">
        <v>2521</v>
      </c>
      <c r="X122" s="53" t="s">
        <v>53</v>
      </c>
      <c r="Y122" s="53" t="s">
        <v>127</v>
      </c>
      <c r="Z122" s="53" t="s">
        <v>51</v>
      </c>
      <c r="AA122" s="53" t="s">
        <v>1384</v>
      </c>
      <c r="AB122" s="53" t="s">
        <v>96</v>
      </c>
      <c r="AC122" s="53" t="s">
        <v>148</v>
      </c>
      <c r="AD122" s="53" t="s">
        <v>3</v>
      </c>
      <c r="AE122" s="53">
        <v>0</v>
      </c>
      <c r="AF122" s="53" t="s">
        <v>3</v>
      </c>
      <c r="AG122" s="53" t="s">
        <v>1252</v>
      </c>
      <c r="AH122" s="53" t="s">
        <v>1253</v>
      </c>
      <c r="AI122" s="53" t="s">
        <v>3</v>
      </c>
      <c r="AJ122" s="53">
        <v>0</v>
      </c>
      <c r="AK122" s="53" t="s">
        <v>3</v>
      </c>
      <c r="AL122" s="53" t="s">
        <v>1252</v>
      </c>
      <c r="AM122" s="53" t="s">
        <v>1253</v>
      </c>
      <c r="AN122" s="53" t="s">
        <v>3</v>
      </c>
      <c r="AO122" s="53">
        <v>0</v>
      </c>
      <c r="AP122" s="53" t="s">
        <v>3</v>
      </c>
      <c r="AQ122" s="53" t="s">
        <v>1252</v>
      </c>
      <c r="AR122" s="53" t="s">
        <v>1253</v>
      </c>
      <c r="AS122" s="53" t="s">
        <v>3</v>
      </c>
      <c r="AT122" s="53"/>
      <c r="AU122" s="53"/>
      <c r="AV122" s="53"/>
      <c r="AW122" s="53" t="s">
        <v>1761</v>
      </c>
    </row>
    <row r="123" spans="1:49" ht="30" customHeight="1" x14ac:dyDescent="0.3">
      <c r="A123" s="48" t="s">
        <v>1514</v>
      </c>
      <c r="B123" s="44" t="str">
        <f t="shared" si="2"/>
        <v>2</v>
      </c>
      <c r="C123" s="44" t="str">
        <f t="shared" si="3"/>
        <v>2</v>
      </c>
      <c r="D123" s="52" t="s">
        <v>2132</v>
      </c>
      <c r="E123" s="52" t="s">
        <v>2122</v>
      </c>
      <c r="F123" s="45">
        <v>45666</v>
      </c>
      <c r="G123" s="53" t="s">
        <v>1140</v>
      </c>
      <c r="H123" s="53" t="s">
        <v>1390</v>
      </c>
      <c r="I123" s="53" t="s">
        <v>1146</v>
      </c>
      <c r="J123" s="53" t="s">
        <v>1779</v>
      </c>
      <c r="K123" s="53" t="s">
        <v>1872</v>
      </c>
      <c r="L123" s="53" t="s">
        <v>3</v>
      </c>
      <c r="M123" s="53" t="s">
        <v>2133</v>
      </c>
      <c r="N123" s="53" t="s">
        <v>1141</v>
      </c>
      <c r="O123" s="53" t="s">
        <v>1453</v>
      </c>
      <c r="P123" s="53" t="s">
        <v>3</v>
      </c>
      <c r="Q123" s="53" t="s">
        <v>1414</v>
      </c>
      <c r="R123" s="53" t="s">
        <v>2134</v>
      </c>
      <c r="S123" s="53" t="s">
        <v>3</v>
      </c>
      <c r="T123" s="53" t="s">
        <v>1143</v>
      </c>
      <c r="U123" s="53" t="s">
        <v>2131</v>
      </c>
      <c r="V123" s="53">
        <v>1</v>
      </c>
      <c r="W123" s="53" t="s">
        <v>2521</v>
      </c>
      <c r="X123" s="53" t="s">
        <v>53</v>
      </c>
      <c r="Y123" s="53" t="s">
        <v>127</v>
      </c>
      <c r="Z123" s="53" t="s">
        <v>51</v>
      </c>
      <c r="AA123" s="53" t="s">
        <v>1384</v>
      </c>
      <c r="AB123" s="53" t="s">
        <v>96</v>
      </c>
      <c r="AC123" s="53" t="s">
        <v>148</v>
      </c>
      <c r="AD123" s="53" t="s">
        <v>3</v>
      </c>
      <c r="AE123" s="53">
        <v>0</v>
      </c>
      <c r="AF123" s="53" t="s">
        <v>3</v>
      </c>
      <c r="AG123" s="53" t="s">
        <v>1252</v>
      </c>
      <c r="AH123" s="53" t="s">
        <v>1253</v>
      </c>
      <c r="AI123" s="53" t="s">
        <v>3</v>
      </c>
      <c r="AJ123" s="53">
        <v>0</v>
      </c>
      <c r="AK123" s="53" t="s">
        <v>3</v>
      </c>
      <c r="AL123" s="53" t="s">
        <v>1252</v>
      </c>
      <c r="AM123" s="53" t="s">
        <v>1253</v>
      </c>
      <c r="AN123" s="53" t="s">
        <v>3</v>
      </c>
      <c r="AO123" s="53">
        <v>0</v>
      </c>
      <c r="AP123" s="53" t="s">
        <v>3</v>
      </c>
      <c r="AQ123" s="53" t="s">
        <v>1252</v>
      </c>
      <c r="AR123" s="53" t="s">
        <v>1253</v>
      </c>
      <c r="AS123" s="53" t="s">
        <v>3</v>
      </c>
      <c r="AT123" s="53"/>
      <c r="AU123" s="53"/>
      <c r="AV123" s="53"/>
      <c r="AW123" s="53" t="s">
        <v>1761</v>
      </c>
    </row>
    <row r="124" spans="1:49" ht="30" customHeight="1" x14ac:dyDescent="0.3">
      <c r="A124" s="48" t="s">
        <v>1359</v>
      </c>
      <c r="B124" s="44" t="str">
        <f t="shared" si="2"/>
        <v>2</v>
      </c>
      <c r="C124" s="44" t="str">
        <f t="shared" si="3"/>
        <v>2</v>
      </c>
      <c r="D124" s="52" t="s">
        <v>2135</v>
      </c>
      <c r="E124" s="52" t="s">
        <v>2122</v>
      </c>
      <c r="F124" s="45">
        <v>45666</v>
      </c>
      <c r="G124" s="53" t="s">
        <v>1388</v>
      </c>
      <c r="H124" s="53" t="s">
        <v>1547</v>
      </c>
      <c r="I124" s="53" t="s">
        <v>1146</v>
      </c>
      <c r="J124" s="53" t="s">
        <v>1779</v>
      </c>
      <c r="K124" s="53" t="s">
        <v>1443</v>
      </c>
      <c r="L124" s="53" t="s">
        <v>3</v>
      </c>
      <c r="M124" s="53" t="s">
        <v>2136</v>
      </c>
      <c r="N124" s="53" t="s">
        <v>3</v>
      </c>
      <c r="O124" s="53" t="s">
        <v>3</v>
      </c>
      <c r="P124" s="53" t="s">
        <v>3</v>
      </c>
      <c r="Q124" s="53" t="s">
        <v>1466</v>
      </c>
      <c r="R124" s="53" t="s">
        <v>2137</v>
      </c>
      <c r="S124" s="53" t="s">
        <v>1142</v>
      </c>
      <c r="T124" s="53" t="s">
        <v>1143</v>
      </c>
      <c r="U124" s="53" t="s">
        <v>2138</v>
      </c>
      <c r="V124" s="53">
        <v>2</v>
      </c>
      <c r="W124" s="53" t="s">
        <v>2519</v>
      </c>
      <c r="X124" s="53" t="s">
        <v>1385</v>
      </c>
      <c r="Y124" s="53" t="s">
        <v>1799</v>
      </c>
      <c r="Z124" s="53" t="s">
        <v>84</v>
      </c>
      <c r="AA124" s="53" t="s">
        <v>147</v>
      </c>
      <c r="AB124" s="53" t="s">
        <v>95</v>
      </c>
      <c r="AC124" s="53" t="s">
        <v>124</v>
      </c>
      <c r="AD124" s="53" t="s">
        <v>2139</v>
      </c>
      <c r="AE124" s="53" t="s">
        <v>2140</v>
      </c>
      <c r="AF124" s="53" t="s">
        <v>1928</v>
      </c>
      <c r="AG124" s="53" t="s">
        <v>1464</v>
      </c>
      <c r="AH124" s="53" t="s">
        <v>1465</v>
      </c>
      <c r="AI124" s="53" t="s">
        <v>2141</v>
      </c>
      <c r="AJ124" s="53" t="s">
        <v>2140</v>
      </c>
      <c r="AK124" s="53" t="s">
        <v>1251</v>
      </c>
      <c r="AL124" s="53" t="s">
        <v>1859</v>
      </c>
      <c r="AM124" s="53" t="s">
        <v>1860</v>
      </c>
      <c r="AN124" s="53" t="s">
        <v>3</v>
      </c>
      <c r="AO124" s="53">
        <v>0</v>
      </c>
      <c r="AP124" s="53" t="s">
        <v>3</v>
      </c>
      <c r="AQ124" s="53" t="s">
        <v>1252</v>
      </c>
      <c r="AR124" s="53" t="s">
        <v>1253</v>
      </c>
      <c r="AS124" s="53" t="s">
        <v>3</v>
      </c>
      <c r="AT124" s="53"/>
      <c r="AU124" s="53"/>
      <c r="AV124" s="53"/>
      <c r="AW124" s="53" t="s">
        <v>1761</v>
      </c>
    </row>
    <row r="125" spans="1:49" ht="30" customHeight="1" x14ac:dyDescent="0.3">
      <c r="A125" s="48" t="s">
        <v>1360</v>
      </c>
      <c r="B125" s="44" t="str">
        <f t="shared" si="2"/>
        <v>2</v>
      </c>
      <c r="C125" s="44" t="str">
        <f t="shared" si="3"/>
        <v>2</v>
      </c>
      <c r="D125" s="52" t="s">
        <v>2142</v>
      </c>
      <c r="E125" s="52" t="s">
        <v>2122</v>
      </c>
      <c r="F125" s="45">
        <v>45666</v>
      </c>
      <c r="G125" s="53" t="s">
        <v>1388</v>
      </c>
      <c r="H125" s="53" t="s">
        <v>1425</v>
      </c>
      <c r="I125" s="53" t="s">
        <v>1146</v>
      </c>
      <c r="J125" s="53" t="s">
        <v>1779</v>
      </c>
      <c r="K125" s="53" t="s">
        <v>1452</v>
      </c>
      <c r="L125" s="53" t="s">
        <v>3</v>
      </c>
      <c r="M125" s="53" t="s">
        <v>2143</v>
      </c>
      <c r="N125" s="53" t="s">
        <v>1141</v>
      </c>
      <c r="O125" s="53">
        <v>0</v>
      </c>
      <c r="P125" s="53">
        <v>0</v>
      </c>
      <c r="Q125" s="53" t="s">
        <v>1466</v>
      </c>
      <c r="R125" s="53" t="s">
        <v>2137</v>
      </c>
      <c r="S125" s="53" t="s">
        <v>1142</v>
      </c>
      <c r="T125" s="53" t="s">
        <v>1143</v>
      </c>
      <c r="U125" s="53" t="s">
        <v>2138</v>
      </c>
      <c r="V125" s="53">
        <v>3</v>
      </c>
      <c r="W125" s="53" t="s">
        <v>2519</v>
      </c>
      <c r="X125" s="53" t="s">
        <v>86</v>
      </c>
      <c r="Y125" s="53" t="s">
        <v>152</v>
      </c>
      <c r="Z125" s="53" t="s">
        <v>1419</v>
      </c>
      <c r="AA125" s="53" t="s">
        <v>2528</v>
      </c>
      <c r="AB125" s="53" t="s">
        <v>95</v>
      </c>
      <c r="AC125" s="53" t="s">
        <v>124</v>
      </c>
      <c r="AD125" s="53" t="s">
        <v>2139</v>
      </c>
      <c r="AE125" s="53" t="s">
        <v>1944</v>
      </c>
      <c r="AF125" s="53" t="s">
        <v>1928</v>
      </c>
      <c r="AG125" s="53" t="s">
        <v>1464</v>
      </c>
      <c r="AH125" s="53" t="s">
        <v>1465</v>
      </c>
      <c r="AI125" s="53" t="s">
        <v>3</v>
      </c>
      <c r="AJ125" s="53">
        <v>0</v>
      </c>
      <c r="AK125" s="53" t="s">
        <v>3</v>
      </c>
      <c r="AL125" s="53" t="s">
        <v>1252</v>
      </c>
      <c r="AM125" s="53" t="s">
        <v>1253</v>
      </c>
      <c r="AN125" s="53" t="s">
        <v>3</v>
      </c>
      <c r="AO125" s="53">
        <v>0</v>
      </c>
      <c r="AP125" s="53" t="s">
        <v>3</v>
      </c>
      <c r="AQ125" s="53" t="s">
        <v>1252</v>
      </c>
      <c r="AR125" s="53" t="s">
        <v>1253</v>
      </c>
      <c r="AS125" s="53" t="s">
        <v>3</v>
      </c>
      <c r="AT125" s="53"/>
      <c r="AU125" s="53"/>
      <c r="AV125" s="53"/>
      <c r="AW125" s="53" t="s">
        <v>1761</v>
      </c>
    </row>
    <row r="126" spans="1:49" ht="30" customHeight="1" x14ac:dyDescent="0.3">
      <c r="A126" s="48" t="s">
        <v>1610</v>
      </c>
      <c r="B126" s="44" t="str">
        <f t="shared" si="2"/>
        <v>2</v>
      </c>
      <c r="C126" s="44" t="str">
        <f t="shared" si="3"/>
        <v>2</v>
      </c>
      <c r="D126" s="52" t="s">
        <v>2144</v>
      </c>
      <c r="E126" s="52" t="s">
        <v>2122</v>
      </c>
      <c r="F126" s="45">
        <v>45666</v>
      </c>
      <c r="G126" s="53" t="s">
        <v>1388</v>
      </c>
      <c r="H126" s="53" t="s">
        <v>1425</v>
      </c>
      <c r="I126" s="53" t="s">
        <v>1146</v>
      </c>
      <c r="J126" s="53" t="s">
        <v>1779</v>
      </c>
      <c r="K126" s="53" t="s">
        <v>1389</v>
      </c>
      <c r="L126" s="53" t="s">
        <v>3</v>
      </c>
      <c r="M126" s="53" t="s">
        <v>3</v>
      </c>
      <c r="N126" s="53" t="s">
        <v>3</v>
      </c>
      <c r="O126" s="53" t="s">
        <v>3</v>
      </c>
      <c r="P126" s="53" t="s">
        <v>3</v>
      </c>
      <c r="Q126" s="53" t="s">
        <v>3</v>
      </c>
      <c r="R126" s="53" t="s">
        <v>3</v>
      </c>
      <c r="S126" s="53" t="s">
        <v>3</v>
      </c>
      <c r="T126" s="53" t="s">
        <v>3</v>
      </c>
      <c r="U126" s="53" t="s">
        <v>3</v>
      </c>
      <c r="V126" s="53">
        <v>1</v>
      </c>
      <c r="W126" s="53" t="s">
        <v>2518</v>
      </c>
      <c r="X126" s="53" t="s">
        <v>48</v>
      </c>
      <c r="Y126" s="53" t="s">
        <v>105</v>
      </c>
      <c r="Z126" s="53" t="s">
        <v>51</v>
      </c>
      <c r="AA126" s="53" t="s">
        <v>1384</v>
      </c>
      <c r="AB126" s="53" t="s">
        <v>95</v>
      </c>
      <c r="AC126" s="53" t="s">
        <v>124</v>
      </c>
      <c r="AD126" s="53" t="s">
        <v>3</v>
      </c>
      <c r="AE126" s="53">
        <v>0</v>
      </c>
      <c r="AF126" s="53" t="s">
        <v>3</v>
      </c>
      <c r="AG126" s="53" t="s">
        <v>1252</v>
      </c>
      <c r="AH126" s="53" t="s">
        <v>1253</v>
      </c>
      <c r="AI126" s="53" t="s">
        <v>3</v>
      </c>
      <c r="AJ126" s="53">
        <v>0</v>
      </c>
      <c r="AK126" s="53" t="s">
        <v>3</v>
      </c>
      <c r="AL126" s="53" t="s">
        <v>1252</v>
      </c>
      <c r="AM126" s="53" t="s">
        <v>1253</v>
      </c>
      <c r="AN126" s="53" t="s">
        <v>3</v>
      </c>
      <c r="AO126" s="53">
        <v>0</v>
      </c>
      <c r="AP126" s="53" t="s">
        <v>3</v>
      </c>
      <c r="AQ126" s="53" t="s">
        <v>1252</v>
      </c>
      <c r="AR126" s="53" t="s">
        <v>1253</v>
      </c>
      <c r="AS126" s="53" t="s">
        <v>3</v>
      </c>
      <c r="AT126" s="53"/>
      <c r="AU126" s="53"/>
      <c r="AV126" s="53"/>
      <c r="AW126" s="53" t="s">
        <v>1761</v>
      </c>
    </row>
    <row r="127" spans="1:49" ht="30" customHeight="1" x14ac:dyDescent="0.3">
      <c r="A127" s="48" t="s">
        <v>1611</v>
      </c>
      <c r="B127" s="44" t="str">
        <f t="shared" si="2"/>
        <v>2</v>
      </c>
      <c r="C127" s="44" t="str">
        <f t="shared" si="3"/>
        <v>2</v>
      </c>
      <c r="D127" s="52" t="s">
        <v>2145</v>
      </c>
      <c r="E127" s="52" t="s">
        <v>2122</v>
      </c>
      <c r="F127" s="45">
        <v>44965</v>
      </c>
      <c r="G127" s="53" t="s">
        <v>1388</v>
      </c>
      <c r="H127" s="53" t="s">
        <v>1527</v>
      </c>
      <c r="I127" s="53" t="s">
        <v>1146</v>
      </c>
      <c r="J127" s="53" t="s">
        <v>1532</v>
      </c>
      <c r="K127" s="53" t="s">
        <v>1394</v>
      </c>
      <c r="L127" s="53" t="s">
        <v>3</v>
      </c>
      <c r="M127" s="53" t="s">
        <v>1533</v>
      </c>
      <c r="N127" s="53" t="s">
        <v>3</v>
      </c>
      <c r="O127" s="53" t="s">
        <v>3</v>
      </c>
      <c r="P127" s="53" t="s">
        <v>3</v>
      </c>
      <c r="Q127" s="53" t="s">
        <v>2035</v>
      </c>
      <c r="R127" s="53" t="s">
        <v>2146</v>
      </c>
      <c r="S127" s="53" t="s">
        <v>3</v>
      </c>
      <c r="T127" s="53" t="s">
        <v>1143</v>
      </c>
      <c r="U127" s="53" t="s">
        <v>3</v>
      </c>
      <c r="V127" s="53">
        <v>2</v>
      </c>
      <c r="W127" s="53" t="s">
        <v>2520</v>
      </c>
      <c r="X127" s="53" t="s">
        <v>86</v>
      </c>
      <c r="Y127" s="53" t="s">
        <v>152</v>
      </c>
      <c r="Z127" s="53" t="s">
        <v>51</v>
      </c>
      <c r="AA127" s="53" t="s">
        <v>1384</v>
      </c>
      <c r="AB127" s="53" t="s">
        <v>95</v>
      </c>
      <c r="AC127" s="53" t="s">
        <v>124</v>
      </c>
      <c r="AD127" s="53" t="s">
        <v>3</v>
      </c>
      <c r="AE127" s="53">
        <v>0</v>
      </c>
      <c r="AF127" s="53" t="s">
        <v>3</v>
      </c>
      <c r="AG127" s="53" t="s">
        <v>1252</v>
      </c>
      <c r="AH127" s="53" t="s">
        <v>1253</v>
      </c>
      <c r="AI127" s="53" t="s">
        <v>3</v>
      </c>
      <c r="AJ127" s="53">
        <v>0</v>
      </c>
      <c r="AK127" s="53" t="s">
        <v>3</v>
      </c>
      <c r="AL127" s="53" t="s">
        <v>1252</v>
      </c>
      <c r="AM127" s="53" t="s">
        <v>1253</v>
      </c>
      <c r="AN127" s="53" t="s">
        <v>3</v>
      </c>
      <c r="AO127" s="53">
        <v>0</v>
      </c>
      <c r="AP127" s="53" t="s">
        <v>3</v>
      </c>
      <c r="AQ127" s="53" t="s">
        <v>1252</v>
      </c>
      <c r="AR127" s="53" t="s">
        <v>1253</v>
      </c>
      <c r="AS127" s="53" t="s">
        <v>3</v>
      </c>
      <c r="AT127" s="53"/>
      <c r="AU127" s="53"/>
      <c r="AV127" s="53"/>
      <c r="AW127" s="53" t="s">
        <v>1761</v>
      </c>
    </row>
    <row r="128" spans="1:49" ht="30" customHeight="1" x14ac:dyDescent="0.3">
      <c r="A128" s="48" t="s">
        <v>1361</v>
      </c>
      <c r="B128" s="44" t="str">
        <f t="shared" si="2"/>
        <v>2</v>
      </c>
      <c r="C128" s="44" t="str">
        <f t="shared" si="3"/>
        <v>2</v>
      </c>
      <c r="D128" s="52" t="s">
        <v>2147</v>
      </c>
      <c r="E128" s="52" t="s">
        <v>2122</v>
      </c>
      <c r="F128" s="45">
        <v>45341</v>
      </c>
      <c r="G128" s="53" t="s">
        <v>1455</v>
      </c>
      <c r="H128" s="53" t="s">
        <v>1390</v>
      </c>
      <c r="I128" s="53" t="s">
        <v>1146</v>
      </c>
      <c r="J128" s="53" t="s">
        <v>2118</v>
      </c>
      <c r="K128" s="53" t="s">
        <v>1400</v>
      </c>
      <c r="L128" s="53" t="s">
        <v>3</v>
      </c>
      <c r="M128" s="53" t="s">
        <v>1411</v>
      </c>
      <c r="N128" s="53" t="s">
        <v>3</v>
      </c>
      <c r="O128" s="53" t="s">
        <v>3</v>
      </c>
      <c r="P128" s="53" t="s">
        <v>3</v>
      </c>
      <c r="Q128" s="53" t="s">
        <v>1401</v>
      </c>
      <c r="R128" s="53" t="s">
        <v>2148</v>
      </c>
      <c r="S128" s="53" t="s">
        <v>3</v>
      </c>
      <c r="T128" s="53" t="s">
        <v>1143</v>
      </c>
      <c r="U128" s="53" t="s">
        <v>3</v>
      </c>
      <c r="V128" s="53">
        <v>1</v>
      </c>
      <c r="W128" s="53" t="s">
        <v>2521</v>
      </c>
      <c r="X128" s="53" t="s">
        <v>53</v>
      </c>
      <c r="Y128" s="53" t="s">
        <v>127</v>
      </c>
      <c r="Z128" s="53" t="s">
        <v>51</v>
      </c>
      <c r="AA128" s="53" t="s">
        <v>1384</v>
      </c>
      <c r="AB128" s="53" t="s">
        <v>96</v>
      </c>
      <c r="AC128" s="53" t="s">
        <v>148</v>
      </c>
      <c r="AD128" s="53" t="s">
        <v>3</v>
      </c>
      <c r="AE128" s="53">
        <v>0</v>
      </c>
      <c r="AF128" s="53" t="s">
        <v>3</v>
      </c>
      <c r="AG128" s="53" t="s">
        <v>1252</v>
      </c>
      <c r="AH128" s="53" t="s">
        <v>1253</v>
      </c>
      <c r="AI128" s="53" t="s">
        <v>3</v>
      </c>
      <c r="AJ128" s="53">
        <v>0</v>
      </c>
      <c r="AK128" s="53" t="s">
        <v>3</v>
      </c>
      <c r="AL128" s="53" t="s">
        <v>1252</v>
      </c>
      <c r="AM128" s="53" t="s">
        <v>1253</v>
      </c>
      <c r="AN128" s="53" t="s">
        <v>3</v>
      </c>
      <c r="AO128" s="53">
        <v>0</v>
      </c>
      <c r="AP128" s="53" t="s">
        <v>3</v>
      </c>
      <c r="AQ128" s="53" t="s">
        <v>1252</v>
      </c>
      <c r="AR128" s="53" t="s">
        <v>1253</v>
      </c>
      <c r="AS128" s="53" t="s">
        <v>3</v>
      </c>
      <c r="AT128" s="53"/>
      <c r="AU128" s="53"/>
      <c r="AV128" s="53"/>
      <c r="AW128" s="53" t="s">
        <v>1761</v>
      </c>
    </row>
    <row r="129" spans="1:49" ht="30" customHeight="1" x14ac:dyDescent="0.3">
      <c r="A129" s="48" t="s">
        <v>1362</v>
      </c>
      <c r="B129" s="44" t="str">
        <f t="shared" si="2"/>
        <v>2</v>
      </c>
      <c r="C129" s="44" t="str">
        <f t="shared" si="3"/>
        <v>2</v>
      </c>
      <c r="D129" s="52" t="s">
        <v>2149</v>
      </c>
      <c r="E129" s="52" t="s">
        <v>2122</v>
      </c>
      <c r="F129" s="45">
        <v>44965</v>
      </c>
      <c r="G129" s="53" t="s">
        <v>1388</v>
      </c>
      <c r="H129" s="53" t="s">
        <v>1480</v>
      </c>
      <c r="I129" s="53" t="s">
        <v>1146</v>
      </c>
      <c r="J129" s="53" t="s">
        <v>1779</v>
      </c>
      <c r="K129" s="53" t="s">
        <v>1400</v>
      </c>
      <c r="L129" s="53">
        <v>0</v>
      </c>
      <c r="M129" s="53" t="s">
        <v>2150</v>
      </c>
      <c r="N129" s="53" t="s">
        <v>1413</v>
      </c>
      <c r="O129" s="53">
        <v>0</v>
      </c>
      <c r="P129" s="53">
        <v>0</v>
      </c>
      <c r="Q129" s="53" t="s">
        <v>1396</v>
      </c>
      <c r="R129" s="53" t="s">
        <v>2151</v>
      </c>
      <c r="S129" s="53" t="s">
        <v>3</v>
      </c>
      <c r="T129" s="53" t="s">
        <v>1143</v>
      </c>
      <c r="U129" s="53" t="s">
        <v>2152</v>
      </c>
      <c r="V129" s="53">
        <v>3</v>
      </c>
      <c r="W129" s="53" t="s">
        <v>2520</v>
      </c>
      <c r="X129" s="53" t="s">
        <v>53</v>
      </c>
      <c r="Y129" s="53" t="s">
        <v>127</v>
      </c>
      <c r="Z129" s="53" t="s">
        <v>51</v>
      </c>
      <c r="AA129" s="53" t="s">
        <v>1384</v>
      </c>
      <c r="AB129" s="53" t="s">
        <v>95</v>
      </c>
      <c r="AC129" s="53" t="s">
        <v>124</v>
      </c>
      <c r="AD129" s="53" t="s">
        <v>3</v>
      </c>
      <c r="AE129" s="53">
        <v>0</v>
      </c>
      <c r="AF129" s="53" t="s">
        <v>3</v>
      </c>
      <c r="AG129" s="53" t="s">
        <v>1252</v>
      </c>
      <c r="AH129" s="53" t="s">
        <v>1253</v>
      </c>
      <c r="AI129" s="53">
        <v>0</v>
      </c>
      <c r="AJ129" s="53">
        <v>0</v>
      </c>
      <c r="AK129" s="53">
        <v>0</v>
      </c>
      <c r="AL129" s="53" t="s">
        <v>1252</v>
      </c>
      <c r="AM129" s="53" t="s">
        <v>1253</v>
      </c>
      <c r="AN129" s="53">
        <v>0</v>
      </c>
      <c r="AO129" s="53">
        <v>0</v>
      </c>
      <c r="AP129" s="53">
        <v>0</v>
      </c>
      <c r="AQ129" s="53" t="s">
        <v>1252</v>
      </c>
      <c r="AR129" s="53" t="s">
        <v>1253</v>
      </c>
      <c r="AS129" s="53" t="s">
        <v>3</v>
      </c>
      <c r="AT129" s="53"/>
      <c r="AU129" s="53"/>
      <c r="AV129" s="53"/>
      <c r="AW129" s="53" t="s">
        <v>1761</v>
      </c>
    </row>
    <row r="130" spans="1:49" ht="30" customHeight="1" x14ac:dyDescent="0.3">
      <c r="A130" s="48" t="s">
        <v>1612</v>
      </c>
      <c r="B130" s="44" t="str">
        <f t="shared" si="2"/>
        <v>2</v>
      </c>
      <c r="C130" s="44" t="str">
        <f t="shared" si="3"/>
        <v>2</v>
      </c>
      <c r="D130" s="52" t="s">
        <v>2153</v>
      </c>
      <c r="E130" s="52" t="s">
        <v>2122</v>
      </c>
      <c r="F130" s="45">
        <v>45666</v>
      </c>
      <c r="G130" s="53" t="s">
        <v>1388</v>
      </c>
      <c r="H130" s="53" t="s">
        <v>1425</v>
      </c>
      <c r="I130" s="53" t="s">
        <v>1146</v>
      </c>
      <c r="J130" s="53" t="s">
        <v>1779</v>
      </c>
      <c r="K130" s="53" t="s">
        <v>1452</v>
      </c>
      <c r="L130" s="53" t="s">
        <v>3</v>
      </c>
      <c r="M130" s="53" t="s">
        <v>2154</v>
      </c>
      <c r="N130" s="53" t="s">
        <v>1141</v>
      </c>
      <c r="O130" s="53" t="s">
        <v>3</v>
      </c>
      <c r="P130" s="53" t="s">
        <v>3</v>
      </c>
      <c r="Q130" s="53" t="s">
        <v>1466</v>
      </c>
      <c r="R130" s="53" t="s">
        <v>1475</v>
      </c>
      <c r="S130" s="53" t="s">
        <v>1142</v>
      </c>
      <c r="T130" s="53" t="s">
        <v>1143</v>
      </c>
      <c r="U130" s="53" t="s">
        <v>2155</v>
      </c>
      <c r="V130" s="53">
        <v>3</v>
      </c>
      <c r="W130" s="53" t="s">
        <v>2519</v>
      </c>
      <c r="X130" s="53" t="s">
        <v>86</v>
      </c>
      <c r="Y130" s="53" t="s">
        <v>152</v>
      </c>
      <c r="Z130" s="53" t="s">
        <v>1419</v>
      </c>
      <c r="AA130" s="53" t="s">
        <v>2528</v>
      </c>
      <c r="AB130" s="53" t="s">
        <v>95</v>
      </c>
      <c r="AC130" s="53" t="s">
        <v>124</v>
      </c>
      <c r="AD130" s="53" t="s">
        <v>2139</v>
      </c>
      <c r="AE130" s="53">
        <v>0.1</v>
      </c>
      <c r="AF130" s="53" t="s">
        <v>1928</v>
      </c>
      <c r="AG130" s="53" t="s">
        <v>1464</v>
      </c>
      <c r="AH130" s="53" t="s">
        <v>1465</v>
      </c>
      <c r="AI130" s="53" t="s">
        <v>3</v>
      </c>
      <c r="AJ130" s="53">
        <v>0</v>
      </c>
      <c r="AK130" s="53" t="s">
        <v>3</v>
      </c>
      <c r="AL130" s="53" t="s">
        <v>1252</v>
      </c>
      <c r="AM130" s="53" t="s">
        <v>1253</v>
      </c>
      <c r="AN130" s="53" t="s">
        <v>3</v>
      </c>
      <c r="AO130" s="53">
        <v>0</v>
      </c>
      <c r="AP130" s="53" t="s">
        <v>3</v>
      </c>
      <c r="AQ130" s="53" t="s">
        <v>1252</v>
      </c>
      <c r="AR130" s="53" t="s">
        <v>1253</v>
      </c>
      <c r="AS130" s="53" t="s">
        <v>3</v>
      </c>
      <c r="AT130" s="53"/>
      <c r="AU130" s="53"/>
      <c r="AV130" s="53"/>
      <c r="AW130" s="53" t="s">
        <v>1761</v>
      </c>
    </row>
    <row r="131" spans="1:49" ht="30" customHeight="1" x14ac:dyDescent="0.3">
      <c r="A131" s="48" t="s">
        <v>1363</v>
      </c>
      <c r="B131" s="44" t="str">
        <f t="shared" si="2"/>
        <v>2</v>
      </c>
      <c r="C131" s="44" t="str">
        <f t="shared" si="3"/>
        <v>2</v>
      </c>
      <c r="D131" s="52" t="s">
        <v>2156</v>
      </c>
      <c r="E131" s="52" t="s">
        <v>2122</v>
      </c>
      <c r="F131" s="45">
        <v>41652</v>
      </c>
      <c r="G131" s="53" t="s">
        <v>1455</v>
      </c>
      <c r="H131" s="53" t="s">
        <v>1541</v>
      </c>
      <c r="I131" s="53" t="s">
        <v>1146</v>
      </c>
      <c r="J131" s="53" t="s">
        <v>2118</v>
      </c>
      <c r="K131" s="53" t="s">
        <v>1389</v>
      </c>
      <c r="L131" s="53" t="s">
        <v>3</v>
      </c>
      <c r="M131" s="53" t="s">
        <v>3</v>
      </c>
      <c r="N131" s="53" t="s">
        <v>3</v>
      </c>
      <c r="O131" s="53" t="s">
        <v>3</v>
      </c>
      <c r="P131" s="53" t="s">
        <v>3</v>
      </c>
      <c r="Q131" s="53" t="s">
        <v>3</v>
      </c>
      <c r="R131" s="53" t="s">
        <v>3</v>
      </c>
      <c r="S131" s="53" t="s">
        <v>3</v>
      </c>
      <c r="T131" s="53" t="s">
        <v>3</v>
      </c>
      <c r="U131" s="53" t="s">
        <v>3</v>
      </c>
      <c r="V131" s="53">
        <v>1</v>
      </c>
      <c r="W131" s="53" t="s">
        <v>2518</v>
      </c>
      <c r="X131" s="53" t="s">
        <v>48</v>
      </c>
      <c r="Y131" s="53" t="s">
        <v>105</v>
      </c>
      <c r="Z131" s="53" t="s">
        <v>51</v>
      </c>
      <c r="AA131" s="53" t="s">
        <v>1384</v>
      </c>
      <c r="AB131" s="53" t="s">
        <v>96</v>
      </c>
      <c r="AC131" s="53" t="s">
        <v>148</v>
      </c>
      <c r="AD131" s="53" t="s">
        <v>3</v>
      </c>
      <c r="AE131" s="53">
        <v>0</v>
      </c>
      <c r="AF131" s="53" t="s">
        <v>3</v>
      </c>
      <c r="AG131" s="53" t="s">
        <v>1252</v>
      </c>
      <c r="AH131" s="53" t="s">
        <v>1253</v>
      </c>
      <c r="AI131" s="53" t="s">
        <v>3</v>
      </c>
      <c r="AJ131" s="53">
        <v>0</v>
      </c>
      <c r="AK131" s="53" t="s">
        <v>3</v>
      </c>
      <c r="AL131" s="53" t="s">
        <v>1252</v>
      </c>
      <c r="AM131" s="53" t="s">
        <v>1253</v>
      </c>
      <c r="AN131" s="53" t="s">
        <v>3</v>
      </c>
      <c r="AO131" s="53">
        <v>0</v>
      </c>
      <c r="AP131" s="53" t="s">
        <v>3</v>
      </c>
      <c r="AQ131" s="53" t="s">
        <v>1252</v>
      </c>
      <c r="AR131" s="53" t="s">
        <v>1253</v>
      </c>
      <c r="AS131" s="53" t="s">
        <v>3</v>
      </c>
      <c r="AT131" s="53"/>
      <c r="AU131" s="53"/>
      <c r="AV131" s="53"/>
      <c r="AW131" s="53" t="s">
        <v>1761</v>
      </c>
    </row>
    <row r="132" spans="1:49" ht="30" customHeight="1" x14ac:dyDescent="0.3">
      <c r="A132" s="48" t="s">
        <v>1613</v>
      </c>
      <c r="B132" s="44" t="str">
        <f t="shared" ref="B132:B195" si="4">HYPERLINK(CONCATENATE("..\SDB\SDB_",A132,".pdf"),"2")</f>
        <v>2</v>
      </c>
      <c r="C132" s="44" t="str">
        <f t="shared" ref="C132:C195" si="5">HYPERLINK("#"&amp;CONCATENATE(A132,"!B1"),"2")</f>
        <v>2</v>
      </c>
      <c r="D132" s="52" t="s">
        <v>2157</v>
      </c>
      <c r="E132" s="52">
        <v>0</v>
      </c>
      <c r="F132" s="45">
        <v>0</v>
      </c>
      <c r="G132" s="53">
        <v>0</v>
      </c>
      <c r="H132" s="53">
        <v>0</v>
      </c>
      <c r="I132" s="53">
        <v>0</v>
      </c>
      <c r="J132" s="53">
        <v>0</v>
      </c>
      <c r="K132" s="53">
        <v>0</v>
      </c>
      <c r="L132" s="53">
        <v>0</v>
      </c>
      <c r="M132" s="53">
        <v>0</v>
      </c>
      <c r="N132" s="53">
        <v>0</v>
      </c>
      <c r="O132" s="53">
        <v>0</v>
      </c>
      <c r="P132" s="53">
        <v>0</v>
      </c>
      <c r="Q132" s="53">
        <v>0</v>
      </c>
      <c r="R132" s="53">
        <v>0</v>
      </c>
      <c r="S132" s="53">
        <v>0</v>
      </c>
      <c r="T132" s="53">
        <v>0</v>
      </c>
      <c r="U132" s="53">
        <v>0</v>
      </c>
      <c r="V132" s="53">
        <v>0</v>
      </c>
      <c r="W132" s="53"/>
      <c r="X132" s="53">
        <v>0</v>
      </c>
      <c r="Y132" s="53" t="s">
        <v>1391</v>
      </c>
      <c r="Z132" s="53" t="s">
        <v>1391</v>
      </c>
      <c r="AA132" s="53" t="s">
        <v>1391</v>
      </c>
      <c r="AB132" s="53">
        <v>0</v>
      </c>
      <c r="AC132" s="53" t="s">
        <v>1391</v>
      </c>
      <c r="AD132" s="53">
        <v>0</v>
      </c>
      <c r="AE132" s="53">
        <v>0</v>
      </c>
      <c r="AF132" s="53">
        <v>0</v>
      </c>
      <c r="AG132" s="53">
        <v>0</v>
      </c>
      <c r="AH132" s="53" t="e">
        <v>#N/A</v>
      </c>
      <c r="AI132" s="53" t="s">
        <v>3</v>
      </c>
      <c r="AJ132" s="53">
        <v>0</v>
      </c>
      <c r="AK132" s="53" t="s">
        <v>3</v>
      </c>
      <c r="AL132" s="53" t="s">
        <v>1252</v>
      </c>
      <c r="AM132" s="53" t="s">
        <v>1253</v>
      </c>
      <c r="AN132" s="53">
        <v>0</v>
      </c>
      <c r="AO132" s="53">
        <v>0</v>
      </c>
      <c r="AP132" s="53">
        <v>0</v>
      </c>
      <c r="AQ132" s="53">
        <v>0</v>
      </c>
      <c r="AR132" s="53" t="e">
        <v>#N/A</v>
      </c>
      <c r="AS132" s="53">
        <v>0</v>
      </c>
      <c r="AT132" s="53"/>
      <c r="AU132" s="53"/>
      <c r="AV132" s="53"/>
      <c r="AW132" s="53" t="s">
        <v>1761</v>
      </c>
    </row>
    <row r="133" spans="1:49" ht="30" customHeight="1" x14ac:dyDescent="0.3">
      <c r="A133" s="48" t="s">
        <v>1364</v>
      </c>
      <c r="B133" s="44" t="str">
        <f t="shared" si="4"/>
        <v>2</v>
      </c>
      <c r="C133" s="44" t="str">
        <f t="shared" si="5"/>
        <v>2</v>
      </c>
      <c r="D133" s="52" t="s">
        <v>2158</v>
      </c>
      <c r="E133" s="52" t="s">
        <v>2159</v>
      </c>
      <c r="F133" s="45">
        <v>43859</v>
      </c>
      <c r="G133" s="53" t="s">
        <v>1388</v>
      </c>
      <c r="H133" s="53" t="s">
        <v>2160</v>
      </c>
      <c r="I133" s="53" t="s">
        <v>1146</v>
      </c>
      <c r="J133" s="53" t="s">
        <v>1779</v>
      </c>
      <c r="K133" s="53" t="s">
        <v>1394</v>
      </c>
      <c r="L133" s="53" t="s">
        <v>3</v>
      </c>
      <c r="M133" s="53" t="s">
        <v>1395</v>
      </c>
      <c r="N133" s="53" t="s">
        <v>1413</v>
      </c>
      <c r="O133" s="53" t="s">
        <v>3</v>
      </c>
      <c r="P133" s="53" t="s">
        <v>3</v>
      </c>
      <c r="Q133" s="53" t="s">
        <v>1523</v>
      </c>
      <c r="R133" s="53" t="s">
        <v>1475</v>
      </c>
      <c r="S133" s="53" t="s">
        <v>1142</v>
      </c>
      <c r="T133" s="53" t="s">
        <v>1143</v>
      </c>
      <c r="U133" s="53" t="s">
        <v>1549</v>
      </c>
      <c r="V133" s="53">
        <v>1</v>
      </c>
      <c r="W133" s="53" t="s">
        <v>2520</v>
      </c>
      <c r="X133" s="53" t="s">
        <v>86</v>
      </c>
      <c r="Y133" s="53" t="s">
        <v>152</v>
      </c>
      <c r="Z133" s="53" t="s">
        <v>1419</v>
      </c>
      <c r="AA133" s="53" t="s">
        <v>2528</v>
      </c>
      <c r="AB133" s="53" t="s">
        <v>95</v>
      </c>
      <c r="AC133" s="53" t="s">
        <v>124</v>
      </c>
      <c r="AD133" s="53" t="s">
        <v>3</v>
      </c>
      <c r="AE133" s="53">
        <v>0</v>
      </c>
      <c r="AF133" s="53" t="s">
        <v>3</v>
      </c>
      <c r="AG133" s="53" t="s">
        <v>1252</v>
      </c>
      <c r="AH133" s="53" t="s">
        <v>1253</v>
      </c>
      <c r="AI133" s="53" t="s">
        <v>3</v>
      </c>
      <c r="AJ133" s="53">
        <v>0</v>
      </c>
      <c r="AK133" s="53" t="s">
        <v>3</v>
      </c>
      <c r="AL133" s="53" t="s">
        <v>1252</v>
      </c>
      <c r="AM133" s="53" t="s">
        <v>1253</v>
      </c>
      <c r="AN133" s="53" t="s">
        <v>3</v>
      </c>
      <c r="AO133" s="53">
        <v>0</v>
      </c>
      <c r="AP133" s="53" t="s">
        <v>3</v>
      </c>
      <c r="AQ133" s="53" t="s">
        <v>1252</v>
      </c>
      <c r="AR133" s="53" t="s">
        <v>1253</v>
      </c>
      <c r="AS133" s="53" t="s">
        <v>3</v>
      </c>
      <c r="AT133" s="53"/>
      <c r="AU133" s="53"/>
      <c r="AV133" s="53"/>
      <c r="AW133" s="53" t="s">
        <v>1761</v>
      </c>
    </row>
    <row r="134" spans="1:49" ht="30" customHeight="1" x14ac:dyDescent="0.3">
      <c r="A134" s="48" t="s">
        <v>1365</v>
      </c>
      <c r="B134" s="44" t="str">
        <f t="shared" si="4"/>
        <v>2</v>
      </c>
      <c r="C134" s="44" t="str">
        <f t="shared" si="5"/>
        <v>2</v>
      </c>
      <c r="D134" s="52" t="s">
        <v>2161</v>
      </c>
      <c r="E134" s="52" t="s">
        <v>2159</v>
      </c>
      <c r="F134" s="45">
        <v>43859</v>
      </c>
      <c r="G134" s="53" t="s">
        <v>1388</v>
      </c>
      <c r="H134" s="53" t="s">
        <v>1470</v>
      </c>
      <c r="I134" s="53" t="s">
        <v>1146</v>
      </c>
      <c r="J134" s="53" t="s">
        <v>1779</v>
      </c>
      <c r="K134" s="53" t="s">
        <v>2162</v>
      </c>
      <c r="L134" s="53" t="s">
        <v>3</v>
      </c>
      <c r="M134" s="53" t="s">
        <v>2163</v>
      </c>
      <c r="N134" s="53" t="s">
        <v>1141</v>
      </c>
      <c r="O134" s="53" t="s">
        <v>3</v>
      </c>
      <c r="P134" s="53" t="s">
        <v>3</v>
      </c>
      <c r="Q134" s="53" t="s">
        <v>2164</v>
      </c>
      <c r="R134" s="53" t="s">
        <v>1437</v>
      </c>
      <c r="S134" s="53" t="s">
        <v>1142</v>
      </c>
      <c r="T134" s="53" t="s">
        <v>1143</v>
      </c>
      <c r="U134" s="53" t="s">
        <v>1549</v>
      </c>
      <c r="V134" s="53">
        <v>2</v>
      </c>
      <c r="W134" s="53" t="s">
        <v>2520</v>
      </c>
      <c r="X134" s="53" t="s">
        <v>1385</v>
      </c>
      <c r="Y134" s="53" t="s">
        <v>1799</v>
      </c>
      <c r="Z134" s="53" t="s">
        <v>84</v>
      </c>
      <c r="AA134" s="53" t="s">
        <v>147</v>
      </c>
      <c r="AB134" s="53" t="s">
        <v>95</v>
      </c>
      <c r="AC134" s="53" t="s">
        <v>124</v>
      </c>
      <c r="AD134" s="53" t="s">
        <v>2165</v>
      </c>
      <c r="AE134" s="53" t="s">
        <v>1965</v>
      </c>
      <c r="AF134" s="53" t="s">
        <v>1417</v>
      </c>
      <c r="AG134" s="53" t="s">
        <v>1464</v>
      </c>
      <c r="AH134" s="53" t="s">
        <v>1465</v>
      </c>
      <c r="AI134" s="53" t="s">
        <v>2165</v>
      </c>
      <c r="AJ134" s="53" t="s">
        <v>1965</v>
      </c>
      <c r="AK134" s="53" t="s">
        <v>1417</v>
      </c>
      <c r="AL134" s="53" t="s">
        <v>1449</v>
      </c>
      <c r="AM134" s="53" t="s">
        <v>1450</v>
      </c>
      <c r="AN134" s="53" t="s">
        <v>2165</v>
      </c>
      <c r="AO134" s="53" t="s">
        <v>1965</v>
      </c>
      <c r="AP134" s="53" t="s">
        <v>1251</v>
      </c>
      <c r="AQ134" s="53" t="s">
        <v>1398</v>
      </c>
      <c r="AR134" s="53" t="s">
        <v>1399</v>
      </c>
      <c r="AS134" s="53" t="s">
        <v>3</v>
      </c>
      <c r="AT134" s="53"/>
      <c r="AU134" s="53"/>
      <c r="AV134" s="53"/>
      <c r="AW134" s="53" t="s">
        <v>1761</v>
      </c>
    </row>
    <row r="135" spans="1:49" ht="30" customHeight="1" x14ac:dyDescent="0.3">
      <c r="A135" s="48" t="s">
        <v>1614</v>
      </c>
      <c r="B135" s="44" t="str">
        <f t="shared" si="4"/>
        <v>2</v>
      </c>
      <c r="C135" s="44" t="str">
        <f t="shared" si="5"/>
        <v>2</v>
      </c>
      <c r="D135" s="52" t="s">
        <v>2166</v>
      </c>
      <c r="E135" s="52" t="s">
        <v>2159</v>
      </c>
      <c r="F135" s="45">
        <v>43859</v>
      </c>
      <c r="G135" s="53" t="s">
        <v>1388</v>
      </c>
      <c r="H135" s="53" t="s">
        <v>1425</v>
      </c>
      <c r="I135" s="53" t="s">
        <v>1146</v>
      </c>
      <c r="J135" s="53" t="s">
        <v>1779</v>
      </c>
      <c r="K135" s="53" t="s">
        <v>1405</v>
      </c>
      <c r="L135" s="53" t="s">
        <v>3</v>
      </c>
      <c r="M135" s="53" t="s">
        <v>1477</v>
      </c>
      <c r="N135" s="53" t="s">
        <v>3</v>
      </c>
      <c r="O135" s="53" t="s">
        <v>3</v>
      </c>
      <c r="P135" s="53" t="s">
        <v>3</v>
      </c>
      <c r="Q135" s="53" t="s">
        <v>1523</v>
      </c>
      <c r="R135" s="53" t="s">
        <v>1840</v>
      </c>
      <c r="S135" s="53" t="s">
        <v>1142</v>
      </c>
      <c r="T135" s="53" t="s">
        <v>1143</v>
      </c>
      <c r="U135" s="53" t="s">
        <v>1549</v>
      </c>
      <c r="V135" s="53">
        <v>1</v>
      </c>
      <c r="W135" s="53" t="s">
        <v>2520</v>
      </c>
      <c r="X135" s="53" t="s">
        <v>86</v>
      </c>
      <c r="Y135" s="53" t="s">
        <v>152</v>
      </c>
      <c r="Z135" s="53" t="s">
        <v>1419</v>
      </c>
      <c r="AA135" s="53" t="s">
        <v>2528</v>
      </c>
      <c r="AB135" s="53" t="s">
        <v>95</v>
      </c>
      <c r="AC135" s="53" t="s">
        <v>124</v>
      </c>
      <c r="AD135" s="53" t="s">
        <v>3</v>
      </c>
      <c r="AE135" s="53">
        <v>0</v>
      </c>
      <c r="AF135" s="53" t="s">
        <v>3</v>
      </c>
      <c r="AG135" s="53" t="s">
        <v>1252</v>
      </c>
      <c r="AH135" s="53" t="s">
        <v>1253</v>
      </c>
      <c r="AI135" s="53" t="s">
        <v>3</v>
      </c>
      <c r="AJ135" s="53">
        <v>0</v>
      </c>
      <c r="AK135" s="53" t="s">
        <v>3</v>
      </c>
      <c r="AL135" s="53" t="s">
        <v>1252</v>
      </c>
      <c r="AM135" s="53" t="s">
        <v>1253</v>
      </c>
      <c r="AN135" s="53" t="s">
        <v>3</v>
      </c>
      <c r="AO135" s="53">
        <v>0</v>
      </c>
      <c r="AP135" s="53" t="s">
        <v>3</v>
      </c>
      <c r="AQ135" s="53" t="s">
        <v>1252</v>
      </c>
      <c r="AR135" s="53" t="s">
        <v>1253</v>
      </c>
      <c r="AS135" s="53" t="s">
        <v>3</v>
      </c>
      <c r="AT135" s="53"/>
      <c r="AU135" s="53"/>
      <c r="AV135" s="53"/>
      <c r="AW135" s="53" t="s">
        <v>1761</v>
      </c>
    </row>
    <row r="136" spans="1:49" ht="30" customHeight="1" x14ac:dyDescent="0.3">
      <c r="A136" s="48" t="s">
        <v>1615</v>
      </c>
      <c r="B136" s="44" t="str">
        <f t="shared" si="4"/>
        <v>2</v>
      </c>
      <c r="C136" s="44" t="str">
        <f t="shared" si="5"/>
        <v>2</v>
      </c>
      <c r="D136" s="52" t="s">
        <v>2167</v>
      </c>
      <c r="E136" s="52" t="s">
        <v>2168</v>
      </c>
      <c r="F136" s="45">
        <v>42898</v>
      </c>
      <c r="G136" s="53" t="s">
        <v>1388</v>
      </c>
      <c r="H136" s="53" t="s">
        <v>2169</v>
      </c>
      <c r="I136" s="53" t="s">
        <v>1146</v>
      </c>
      <c r="J136" s="53" t="s">
        <v>1760</v>
      </c>
      <c r="K136" s="53" t="s">
        <v>1405</v>
      </c>
      <c r="L136" s="53" t="s">
        <v>1476</v>
      </c>
      <c r="M136" s="53" t="s">
        <v>1477</v>
      </c>
      <c r="N136" s="53" t="s">
        <v>3</v>
      </c>
      <c r="O136" s="53" t="s">
        <v>3</v>
      </c>
      <c r="P136" s="53" t="s">
        <v>3</v>
      </c>
      <c r="Q136" s="53" t="s">
        <v>1466</v>
      </c>
      <c r="R136" s="53" t="s">
        <v>1478</v>
      </c>
      <c r="S136" s="53" t="s">
        <v>3</v>
      </c>
      <c r="T136" s="53" t="s">
        <v>3</v>
      </c>
      <c r="U136" s="53" t="s">
        <v>2029</v>
      </c>
      <c r="V136" s="53">
        <v>1</v>
      </c>
      <c r="W136" s="53" t="s">
        <v>2520</v>
      </c>
      <c r="X136" s="53" t="s">
        <v>86</v>
      </c>
      <c r="Y136" s="53" t="s">
        <v>152</v>
      </c>
      <c r="Z136" s="53" t="s">
        <v>84</v>
      </c>
      <c r="AA136" s="53" t="s">
        <v>147</v>
      </c>
      <c r="AB136" s="53" t="s">
        <v>96</v>
      </c>
      <c r="AC136" s="53" t="s">
        <v>148</v>
      </c>
      <c r="AD136" s="53" t="s">
        <v>3</v>
      </c>
      <c r="AE136" s="53">
        <v>0</v>
      </c>
      <c r="AF136" s="53" t="s">
        <v>3</v>
      </c>
      <c r="AG136" s="53" t="s">
        <v>1252</v>
      </c>
      <c r="AH136" s="53" t="s">
        <v>1253</v>
      </c>
      <c r="AI136" s="53" t="s">
        <v>3</v>
      </c>
      <c r="AJ136" s="53">
        <v>0</v>
      </c>
      <c r="AK136" s="53" t="s">
        <v>3</v>
      </c>
      <c r="AL136" s="53" t="s">
        <v>1252</v>
      </c>
      <c r="AM136" s="53" t="s">
        <v>1253</v>
      </c>
      <c r="AN136" s="53" t="s">
        <v>3</v>
      </c>
      <c r="AO136" s="53">
        <v>0</v>
      </c>
      <c r="AP136" s="53" t="s">
        <v>3</v>
      </c>
      <c r="AQ136" s="53" t="s">
        <v>1252</v>
      </c>
      <c r="AR136" s="53" t="s">
        <v>1253</v>
      </c>
      <c r="AS136" s="53" t="s">
        <v>3</v>
      </c>
      <c r="AT136" s="53"/>
      <c r="AU136" s="53"/>
      <c r="AV136" s="53"/>
      <c r="AW136" s="53" t="s">
        <v>1761</v>
      </c>
    </row>
    <row r="137" spans="1:49" ht="30" customHeight="1" x14ac:dyDescent="0.3">
      <c r="A137" s="48" t="s">
        <v>1366</v>
      </c>
      <c r="B137" s="44" t="str">
        <f t="shared" si="4"/>
        <v>2</v>
      </c>
      <c r="C137" s="44" t="str">
        <f t="shared" si="5"/>
        <v>2</v>
      </c>
      <c r="D137" s="52" t="s">
        <v>2170</v>
      </c>
      <c r="E137" s="52" t="s">
        <v>1957</v>
      </c>
      <c r="F137" s="45">
        <v>43756</v>
      </c>
      <c r="G137" s="53" t="s">
        <v>1388</v>
      </c>
      <c r="H137" s="53" t="s">
        <v>1851</v>
      </c>
      <c r="I137" s="53" t="s">
        <v>1146</v>
      </c>
      <c r="J137" s="53" t="s">
        <v>1779</v>
      </c>
      <c r="K137" s="53" t="s">
        <v>2162</v>
      </c>
      <c r="L137" s="53" t="s">
        <v>3</v>
      </c>
      <c r="M137" s="53" t="s">
        <v>2171</v>
      </c>
      <c r="N137" s="53" t="s">
        <v>1393</v>
      </c>
      <c r="O137" s="53" t="s">
        <v>3</v>
      </c>
      <c r="P137" s="53" t="s">
        <v>3</v>
      </c>
      <c r="Q137" s="53" t="s">
        <v>2164</v>
      </c>
      <c r="R137" s="53" t="s">
        <v>2172</v>
      </c>
      <c r="S137" s="53" t="s">
        <v>1142</v>
      </c>
      <c r="T137" s="53" t="s">
        <v>1143</v>
      </c>
      <c r="U137" s="53" t="s">
        <v>2173</v>
      </c>
      <c r="V137" s="53">
        <v>2</v>
      </c>
      <c r="W137" s="53" t="s">
        <v>2520</v>
      </c>
      <c r="X137" s="53" t="s">
        <v>1385</v>
      </c>
      <c r="Y137" s="53" t="s">
        <v>1799</v>
      </c>
      <c r="Z137" s="53" t="s">
        <v>1419</v>
      </c>
      <c r="AA137" s="53" t="s">
        <v>2528</v>
      </c>
      <c r="AB137" s="53" t="s">
        <v>95</v>
      </c>
      <c r="AC137" s="53" t="s">
        <v>124</v>
      </c>
      <c r="AD137" s="53" t="s">
        <v>2173</v>
      </c>
      <c r="AE137" s="53" t="s">
        <v>1836</v>
      </c>
      <c r="AF137" s="53" t="s">
        <v>1928</v>
      </c>
      <c r="AG137" s="53" t="s">
        <v>1421</v>
      </c>
      <c r="AH137" s="53" t="s">
        <v>1422</v>
      </c>
      <c r="AI137" s="53" t="s">
        <v>2173</v>
      </c>
      <c r="AJ137" s="53" t="s">
        <v>1836</v>
      </c>
      <c r="AK137" s="53" t="s">
        <v>1417</v>
      </c>
      <c r="AL137" s="53" t="s">
        <v>1482</v>
      </c>
      <c r="AM137" s="53" t="s">
        <v>1483</v>
      </c>
      <c r="AN137" s="53" t="s">
        <v>2173</v>
      </c>
      <c r="AO137" s="53" t="s">
        <v>1836</v>
      </c>
      <c r="AP137" s="53" t="s">
        <v>1251</v>
      </c>
      <c r="AQ137" s="53" t="s">
        <v>1398</v>
      </c>
      <c r="AR137" s="53" t="s">
        <v>1399</v>
      </c>
      <c r="AS137" s="53" t="s">
        <v>3</v>
      </c>
      <c r="AT137" s="53"/>
      <c r="AU137" s="53"/>
      <c r="AV137" s="53"/>
      <c r="AW137" s="53" t="s">
        <v>1761</v>
      </c>
    </row>
    <row r="138" spans="1:49" ht="30" customHeight="1" x14ac:dyDescent="0.3">
      <c r="A138" s="48" t="s">
        <v>1367</v>
      </c>
      <c r="B138" s="44" t="str">
        <f t="shared" si="4"/>
        <v>2</v>
      </c>
      <c r="C138" s="44" t="str">
        <f t="shared" si="5"/>
        <v>2</v>
      </c>
      <c r="D138" s="52" t="s">
        <v>2174</v>
      </c>
      <c r="E138" s="52" t="s">
        <v>1957</v>
      </c>
      <c r="F138" s="45">
        <v>43756</v>
      </c>
      <c r="G138" s="53" t="s">
        <v>1388</v>
      </c>
      <c r="H138" s="53" t="s">
        <v>1425</v>
      </c>
      <c r="I138" s="53" t="s">
        <v>1146</v>
      </c>
      <c r="J138" s="53" t="s">
        <v>1779</v>
      </c>
      <c r="K138" s="53" t="s">
        <v>1389</v>
      </c>
      <c r="L138" s="53" t="s">
        <v>3</v>
      </c>
      <c r="M138" s="53" t="s">
        <v>3</v>
      </c>
      <c r="N138" s="53" t="s">
        <v>3</v>
      </c>
      <c r="O138" s="53" t="s">
        <v>3</v>
      </c>
      <c r="P138" s="53" t="s">
        <v>3</v>
      </c>
      <c r="Q138" s="53" t="s">
        <v>3</v>
      </c>
      <c r="R138" s="53" t="s">
        <v>3</v>
      </c>
      <c r="S138" s="53" t="s">
        <v>3</v>
      </c>
      <c r="T138" s="53" t="s">
        <v>3</v>
      </c>
      <c r="U138" s="53" t="s">
        <v>3</v>
      </c>
      <c r="V138" s="53" t="s">
        <v>1231</v>
      </c>
      <c r="W138" s="53" t="s">
        <v>2520</v>
      </c>
      <c r="X138" s="53" t="s">
        <v>48</v>
      </c>
      <c r="Y138" s="53" t="s">
        <v>105</v>
      </c>
      <c r="Z138" s="53" t="s">
        <v>51</v>
      </c>
      <c r="AA138" s="53" t="s">
        <v>1384</v>
      </c>
      <c r="AB138" s="53" t="s">
        <v>95</v>
      </c>
      <c r="AC138" s="53" t="s">
        <v>124</v>
      </c>
      <c r="AD138" s="53" t="s">
        <v>3</v>
      </c>
      <c r="AE138" s="53">
        <v>0</v>
      </c>
      <c r="AF138" s="53" t="s">
        <v>3</v>
      </c>
      <c r="AG138" s="53" t="s">
        <v>1252</v>
      </c>
      <c r="AH138" s="53" t="s">
        <v>1253</v>
      </c>
      <c r="AI138" s="53" t="s">
        <v>3</v>
      </c>
      <c r="AJ138" s="53">
        <v>0</v>
      </c>
      <c r="AK138" s="53" t="s">
        <v>3</v>
      </c>
      <c r="AL138" s="53" t="s">
        <v>1252</v>
      </c>
      <c r="AM138" s="53" t="s">
        <v>1253</v>
      </c>
      <c r="AN138" s="53" t="s">
        <v>3</v>
      </c>
      <c r="AO138" s="53">
        <v>0</v>
      </c>
      <c r="AP138" s="53" t="s">
        <v>3</v>
      </c>
      <c r="AQ138" s="53" t="s">
        <v>1252</v>
      </c>
      <c r="AR138" s="53" t="s">
        <v>1253</v>
      </c>
      <c r="AS138" s="53" t="s">
        <v>3</v>
      </c>
      <c r="AT138" s="53"/>
      <c r="AU138" s="53"/>
      <c r="AV138" s="53"/>
      <c r="AW138" s="53" t="s">
        <v>1761</v>
      </c>
    </row>
    <row r="139" spans="1:49" ht="30" customHeight="1" x14ac:dyDescent="0.3">
      <c r="A139" s="48" t="s">
        <v>1368</v>
      </c>
      <c r="B139" s="44" t="str">
        <f t="shared" si="4"/>
        <v>2</v>
      </c>
      <c r="C139" s="44" t="str">
        <f t="shared" si="5"/>
        <v>2</v>
      </c>
      <c r="D139" s="52" t="s">
        <v>2175</v>
      </c>
      <c r="E139" s="52" t="s">
        <v>1957</v>
      </c>
      <c r="F139" s="45">
        <v>44111</v>
      </c>
      <c r="G139" s="53" t="s">
        <v>1388</v>
      </c>
      <c r="H139" s="53" t="s">
        <v>2176</v>
      </c>
      <c r="I139" s="53" t="s">
        <v>1146</v>
      </c>
      <c r="J139" s="53" t="s">
        <v>1779</v>
      </c>
      <c r="K139" s="53" t="s">
        <v>1394</v>
      </c>
      <c r="L139" s="53" t="s">
        <v>3</v>
      </c>
      <c r="M139" s="53" t="s">
        <v>2083</v>
      </c>
      <c r="N139" s="53" t="s">
        <v>3</v>
      </c>
      <c r="O139" s="53" t="s">
        <v>3</v>
      </c>
      <c r="P139" s="53" t="s">
        <v>3</v>
      </c>
      <c r="Q139" s="53" t="s">
        <v>3</v>
      </c>
      <c r="R139" s="53" t="s">
        <v>1844</v>
      </c>
      <c r="S139" s="53" t="s">
        <v>3</v>
      </c>
      <c r="T139" s="53" t="s">
        <v>1143</v>
      </c>
      <c r="U139" s="53" t="s">
        <v>2177</v>
      </c>
      <c r="V139" s="53">
        <v>2</v>
      </c>
      <c r="W139" s="53" t="s">
        <v>2520</v>
      </c>
      <c r="X139" s="53" t="s">
        <v>53</v>
      </c>
      <c r="Y139" s="53" t="s">
        <v>127</v>
      </c>
      <c r="Z139" s="53" t="s">
        <v>51</v>
      </c>
      <c r="AA139" s="53" t="s">
        <v>1384</v>
      </c>
      <c r="AB139" s="53" t="s">
        <v>95</v>
      </c>
      <c r="AC139" s="53" t="s">
        <v>124</v>
      </c>
      <c r="AD139" s="53" t="s">
        <v>3</v>
      </c>
      <c r="AE139" s="53">
        <v>0</v>
      </c>
      <c r="AF139" s="53" t="s">
        <v>3</v>
      </c>
      <c r="AG139" s="53" t="s">
        <v>1252</v>
      </c>
      <c r="AH139" s="53" t="s">
        <v>1253</v>
      </c>
      <c r="AI139" s="53" t="s">
        <v>3</v>
      </c>
      <c r="AJ139" s="53">
        <v>0</v>
      </c>
      <c r="AK139" s="53" t="s">
        <v>3</v>
      </c>
      <c r="AL139" s="53" t="s">
        <v>1252</v>
      </c>
      <c r="AM139" s="53" t="s">
        <v>1253</v>
      </c>
      <c r="AN139" s="53" t="s">
        <v>3</v>
      </c>
      <c r="AO139" s="53">
        <v>0</v>
      </c>
      <c r="AP139" s="53" t="s">
        <v>3</v>
      </c>
      <c r="AQ139" s="53" t="s">
        <v>1252</v>
      </c>
      <c r="AR139" s="53" t="s">
        <v>1253</v>
      </c>
      <c r="AS139" s="53">
        <v>100</v>
      </c>
      <c r="AT139" s="53"/>
      <c r="AU139" s="53"/>
      <c r="AV139" s="53"/>
      <c r="AW139" s="53" t="s">
        <v>1761</v>
      </c>
    </row>
    <row r="140" spans="1:49" ht="30" customHeight="1" x14ac:dyDescent="0.3">
      <c r="A140" s="48" t="s">
        <v>1369</v>
      </c>
      <c r="B140" s="44" t="str">
        <f t="shared" si="4"/>
        <v>2</v>
      </c>
      <c r="C140" s="44" t="str">
        <f t="shared" si="5"/>
        <v>2</v>
      </c>
      <c r="D140" s="52" t="s">
        <v>2178</v>
      </c>
      <c r="E140" s="52" t="s">
        <v>2179</v>
      </c>
      <c r="F140" s="45">
        <v>36647</v>
      </c>
      <c r="G140" s="53" t="s">
        <v>1388</v>
      </c>
      <c r="H140" s="53" t="s">
        <v>2176</v>
      </c>
      <c r="I140" s="53" t="s">
        <v>1146</v>
      </c>
      <c r="J140" s="53" t="s">
        <v>1760</v>
      </c>
      <c r="K140" s="53" t="s">
        <v>1530</v>
      </c>
      <c r="L140" s="53">
        <v>0</v>
      </c>
      <c r="M140" s="53">
        <v>0</v>
      </c>
      <c r="N140" s="53">
        <v>0</v>
      </c>
      <c r="O140" s="53">
        <v>0</v>
      </c>
      <c r="P140" s="53">
        <v>0</v>
      </c>
      <c r="Q140" s="53">
        <v>0</v>
      </c>
      <c r="R140" s="53">
        <v>0</v>
      </c>
      <c r="S140" s="53">
        <v>0</v>
      </c>
      <c r="T140" s="53">
        <v>0</v>
      </c>
      <c r="U140" s="53">
        <v>0</v>
      </c>
      <c r="V140" s="53">
        <v>1</v>
      </c>
      <c r="W140" s="53" t="s">
        <v>2521</v>
      </c>
      <c r="X140" s="53">
        <v>0</v>
      </c>
      <c r="Y140" s="53" t="s">
        <v>1391</v>
      </c>
      <c r="Z140" s="53" t="s">
        <v>1391</v>
      </c>
      <c r="AA140" s="53" t="s">
        <v>1391</v>
      </c>
      <c r="AB140" s="53">
        <v>0</v>
      </c>
      <c r="AC140" s="53" t="s">
        <v>1391</v>
      </c>
      <c r="AD140" s="53" t="s">
        <v>3</v>
      </c>
      <c r="AE140" s="53">
        <v>0</v>
      </c>
      <c r="AF140" s="53" t="s">
        <v>3</v>
      </c>
      <c r="AG140" s="53" t="s">
        <v>1252</v>
      </c>
      <c r="AH140" s="53" t="s">
        <v>1253</v>
      </c>
      <c r="AI140" s="53" t="s">
        <v>3</v>
      </c>
      <c r="AJ140" s="53">
        <v>0</v>
      </c>
      <c r="AK140" s="53" t="s">
        <v>3</v>
      </c>
      <c r="AL140" s="53" t="s">
        <v>1252</v>
      </c>
      <c r="AM140" s="53" t="s">
        <v>1253</v>
      </c>
      <c r="AN140" s="53" t="s">
        <v>3</v>
      </c>
      <c r="AO140" s="53">
        <v>0</v>
      </c>
      <c r="AP140" s="53" t="s">
        <v>3</v>
      </c>
      <c r="AQ140" s="53" t="s">
        <v>1252</v>
      </c>
      <c r="AR140" s="53" t="s">
        <v>1253</v>
      </c>
      <c r="AS140" s="53">
        <v>0</v>
      </c>
      <c r="AT140" s="53"/>
      <c r="AU140" s="53"/>
      <c r="AV140" s="53"/>
      <c r="AW140" s="53" t="s">
        <v>1761</v>
      </c>
    </row>
    <row r="141" spans="1:49" ht="30" customHeight="1" x14ac:dyDescent="0.3">
      <c r="A141" s="48" t="s">
        <v>1616</v>
      </c>
      <c r="B141" s="44" t="str">
        <f t="shared" si="4"/>
        <v>2</v>
      </c>
      <c r="C141" s="44" t="str">
        <f t="shared" si="5"/>
        <v>2</v>
      </c>
      <c r="D141" s="52" t="s">
        <v>2180</v>
      </c>
      <c r="E141" s="52" t="s">
        <v>1971</v>
      </c>
      <c r="F141" s="45">
        <v>44198</v>
      </c>
      <c r="G141" s="53" t="s">
        <v>1388</v>
      </c>
      <c r="H141" s="53" t="s">
        <v>2176</v>
      </c>
      <c r="I141" s="53" t="s">
        <v>1146</v>
      </c>
      <c r="J141" s="53" t="s">
        <v>1779</v>
      </c>
      <c r="K141" s="53" t="s">
        <v>1389</v>
      </c>
      <c r="L141" s="53" t="s">
        <v>3</v>
      </c>
      <c r="M141" s="53" t="s">
        <v>3</v>
      </c>
      <c r="N141" s="53" t="s">
        <v>3</v>
      </c>
      <c r="O141" s="53" t="s">
        <v>3</v>
      </c>
      <c r="P141" s="53" t="s">
        <v>3</v>
      </c>
      <c r="Q141" s="53" t="s">
        <v>3</v>
      </c>
      <c r="R141" s="53" t="s">
        <v>3</v>
      </c>
      <c r="S141" s="53" t="s">
        <v>3</v>
      </c>
      <c r="T141" s="53" t="s">
        <v>3</v>
      </c>
      <c r="U141" s="53">
        <v>0</v>
      </c>
      <c r="V141" s="53" t="s">
        <v>1231</v>
      </c>
      <c r="W141" s="53" t="s">
        <v>2518</v>
      </c>
      <c r="X141" s="53" t="s">
        <v>48</v>
      </c>
      <c r="Y141" s="53" t="s">
        <v>105</v>
      </c>
      <c r="Z141" s="53" t="s">
        <v>51</v>
      </c>
      <c r="AA141" s="53" t="s">
        <v>1384</v>
      </c>
      <c r="AB141" s="53" t="s">
        <v>95</v>
      </c>
      <c r="AC141" s="53" t="s">
        <v>124</v>
      </c>
      <c r="AD141" s="53">
        <v>0</v>
      </c>
      <c r="AE141" s="53">
        <v>0</v>
      </c>
      <c r="AF141" s="53">
        <v>0</v>
      </c>
      <c r="AG141" s="53">
        <v>0</v>
      </c>
      <c r="AH141" s="53" t="e">
        <v>#N/A</v>
      </c>
      <c r="AI141" s="53" t="s">
        <v>3</v>
      </c>
      <c r="AJ141" s="53">
        <v>0</v>
      </c>
      <c r="AK141" s="53" t="s">
        <v>3</v>
      </c>
      <c r="AL141" s="53" t="s">
        <v>1252</v>
      </c>
      <c r="AM141" s="53" t="s">
        <v>1253</v>
      </c>
      <c r="AN141" s="53" t="s">
        <v>3</v>
      </c>
      <c r="AO141" s="53">
        <v>0</v>
      </c>
      <c r="AP141" s="53" t="s">
        <v>3</v>
      </c>
      <c r="AQ141" s="53" t="s">
        <v>1252</v>
      </c>
      <c r="AR141" s="53" t="s">
        <v>1253</v>
      </c>
      <c r="AS141" s="53">
        <v>0</v>
      </c>
      <c r="AT141" s="53"/>
      <c r="AU141" s="53"/>
      <c r="AV141" s="53"/>
      <c r="AW141" s="53" t="s">
        <v>1761</v>
      </c>
    </row>
    <row r="142" spans="1:49" ht="30" customHeight="1" x14ac:dyDescent="0.3">
      <c r="A142" s="48" t="s">
        <v>1617</v>
      </c>
      <c r="B142" s="44" t="str">
        <f t="shared" si="4"/>
        <v>2</v>
      </c>
      <c r="C142" s="44" t="str">
        <f t="shared" si="5"/>
        <v>2</v>
      </c>
      <c r="D142" s="52" t="s">
        <v>2181</v>
      </c>
      <c r="E142" s="52" t="s">
        <v>1971</v>
      </c>
      <c r="F142" s="45">
        <v>44198</v>
      </c>
      <c r="G142" s="53" t="s">
        <v>1388</v>
      </c>
      <c r="H142" s="53" t="s">
        <v>1527</v>
      </c>
      <c r="I142" s="53" t="s">
        <v>1146</v>
      </c>
      <c r="J142" s="53" t="s">
        <v>1779</v>
      </c>
      <c r="K142" s="53" t="s">
        <v>1405</v>
      </c>
      <c r="L142" s="53" t="s">
        <v>3</v>
      </c>
      <c r="M142" s="53" t="s">
        <v>1522</v>
      </c>
      <c r="N142" s="53" t="s">
        <v>3</v>
      </c>
      <c r="O142" s="53" t="s">
        <v>3</v>
      </c>
      <c r="P142" s="53" t="s">
        <v>3</v>
      </c>
      <c r="Q142" s="53" t="s">
        <v>1404</v>
      </c>
      <c r="R142" s="53" t="s">
        <v>2182</v>
      </c>
      <c r="S142" s="53" t="s">
        <v>3</v>
      </c>
      <c r="T142" s="53" t="s">
        <v>3</v>
      </c>
      <c r="U142" s="53" t="s">
        <v>3</v>
      </c>
      <c r="V142" s="53" t="s">
        <v>1231</v>
      </c>
      <c r="W142" s="53" t="s">
        <v>2520</v>
      </c>
      <c r="X142" s="53" t="s">
        <v>53</v>
      </c>
      <c r="Y142" s="53" t="s">
        <v>127</v>
      </c>
      <c r="Z142" s="53" t="s">
        <v>51</v>
      </c>
      <c r="AA142" s="53" t="s">
        <v>1384</v>
      </c>
      <c r="AB142" s="53" t="s">
        <v>95</v>
      </c>
      <c r="AC142" s="53" t="s">
        <v>124</v>
      </c>
      <c r="AD142" s="53" t="s">
        <v>3</v>
      </c>
      <c r="AE142" s="53">
        <v>0</v>
      </c>
      <c r="AF142" s="53" t="s">
        <v>3</v>
      </c>
      <c r="AG142" s="53" t="s">
        <v>1252</v>
      </c>
      <c r="AH142" s="53" t="s">
        <v>1253</v>
      </c>
      <c r="AI142" s="53" t="s">
        <v>3</v>
      </c>
      <c r="AJ142" s="53">
        <v>0</v>
      </c>
      <c r="AK142" s="53" t="s">
        <v>3</v>
      </c>
      <c r="AL142" s="53" t="s">
        <v>1252</v>
      </c>
      <c r="AM142" s="53" t="s">
        <v>1253</v>
      </c>
      <c r="AN142" s="53" t="s">
        <v>3</v>
      </c>
      <c r="AO142" s="53">
        <v>0</v>
      </c>
      <c r="AP142" s="53" t="s">
        <v>3</v>
      </c>
      <c r="AQ142" s="53" t="s">
        <v>1252</v>
      </c>
      <c r="AR142" s="53" t="s">
        <v>1253</v>
      </c>
      <c r="AS142" s="53">
        <v>100</v>
      </c>
      <c r="AT142" s="53"/>
      <c r="AU142" s="53"/>
      <c r="AV142" s="53"/>
      <c r="AW142" s="53" t="s">
        <v>1761</v>
      </c>
    </row>
    <row r="143" spans="1:49" ht="30" customHeight="1" x14ac:dyDescent="0.3">
      <c r="A143" s="48" t="s">
        <v>1370</v>
      </c>
      <c r="B143" s="44" t="str">
        <f t="shared" si="4"/>
        <v>2</v>
      </c>
      <c r="C143" s="44" t="str">
        <f t="shared" si="5"/>
        <v>2</v>
      </c>
      <c r="D143" s="52" t="s">
        <v>2183</v>
      </c>
      <c r="E143" s="52" t="s">
        <v>1971</v>
      </c>
      <c r="F143" s="45">
        <v>44064</v>
      </c>
      <c r="G143" s="53" t="s">
        <v>1388</v>
      </c>
      <c r="H143" s="53" t="s">
        <v>2169</v>
      </c>
      <c r="I143" s="53" t="s">
        <v>1146</v>
      </c>
      <c r="J143" s="53" t="s">
        <v>1779</v>
      </c>
      <c r="K143" s="53" t="s">
        <v>2184</v>
      </c>
      <c r="L143" s="53" t="s">
        <v>1476</v>
      </c>
      <c r="M143" s="53" t="s">
        <v>2185</v>
      </c>
      <c r="N143" s="53" t="s">
        <v>3</v>
      </c>
      <c r="O143" s="53" t="s">
        <v>3</v>
      </c>
      <c r="P143" s="53" t="s">
        <v>3</v>
      </c>
      <c r="Q143" s="53" t="s">
        <v>1401</v>
      </c>
      <c r="R143" s="53" t="s">
        <v>2186</v>
      </c>
      <c r="S143" s="53" t="s">
        <v>1142</v>
      </c>
      <c r="T143" s="53" t="s">
        <v>1143</v>
      </c>
      <c r="U143" s="53" t="s">
        <v>2187</v>
      </c>
      <c r="V143" s="53">
        <v>3</v>
      </c>
      <c r="W143" s="53" t="s">
        <v>2520</v>
      </c>
      <c r="X143" s="53" t="s">
        <v>1385</v>
      </c>
      <c r="Y143" s="53" t="s">
        <v>1799</v>
      </c>
      <c r="Z143" s="53" t="s">
        <v>1419</v>
      </c>
      <c r="AA143" s="53" t="s">
        <v>2528</v>
      </c>
      <c r="AB143" s="53" t="s">
        <v>96</v>
      </c>
      <c r="AC143" s="53" t="s">
        <v>148</v>
      </c>
      <c r="AD143" s="53" t="s">
        <v>2188</v>
      </c>
      <c r="AE143" s="53" t="s">
        <v>2189</v>
      </c>
      <c r="AF143" s="53" t="s">
        <v>1417</v>
      </c>
      <c r="AG143" s="53" t="s">
        <v>1464</v>
      </c>
      <c r="AH143" s="53" t="s">
        <v>1465</v>
      </c>
      <c r="AI143" s="53" t="s">
        <v>2188</v>
      </c>
      <c r="AJ143" s="53" t="s">
        <v>2189</v>
      </c>
      <c r="AK143" s="53" t="s">
        <v>1417</v>
      </c>
      <c r="AL143" s="53" t="s">
        <v>1449</v>
      </c>
      <c r="AM143" s="53" t="s">
        <v>1450</v>
      </c>
      <c r="AN143" s="53" t="s">
        <v>2173</v>
      </c>
      <c r="AO143" s="53" t="s">
        <v>2189</v>
      </c>
      <c r="AP143" s="53" t="s">
        <v>1251</v>
      </c>
      <c r="AQ143" s="53" t="s">
        <v>1398</v>
      </c>
      <c r="AR143" s="53" t="s">
        <v>1399</v>
      </c>
      <c r="AS143" s="53" t="s">
        <v>3</v>
      </c>
      <c r="AT143" s="53"/>
      <c r="AU143" s="53"/>
      <c r="AV143" s="53"/>
      <c r="AW143" s="53" t="s">
        <v>1761</v>
      </c>
    </row>
    <row r="144" spans="1:49" ht="30" customHeight="1" x14ac:dyDescent="0.3">
      <c r="A144" s="48" t="s">
        <v>1618</v>
      </c>
      <c r="B144" s="44" t="str">
        <f t="shared" si="4"/>
        <v>2</v>
      </c>
      <c r="C144" s="44" t="str">
        <f t="shared" si="5"/>
        <v>2</v>
      </c>
      <c r="D144" s="52" t="s">
        <v>2190</v>
      </c>
      <c r="E144" s="52" t="s">
        <v>1971</v>
      </c>
      <c r="F144" s="45">
        <v>44064</v>
      </c>
      <c r="G144" s="53" t="s">
        <v>1388</v>
      </c>
      <c r="H144" s="53" t="s">
        <v>2191</v>
      </c>
      <c r="I144" s="53" t="s">
        <v>1146</v>
      </c>
      <c r="J144" s="53" t="s">
        <v>1779</v>
      </c>
      <c r="K144" s="53" t="s">
        <v>1795</v>
      </c>
      <c r="L144" s="53" t="s">
        <v>3</v>
      </c>
      <c r="M144" s="53" t="s">
        <v>2192</v>
      </c>
      <c r="N144" s="53" t="s">
        <v>3</v>
      </c>
      <c r="O144" s="53" t="s">
        <v>3</v>
      </c>
      <c r="P144" s="53" t="s">
        <v>3</v>
      </c>
      <c r="Q144" s="53" t="s">
        <v>2193</v>
      </c>
      <c r="R144" s="53" t="s">
        <v>1529</v>
      </c>
      <c r="S144" s="53" t="s">
        <v>1142</v>
      </c>
      <c r="T144" s="53" t="s">
        <v>1143</v>
      </c>
      <c r="U144" s="53" t="s">
        <v>1461</v>
      </c>
      <c r="V144" s="53">
        <v>3</v>
      </c>
      <c r="W144" s="53" t="s">
        <v>2520</v>
      </c>
      <c r="X144" s="53" t="s">
        <v>1385</v>
      </c>
      <c r="Y144" s="53" t="s">
        <v>1799</v>
      </c>
      <c r="Z144" s="53" t="s">
        <v>1419</v>
      </c>
      <c r="AA144" s="53" t="s">
        <v>2528</v>
      </c>
      <c r="AB144" s="53" t="s">
        <v>95</v>
      </c>
      <c r="AC144" s="53" t="s">
        <v>124</v>
      </c>
      <c r="AD144" s="53" t="s">
        <v>2194</v>
      </c>
      <c r="AE144" s="53" t="s">
        <v>40</v>
      </c>
      <c r="AF144" s="53" t="s">
        <v>1928</v>
      </c>
      <c r="AG144" s="53" t="s">
        <v>1449</v>
      </c>
      <c r="AH144" s="53" t="s">
        <v>1450</v>
      </c>
      <c r="AI144" s="53" t="s">
        <v>2194</v>
      </c>
      <c r="AJ144" s="53" t="s">
        <v>40</v>
      </c>
      <c r="AK144" s="53" t="s">
        <v>1417</v>
      </c>
      <c r="AL144" s="53" t="s">
        <v>1464</v>
      </c>
      <c r="AM144" s="53" t="s">
        <v>1465</v>
      </c>
      <c r="AN144" s="53" t="s">
        <v>2194</v>
      </c>
      <c r="AO144" s="53" t="s">
        <v>40</v>
      </c>
      <c r="AP144" s="53" t="s">
        <v>1251</v>
      </c>
      <c r="AQ144" s="53" t="s">
        <v>1398</v>
      </c>
      <c r="AR144" s="53" t="s">
        <v>1399</v>
      </c>
      <c r="AS144" s="53" t="s">
        <v>3</v>
      </c>
      <c r="AT144" s="53"/>
      <c r="AU144" s="53"/>
      <c r="AV144" s="53"/>
      <c r="AW144" s="53" t="s">
        <v>1761</v>
      </c>
    </row>
    <row r="145" spans="1:49" ht="30" customHeight="1" x14ac:dyDescent="0.3">
      <c r="A145" s="48" t="s">
        <v>1619</v>
      </c>
      <c r="B145" s="44" t="str">
        <f t="shared" si="4"/>
        <v>2</v>
      </c>
      <c r="C145" s="44" t="str">
        <f t="shared" si="5"/>
        <v>2</v>
      </c>
      <c r="D145" s="52" t="s">
        <v>2195</v>
      </c>
      <c r="E145" s="52" t="s">
        <v>1971</v>
      </c>
      <c r="F145" s="45">
        <v>42424</v>
      </c>
      <c r="G145" s="53" t="s">
        <v>1388</v>
      </c>
      <c r="H145" s="53" t="s">
        <v>2196</v>
      </c>
      <c r="I145" s="53" t="s">
        <v>1146</v>
      </c>
      <c r="J145" s="53" t="s">
        <v>1779</v>
      </c>
      <c r="K145" s="53" t="s">
        <v>1389</v>
      </c>
      <c r="L145" s="53" t="s">
        <v>3</v>
      </c>
      <c r="M145" s="53" t="s">
        <v>3</v>
      </c>
      <c r="N145" s="53" t="s">
        <v>3</v>
      </c>
      <c r="O145" s="53" t="s">
        <v>3</v>
      </c>
      <c r="P145" s="53" t="s">
        <v>3</v>
      </c>
      <c r="Q145" s="53" t="s">
        <v>2197</v>
      </c>
      <c r="R145" s="53" t="s">
        <v>3</v>
      </c>
      <c r="S145" s="53" t="s">
        <v>3</v>
      </c>
      <c r="T145" s="53" t="s">
        <v>3</v>
      </c>
      <c r="U145" s="53" t="s">
        <v>2198</v>
      </c>
      <c r="V145" s="53">
        <v>1</v>
      </c>
      <c r="W145" s="53" t="s">
        <v>2520</v>
      </c>
      <c r="X145" s="53" t="s">
        <v>48</v>
      </c>
      <c r="Y145" s="53" t="s">
        <v>105</v>
      </c>
      <c r="Z145" s="53" t="s">
        <v>51</v>
      </c>
      <c r="AA145" s="53" t="s">
        <v>1384</v>
      </c>
      <c r="AB145" s="53" t="s">
        <v>95</v>
      </c>
      <c r="AC145" s="53" t="s">
        <v>124</v>
      </c>
      <c r="AD145" s="53" t="s">
        <v>3</v>
      </c>
      <c r="AE145" s="53">
        <v>0</v>
      </c>
      <c r="AF145" s="53" t="s">
        <v>3</v>
      </c>
      <c r="AG145" s="53" t="s">
        <v>1252</v>
      </c>
      <c r="AH145" s="53" t="s">
        <v>1253</v>
      </c>
      <c r="AI145" s="53" t="s">
        <v>3</v>
      </c>
      <c r="AJ145" s="53">
        <v>0</v>
      </c>
      <c r="AK145" s="53" t="s">
        <v>3</v>
      </c>
      <c r="AL145" s="53" t="s">
        <v>1252</v>
      </c>
      <c r="AM145" s="53" t="s">
        <v>1253</v>
      </c>
      <c r="AN145" s="53" t="s">
        <v>3</v>
      </c>
      <c r="AO145" s="53">
        <v>0</v>
      </c>
      <c r="AP145" s="53" t="s">
        <v>3</v>
      </c>
      <c r="AQ145" s="53" t="s">
        <v>1252</v>
      </c>
      <c r="AR145" s="53" t="s">
        <v>1253</v>
      </c>
      <c r="AS145" s="53" t="s">
        <v>3</v>
      </c>
      <c r="AT145" s="53"/>
      <c r="AU145" s="53"/>
      <c r="AV145" s="53"/>
      <c r="AW145" s="53" t="s">
        <v>1761</v>
      </c>
    </row>
    <row r="146" spans="1:49" ht="30" customHeight="1" x14ac:dyDescent="0.3">
      <c r="A146" s="48" t="s">
        <v>1371</v>
      </c>
      <c r="B146" s="44" t="str">
        <f t="shared" si="4"/>
        <v>2</v>
      </c>
      <c r="C146" s="44" t="str">
        <f t="shared" si="5"/>
        <v>2</v>
      </c>
      <c r="D146" s="52" t="s">
        <v>2199</v>
      </c>
      <c r="E146" s="52" t="s">
        <v>1971</v>
      </c>
      <c r="F146" s="45">
        <v>43000</v>
      </c>
      <c r="G146" s="53" t="s">
        <v>1388</v>
      </c>
      <c r="H146" s="53" t="s">
        <v>1425</v>
      </c>
      <c r="I146" s="53" t="s">
        <v>1146</v>
      </c>
      <c r="J146" s="53" t="s">
        <v>1779</v>
      </c>
      <c r="K146" s="53" t="s">
        <v>1400</v>
      </c>
      <c r="L146" s="53" t="s">
        <v>3</v>
      </c>
      <c r="M146" s="53" t="s">
        <v>1411</v>
      </c>
      <c r="N146" s="53" t="s">
        <v>3</v>
      </c>
      <c r="O146" s="53" t="s">
        <v>3</v>
      </c>
      <c r="P146" s="53" t="s">
        <v>3</v>
      </c>
      <c r="Q146" s="53" t="s">
        <v>1401</v>
      </c>
      <c r="R146" s="53" t="s">
        <v>2200</v>
      </c>
      <c r="S146" s="53" t="s">
        <v>3</v>
      </c>
      <c r="T146" s="53" t="s">
        <v>3</v>
      </c>
      <c r="U146" s="53" t="s">
        <v>3</v>
      </c>
      <c r="V146" s="53">
        <v>1</v>
      </c>
      <c r="W146" s="53" t="s">
        <v>2520</v>
      </c>
      <c r="X146" s="53" t="s">
        <v>48</v>
      </c>
      <c r="Y146" s="53" t="s">
        <v>105</v>
      </c>
      <c r="Z146" s="53" t="s">
        <v>51</v>
      </c>
      <c r="AA146" s="53" t="s">
        <v>1384</v>
      </c>
      <c r="AB146" s="53" t="s">
        <v>95</v>
      </c>
      <c r="AC146" s="53" t="s">
        <v>124</v>
      </c>
      <c r="AD146" s="53" t="s">
        <v>3</v>
      </c>
      <c r="AE146" s="53">
        <v>0</v>
      </c>
      <c r="AF146" s="53" t="s">
        <v>3</v>
      </c>
      <c r="AG146" s="53" t="s">
        <v>1252</v>
      </c>
      <c r="AH146" s="53" t="s">
        <v>1253</v>
      </c>
      <c r="AI146" s="53" t="s">
        <v>3</v>
      </c>
      <c r="AJ146" s="53">
        <v>0</v>
      </c>
      <c r="AK146" s="53" t="s">
        <v>3</v>
      </c>
      <c r="AL146" s="53" t="s">
        <v>1252</v>
      </c>
      <c r="AM146" s="53" t="s">
        <v>1253</v>
      </c>
      <c r="AN146" s="53" t="s">
        <v>3</v>
      </c>
      <c r="AO146" s="53">
        <v>0</v>
      </c>
      <c r="AP146" s="53" t="s">
        <v>3</v>
      </c>
      <c r="AQ146" s="53" t="s">
        <v>1252</v>
      </c>
      <c r="AR146" s="53" t="s">
        <v>1253</v>
      </c>
      <c r="AS146" s="53" t="s">
        <v>3</v>
      </c>
      <c r="AT146" s="53"/>
      <c r="AU146" s="53"/>
      <c r="AV146" s="53"/>
      <c r="AW146" s="53" t="s">
        <v>1761</v>
      </c>
    </row>
    <row r="147" spans="1:49" ht="30" customHeight="1" x14ac:dyDescent="0.3">
      <c r="A147" s="48" t="s">
        <v>1372</v>
      </c>
      <c r="B147" s="44" t="str">
        <f t="shared" si="4"/>
        <v>2</v>
      </c>
      <c r="C147" s="44" t="str">
        <f t="shared" si="5"/>
        <v>2</v>
      </c>
      <c r="D147" s="52" t="s">
        <v>2201</v>
      </c>
      <c r="E147" s="52" t="s">
        <v>2066</v>
      </c>
      <c r="F147" s="45">
        <v>43854</v>
      </c>
      <c r="G147" s="53" t="s">
        <v>1455</v>
      </c>
      <c r="H147" s="53" t="s">
        <v>1390</v>
      </c>
      <c r="I147" s="53" t="s">
        <v>1383</v>
      </c>
      <c r="J147" s="53" t="s">
        <v>1998</v>
      </c>
      <c r="K147" s="53" t="s">
        <v>1426</v>
      </c>
      <c r="L147" s="53" t="s">
        <v>2202</v>
      </c>
      <c r="M147" s="53" t="s">
        <v>2203</v>
      </c>
      <c r="N147" s="53" t="s">
        <v>3</v>
      </c>
      <c r="O147" s="53" t="s">
        <v>2204</v>
      </c>
      <c r="P147" s="53" t="s">
        <v>3</v>
      </c>
      <c r="Q147" s="53" t="s">
        <v>2205</v>
      </c>
      <c r="R147" s="53" t="s">
        <v>2206</v>
      </c>
      <c r="S147" s="53" t="s">
        <v>2207</v>
      </c>
      <c r="T147" s="53" t="s">
        <v>3</v>
      </c>
      <c r="U147" s="53" t="s">
        <v>2201</v>
      </c>
      <c r="V147" s="53">
        <v>1</v>
      </c>
      <c r="W147" s="53" t="s">
        <v>2521</v>
      </c>
      <c r="X147" s="53" t="s">
        <v>48</v>
      </c>
      <c r="Y147" s="53" t="s">
        <v>105</v>
      </c>
      <c r="Z147" s="53" t="s">
        <v>51</v>
      </c>
      <c r="AA147" s="53" t="s">
        <v>1384</v>
      </c>
      <c r="AB147" s="53" t="s">
        <v>96</v>
      </c>
      <c r="AC147" s="53" t="s">
        <v>148</v>
      </c>
      <c r="AD147" s="53" t="s">
        <v>3</v>
      </c>
      <c r="AE147" s="53">
        <v>0</v>
      </c>
      <c r="AF147" s="53" t="s">
        <v>3</v>
      </c>
      <c r="AG147" s="53" t="s">
        <v>1252</v>
      </c>
      <c r="AH147" s="53" t="s">
        <v>1253</v>
      </c>
      <c r="AI147" s="53" t="s">
        <v>3</v>
      </c>
      <c r="AJ147" s="53">
        <v>0</v>
      </c>
      <c r="AK147" s="53" t="s">
        <v>3</v>
      </c>
      <c r="AL147" s="53" t="s">
        <v>1252</v>
      </c>
      <c r="AM147" s="53" t="s">
        <v>1253</v>
      </c>
      <c r="AN147" s="53" t="s">
        <v>3</v>
      </c>
      <c r="AO147" s="53">
        <v>0</v>
      </c>
      <c r="AP147" s="53" t="s">
        <v>3</v>
      </c>
      <c r="AQ147" s="53" t="s">
        <v>1252</v>
      </c>
      <c r="AR147" s="53" t="s">
        <v>1253</v>
      </c>
      <c r="AS147" s="53" t="s">
        <v>3</v>
      </c>
      <c r="AT147" s="53"/>
      <c r="AU147" s="53"/>
      <c r="AV147" s="53"/>
      <c r="AW147" s="53" t="s">
        <v>1761</v>
      </c>
    </row>
    <row r="148" spans="1:49" ht="30" customHeight="1" x14ac:dyDescent="0.3">
      <c r="A148" s="48" t="s">
        <v>1373</v>
      </c>
      <c r="B148" s="44" t="str">
        <f t="shared" si="4"/>
        <v>2</v>
      </c>
      <c r="C148" s="44" t="str">
        <f t="shared" si="5"/>
        <v>2</v>
      </c>
      <c r="D148" s="52" t="s">
        <v>2208</v>
      </c>
      <c r="E148" s="52" t="s">
        <v>1491</v>
      </c>
      <c r="F148" s="45">
        <v>44522</v>
      </c>
      <c r="G148" s="53" t="s">
        <v>1388</v>
      </c>
      <c r="H148" s="53" t="s">
        <v>1390</v>
      </c>
      <c r="I148" s="53" t="s">
        <v>1383</v>
      </c>
      <c r="J148" s="53" t="s">
        <v>1451</v>
      </c>
      <c r="K148" s="53" t="s">
        <v>1407</v>
      </c>
      <c r="L148" s="53" t="s">
        <v>3</v>
      </c>
      <c r="M148" s="53" t="s">
        <v>1408</v>
      </c>
      <c r="N148" s="53" t="s">
        <v>3</v>
      </c>
      <c r="O148" s="53" t="s">
        <v>1432</v>
      </c>
      <c r="P148" s="53" t="s">
        <v>3</v>
      </c>
      <c r="Q148" s="53" t="s">
        <v>3</v>
      </c>
      <c r="R148" s="53" t="s">
        <v>2087</v>
      </c>
      <c r="S148" s="53" t="s">
        <v>1142</v>
      </c>
      <c r="T148" s="53" t="s">
        <v>3</v>
      </c>
      <c r="U148" s="53" t="s">
        <v>2209</v>
      </c>
      <c r="V148" s="53">
        <v>2</v>
      </c>
      <c r="W148" s="53" t="s">
        <v>2521</v>
      </c>
      <c r="X148" s="53" t="s">
        <v>48</v>
      </c>
      <c r="Y148" s="53" t="s">
        <v>105</v>
      </c>
      <c r="Z148" s="53" t="s">
        <v>51</v>
      </c>
      <c r="AA148" s="53" t="s">
        <v>1384</v>
      </c>
      <c r="AB148" s="53" t="s">
        <v>95</v>
      </c>
      <c r="AC148" s="53" t="s">
        <v>124</v>
      </c>
      <c r="AD148" s="53" t="s">
        <v>3</v>
      </c>
      <c r="AE148" s="53">
        <v>0</v>
      </c>
      <c r="AF148" s="53" t="s">
        <v>3</v>
      </c>
      <c r="AG148" s="53" t="s">
        <v>1252</v>
      </c>
      <c r="AH148" s="53" t="s">
        <v>1253</v>
      </c>
      <c r="AI148" s="53" t="s">
        <v>3</v>
      </c>
      <c r="AJ148" s="53">
        <v>0</v>
      </c>
      <c r="AK148" s="53" t="s">
        <v>3</v>
      </c>
      <c r="AL148" s="53" t="s">
        <v>1252</v>
      </c>
      <c r="AM148" s="53" t="s">
        <v>1253</v>
      </c>
      <c r="AN148" s="53" t="s">
        <v>3</v>
      </c>
      <c r="AO148" s="53">
        <v>0</v>
      </c>
      <c r="AP148" s="53" t="s">
        <v>3</v>
      </c>
      <c r="AQ148" s="53" t="s">
        <v>1252</v>
      </c>
      <c r="AR148" s="53" t="s">
        <v>1253</v>
      </c>
      <c r="AS148" s="53">
        <v>63</v>
      </c>
      <c r="AT148" s="53"/>
      <c r="AU148" s="53"/>
      <c r="AV148" s="53"/>
      <c r="AW148" s="53" t="s">
        <v>1761</v>
      </c>
    </row>
    <row r="149" spans="1:49" ht="30" customHeight="1" x14ac:dyDescent="0.3">
      <c r="A149" s="48" t="s">
        <v>1374</v>
      </c>
      <c r="B149" s="44" t="str">
        <f t="shared" si="4"/>
        <v>2</v>
      </c>
      <c r="C149" s="44" t="str">
        <f t="shared" si="5"/>
        <v>2</v>
      </c>
      <c r="D149" s="52" t="s">
        <v>2210</v>
      </c>
      <c r="E149" s="52" t="s">
        <v>2211</v>
      </c>
      <c r="F149" s="45">
        <v>44025</v>
      </c>
      <c r="G149" s="53" t="s">
        <v>1388</v>
      </c>
      <c r="H149" s="53" t="s">
        <v>1425</v>
      </c>
      <c r="I149" s="53" t="s">
        <v>1146</v>
      </c>
      <c r="J149" s="53" t="s">
        <v>1779</v>
      </c>
      <c r="K149" s="53" t="s">
        <v>1405</v>
      </c>
      <c r="L149" s="53" t="s">
        <v>1476</v>
      </c>
      <c r="M149" s="53" t="s">
        <v>1477</v>
      </c>
      <c r="N149" s="53" t="s">
        <v>3</v>
      </c>
      <c r="O149" s="53" t="s">
        <v>3</v>
      </c>
      <c r="P149" s="53" t="s">
        <v>3</v>
      </c>
      <c r="Q149" s="53" t="s">
        <v>1523</v>
      </c>
      <c r="R149" s="53" t="s">
        <v>1475</v>
      </c>
      <c r="S149" s="53" t="s">
        <v>1142</v>
      </c>
      <c r="T149" s="53" t="s">
        <v>1143</v>
      </c>
      <c r="U149" s="53" t="s">
        <v>1549</v>
      </c>
      <c r="V149" s="53">
        <v>2</v>
      </c>
      <c r="W149" s="53" t="s">
        <v>2520</v>
      </c>
      <c r="X149" s="53" t="s">
        <v>86</v>
      </c>
      <c r="Y149" s="53" t="s">
        <v>152</v>
      </c>
      <c r="Z149" s="53" t="s">
        <v>84</v>
      </c>
      <c r="AA149" s="53" t="s">
        <v>147</v>
      </c>
      <c r="AB149" s="53" t="s">
        <v>96</v>
      </c>
      <c r="AC149" s="53" t="s">
        <v>148</v>
      </c>
      <c r="AD149" s="53" t="s">
        <v>3</v>
      </c>
      <c r="AE149" s="53">
        <v>0</v>
      </c>
      <c r="AF149" s="53" t="s">
        <v>3</v>
      </c>
      <c r="AG149" s="53" t="s">
        <v>1252</v>
      </c>
      <c r="AH149" s="53" t="s">
        <v>1253</v>
      </c>
      <c r="AI149" s="53" t="s">
        <v>3</v>
      </c>
      <c r="AJ149" s="53">
        <v>0</v>
      </c>
      <c r="AK149" s="53" t="s">
        <v>3</v>
      </c>
      <c r="AL149" s="53" t="s">
        <v>1252</v>
      </c>
      <c r="AM149" s="53" t="s">
        <v>1253</v>
      </c>
      <c r="AN149" s="53" t="s">
        <v>3</v>
      </c>
      <c r="AO149" s="53">
        <v>0</v>
      </c>
      <c r="AP149" s="53" t="s">
        <v>3</v>
      </c>
      <c r="AQ149" s="53" t="s">
        <v>1252</v>
      </c>
      <c r="AR149" s="53" t="s">
        <v>1253</v>
      </c>
      <c r="AS149" s="53" t="s">
        <v>3</v>
      </c>
      <c r="AT149" s="53"/>
      <c r="AU149" s="53"/>
      <c r="AV149" s="53"/>
      <c r="AW149" s="53" t="s">
        <v>1761</v>
      </c>
    </row>
    <row r="150" spans="1:49" ht="30" customHeight="1" x14ac:dyDescent="0.3">
      <c r="A150" s="48" t="s">
        <v>1375</v>
      </c>
      <c r="B150" s="44" t="str">
        <f t="shared" si="4"/>
        <v>2</v>
      </c>
      <c r="C150" s="44" t="str">
        <f t="shared" si="5"/>
        <v>2</v>
      </c>
      <c r="D150" s="52" t="s">
        <v>2212</v>
      </c>
      <c r="E150" s="52" t="s">
        <v>2211</v>
      </c>
      <c r="F150" s="45">
        <v>44025</v>
      </c>
      <c r="G150" s="53" t="s">
        <v>1388</v>
      </c>
      <c r="H150" s="53" t="s">
        <v>1492</v>
      </c>
      <c r="I150" s="53" t="s">
        <v>1146</v>
      </c>
      <c r="J150" s="53" t="s">
        <v>1779</v>
      </c>
      <c r="K150" s="53" t="s">
        <v>1389</v>
      </c>
      <c r="L150" s="53" t="s">
        <v>3</v>
      </c>
      <c r="M150" s="53" t="s">
        <v>3</v>
      </c>
      <c r="N150" s="53" t="s">
        <v>3</v>
      </c>
      <c r="O150" s="53" t="s">
        <v>3</v>
      </c>
      <c r="P150" s="53" t="s">
        <v>3</v>
      </c>
      <c r="Q150" s="53" t="s">
        <v>3</v>
      </c>
      <c r="R150" s="53" t="s">
        <v>3</v>
      </c>
      <c r="S150" s="53" t="s">
        <v>3</v>
      </c>
      <c r="T150" s="53" t="s">
        <v>3</v>
      </c>
      <c r="U150" s="53" t="s">
        <v>3</v>
      </c>
      <c r="V150" s="53">
        <v>1</v>
      </c>
      <c r="W150" s="53" t="s">
        <v>2520</v>
      </c>
      <c r="X150" s="53" t="s">
        <v>48</v>
      </c>
      <c r="Y150" s="53" t="s">
        <v>105</v>
      </c>
      <c r="Z150" s="53" t="s">
        <v>51</v>
      </c>
      <c r="AA150" s="53" t="s">
        <v>1384</v>
      </c>
      <c r="AB150" s="53" t="s">
        <v>95</v>
      </c>
      <c r="AC150" s="53" t="s">
        <v>124</v>
      </c>
      <c r="AD150" s="53" t="s">
        <v>3</v>
      </c>
      <c r="AE150" s="53">
        <v>0</v>
      </c>
      <c r="AF150" s="53" t="s">
        <v>3</v>
      </c>
      <c r="AG150" s="53" t="s">
        <v>1252</v>
      </c>
      <c r="AH150" s="53" t="s">
        <v>1253</v>
      </c>
      <c r="AI150" s="53" t="s">
        <v>3</v>
      </c>
      <c r="AJ150" s="53">
        <v>0</v>
      </c>
      <c r="AK150" s="53" t="s">
        <v>3</v>
      </c>
      <c r="AL150" s="53" t="s">
        <v>1252</v>
      </c>
      <c r="AM150" s="53" t="s">
        <v>1253</v>
      </c>
      <c r="AN150" s="53" t="s">
        <v>3</v>
      </c>
      <c r="AO150" s="53">
        <v>0</v>
      </c>
      <c r="AP150" s="53" t="s">
        <v>3</v>
      </c>
      <c r="AQ150" s="53" t="s">
        <v>1252</v>
      </c>
      <c r="AR150" s="53" t="s">
        <v>1253</v>
      </c>
      <c r="AS150" s="53" t="s">
        <v>3</v>
      </c>
      <c r="AT150" s="53"/>
      <c r="AU150" s="53"/>
      <c r="AV150" s="53"/>
      <c r="AW150" s="53" t="s">
        <v>1761</v>
      </c>
    </row>
    <row r="151" spans="1:49" ht="30" customHeight="1" x14ac:dyDescent="0.3">
      <c r="A151" s="48" t="s">
        <v>1376</v>
      </c>
      <c r="B151" s="44" t="str">
        <f t="shared" si="4"/>
        <v>2</v>
      </c>
      <c r="C151" s="44" t="str">
        <f t="shared" si="5"/>
        <v>2</v>
      </c>
      <c r="D151" s="52" t="s">
        <v>2213</v>
      </c>
      <c r="E151" s="52" t="s">
        <v>1980</v>
      </c>
      <c r="F151" s="45">
        <v>45000</v>
      </c>
      <c r="G151" s="53" t="s">
        <v>1388</v>
      </c>
      <c r="H151" s="53" t="s">
        <v>1173</v>
      </c>
      <c r="I151" s="53" t="s">
        <v>1146</v>
      </c>
      <c r="J151" s="53" t="s">
        <v>1760</v>
      </c>
      <c r="K151" s="53" t="s">
        <v>1400</v>
      </c>
      <c r="L151" s="53" t="s">
        <v>3</v>
      </c>
      <c r="M151" s="53" t="s">
        <v>2214</v>
      </c>
      <c r="N151" s="53" t="s">
        <v>3</v>
      </c>
      <c r="O151" s="53" t="s">
        <v>3</v>
      </c>
      <c r="P151" s="53" t="s">
        <v>3</v>
      </c>
      <c r="Q151" s="53" t="s">
        <v>1396</v>
      </c>
      <c r="R151" s="53" t="s">
        <v>2215</v>
      </c>
      <c r="S151" s="53" t="s">
        <v>3</v>
      </c>
      <c r="T151" s="53" t="s">
        <v>3</v>
      </c>
      <c r="U151" s="53" t="s">
        <v>3</v>
      </c>
      <c r="V151" s="53">
        <v>1</v>
      </c>
      <c r="W151" s="53" t="s">
        <v>2521</v>
      </c>
      <c r="X151" s="53" t="s">
        <v>48</v>
      </c>
      <c r="Y151" s="53" t="s">
        <v>105</v>
      </c>
      <c r="Z151" s="53" t="s">
        <v>51</v>
      </c>
      <c r="AA151" s="53" t="s">
        <v>1384</v>
      </c>
      <c r="AB151" s="53" t="s">
        <v>95</v>
      </c>
      <c r="AC151" s="53" t="s">
        <v>124</v>
      </c>
      <c r="AD151" s="53" t="s">
        <v>3</v>
      </c>
      <c r="AE151" s="53">
        <v>0</v>
      </c>
      <c r="AF151" s="53" t="s">
        <v>3</v>
      </c>
      <c r="AG151" s="53" t="s">
        <v>1252</v>
      </c>
      <c r="AH151" s="53" t="s">
        <v>1253</v>
      </c>
      <c r="AI151" s="53" t="s">
        <v>3</v>
      </c>
      <c r="AJ151" s="53">
        <v>0</v>
      </c>
      <c r="AK151" s="53" t="s">
        <v>3</v>
      </c>
      <c r="AL151" s="53" t="s">
        <v>1252</v>
      </c>
      <c r="AM151" s="53" t="s">
        <v>1253</v>
      </c>
      <c r="AN151" s="53" t="s">
        <v>3</v>
      </c>
      <c r="AO151" s="53">
        <v>0</v>
      </c>
      <c r="AP151" s="53" t="s">
        <v>3</v>
      </c>
      <c r="AQ151" s="53" t="s">
        <v>1252</v>
      </c>
      <c r="AR151" s="53" t="s">
        <v>1253</v>
      </c>
      <c r="AS151" s="53">
        <v>100</v>
      </c>
      <c r="AT151" s="53"/>
      <c r="AU151" s="53"/>
      <c r="AV151" s="53"/>
      <c r="AW151" s="53" t="s">
        <v>1761</v>
      </c>
    </row>
    <row r="152" spans="1:49" ht="30" customHeight="1" x14ac:dyDescent="0.3">
      <c r="A152" s="48" t="s">
        <v>1377</v>
      </c>
      <c r="B152" s="44" t="str">
        <f t="shared" si="4"/>
        <v>2</v>
      </c>
      <c r="C152" s="44" t="str">
        <f t="shared" si="5"/>
        <v>2</v>
      </c>
      <c r="D152" s="52" t="s">
        <v>2216</v>
      </c>
      <c r="E152" s="52" t="s">
        <v>2211</v>
      </c>
      <c r="F152" s="45">
        <v>44545</v>
      </c>
      <c r="G152" s="53" t="s">
        <v>1388</v>
      </c>
      <c r="H152" s="53" t="s">
        <v>1550</v>
      </c>
      <c r="I152" s="53" t="s">
        <v>1146</v>
      </c>
      <c r="J152" s="53" t="s">
        <v>1779</v>
      </c>
      <c r="K152" s="53" t="s">
        <v>2162</v>
      </c>
      <c r="L152" s="53" t="s">
        <v>3</v>
      </c>
      <c r="M152" s="53" t="s">
        <v>2217</v>
      </c>
      <c r="N152" s="53" t="s">
        <v>1141</v>
      </c>
      <c r="O152" s="53" t="s">
        <v>3</v>
      </c>
      <c r="P152" s="53" t="s">
        <v>2218</v>
      </c>
      <c r="Q152" s="53" t="s">
        <v>1523</v>
      </c>
      <c r="R152" s="53" t="s">
        <v>1475</v>
      </c>
      <c r="S152" s="53" t="s">
        <v>1142</v>
      </c>
      <c r="T152" s="53" t="s">
        <v>1143</v>
      </c>
      <c r="U152" s="53" t="s">
        <v>2219</v>
      </c>
      <c r="V152" s="53">
        <v>3</v>
      </c>
      <c r="W152" s="53" t="s">
        <v>2520</v>
      </c>
      <c r="X152" s="53" t="s">
        <v>1385</v>
      </c>
      <c r="Y152" s="53" t="s">
        <v>1799</v>
      </c>
      <c r="Z152" s="53" t="s">
        <v>1419</v>
      </c>
      <c r="AA152" s="53" t="s">
        <v>2528</v>
      </c>
      <c r="AB152" s="53" t="s">
        <v>95</v>
      </c>
      <c r="AC152" s="53" t="s">
        <v>124</v>
      </c>
      <c r="AD152" s="53" t="s">
        <v>2194</v>
      </c>
      <c r="AE152" s="53" t="s">
        <v>1481</v>
      </c>
      <c r="AF152" s="53" t="s">
        <v>1417</v>
      </c>
      <c r="AG152" s="53" t="s">
        <v>1464</v>
      </c>
      <c r="AH152" s="53" t="s">
        <v>1465</v>
      </c>
      <c r="AI152" s="53" t="s">
        <v>2194</v>
      </c>
      <c r="AJ152" s="53" t="s">
        <v>1481</v>
      </c>
      <c r="AK152" s="53" t="s">
        <v>1417</v>
      </c>
      <c r="AL152" s="53" t="s">
        <v>1449</v>
      </c>
      <c r="AM152" s="53" t="s">
        <v>1450</v>
      </c>
      <c r="AN152" s="53" t="s">
        <v>2194</v>
      </c>
      <c r="AO152" s="53" t="s">
        <v>1481</v>
      </c>
      <c r="AP152" s="53" t="s">
        <v>1251</v>
      </c>
      <c r="AQ152" s="53" t="s">
        <v>1398</v>
      </c>
      <c r="AR152" s="53" t="s">
        <v>1399</v>
      </c>
      <c r="AS152" s="53" t="s">
        <v>3</v>
      </c>
      <c r="AT152" s="53"/>
      <c r="AU152" s="53"/>
      <c r="AV152" s="53"/>
      <c r="AW152" s="53" t="s">
        <v>1761</v>
      </c>
    </row>
    <row r="153" spans="1:49" ht="30" customHeight="1" x14ac:dyDescent="0.3">
      <c r="A153" s="48" t="s">
        <v>1378</v>
      </c>
      <c r="B153" s="44" t="str">
        <f t="shared" si="4"/>
        <v>2</v>
      </c>
      <c r="C153" s="44" t="str">
        <f t="shared" si="5"/>
        <v>2</v>
      </c>
      <c r="D153" s="52" t="s">
        <v>2220</v>
      </c>
      <c r="E153" s="52" t="s">
        <v>1957</v>
      </c>
      <c r="F153" s="45">
        <v>44274</v>
      </c>
      <c r="G153" s="53" t="s">
        <v>1388</v>
      </c>
      <c r="H153" s="53" t="s">
        <v>1958</v>
      </c>
      <c r="I153" s="53" t="s">
        <v>1146</v>
      </c>
      <c r="J153" s="53" t="s">
        <v>2221</v>
      </c>
      <c r="K153" s="53" t="s">
        <v>2222</v>
      </c>
      <c r="L153" s="53" t="s">
        <v>3</v>
      </c>
      <c r="M153" s="53" t="s">
        <v>2223</v>
      </c>
      <c r="N153" s="53" t="s">
        <v>1393</v>
      </c>
      <c r="O153" s="53" t="s">
        <v>3</v>
      </c>
      <c r="P153" s="53" t="s">
        <v>3</v>
      </c>
      <c r="Q153" s="53" t="s">
        <v>3</v>
      </c>
      <c r="R153" s="53" t="s">
        <v>2224</v>
      </c>
      <c r="S153" s="53" t="s">
        <v>1142</v>
      </c>
      <c r="T153" s="53" t="s">
        <v>1143</v>
      </c>
      <c r="U153" s="53" t="s">
        <v>1461</v>
      </c>
      <c r="V153" s="53">
        <v>3</v>
      </c>
      <c r="W153" s="53" t="s">
        <v>2520</v>
      </c>
      <c r="X153" s="53" t="s">
        <v>1385</v>
      </c>
      <c r="Y153" s="53" t="s">
        <v>1799</v>
      </c>
      <c r="Z153" s="53" t="s">
        <v>1419</v>
      </c>
      <c r="AA153" s="53" t="s">
        <v>2528</v>
      </c>
      <c r="AB153" s="53" t="s">
        <v>95</v>
      </c>
      <c r="AC153" s="53" t="s">
        <v>124</v>
      </c>
      <c r="AD153" s="53" t="s">
        <v>1964</v>
      </c>
      <c r="AE153" s="53" t="s">
        <v>1965</v>
      </c>
      <c r="AF153" s="53" t="s">
        <v>1928</v>
      </c>
      <c r="AG153" s="53" t="s">
        <v>1482</v>
      </c>
      <c r="AH153" s="53" t="s">
        <v>1483</v>
      </c>
      <c r="AI153" s="53" t="s">
        <v>1964</v>
      </c>
      <c r="AJ153" s="53" t="s">
        <v>1965</v>
      </c>
      <c r="AK153" s="53" t="s">
        <v>1417</v>
      </c>
      <c r="AL153" s="53" t="s">
        <v>1894</v>
      </c>
      <c r="AM153" s="53" t="s">
        <v>1895</v>
      </c>
      <c r="AN153" s="53" t="s">
        <v>1964</v>
      </c>
      <c r="AO153" s="53" t="s">
        <v>1965</v>
      </c>
      <c r="AP153" s="53" t="s">
        <v>1251</v>
      </c>
      <c r="AQ153" s="53" t="s">
        <v>1440</v>
      </c>
      <c r="AR153" s="53" t="s">
        <v>1441</v>
      </c>
      <c r="AS153" s="53" t="s">
        <v>3</v>
      </c>
      <c r="AT153" s="53"/>
      <c r="AU153" s="53"/>
      <c r="AV153" s="53"/>
      <c r="AW153" s="53" t="s">
        <v>1761</v>
      </c>
    </row>
    <row r="154" spans="1:49" ht="30" customHeight="1" x14ac:dyDescent="0.3">
      <c r="A154" s="48" t="s">
        <v>1379</v>
      </c>
      <c r="B154" s="44" t="str">
        <f t="shared" si="4"/>
        <v>2</v>
      </c>
      <c r="C154" s="44" t="str">
        <f t="shared" si="5"/>
        <v>2</v>
      </c>
      <c r="D154" s="52" t="s">
        <v>2225</v>
      </c>
      <c r="E154" s="52" t="s">
        <v>1957</v>
      </c>
      <c r="F154" s="45">
        <v>44530</v>
      </c>
      <c r="G154" s="53" t="s">
        <v>1388</v>
      </c>
      <c r="H154" s="53" t="s">
        <v>1425</v>
      </c>
      <c r="I154" s="53" t="s">
        <v>1146</v>
      </c>
      <c r="J154" s="53" t="s">
        <v>2221</v>
      </c>
      <c r="K154" s="53" t="s">
        <v>1452</v>
      </c>
      <c r="L154" s="53" t="s">
        <v>3</v>
      </c>
      <c r="M154" s="53" t="s">
        <v>2226</v>
      </c>
      <c r="N154" s="53" t="s">
        <v>1393</v>
      </c>
      <c r="O154" s="53" t="s">
        <v>3</v>
      </c>
      <c r="P154" s="53" t="s">
        <v>3</v>
      </c>
      <c r="Q154" s="53" t="s">
        <v>1404</v>
      </c>
      <c r="R154" s="53" t="s">
        <v>2227</v>
      </c>
      <c r="S154" s="53">
        <v>0</v>
      </c>
      <c r="T154" s="53" t="s">
        <v>1143</v>
      </c>
      <c r="U154" s="53" t="s">
        <v>3</v>
      </c>
      <c r="V154" s="53">
        <v>3</v>
      </c>
      <c r="W154" s="53" t="s">
        <v>2520</v>
      </c>
      <c r="X154" s="53" t="s">
        <v>53</v>
      </c>
      <c r="Y154" s="53" t="s">
        <v>127</v>
      </c>
      <c r="Z154" s="53" t="s">
        <v>51</v>
      </c>
      <c r="AA154" s="53" t="s">
        <v>1384</v>
      </c>
      <c r="AB154" s="53" t="s">
        <v>95</v>
      </c>
      <c r="AC154" s="53" t="s">
        <v>124</v>
      </c>
      <c r="AD154" s="53" t="s">
        <v>3</v>
      </c>
      <c r="AE154" s="53">
        <v>0</v>
      </c>
      <c r="AF154" s="53" t="s">
        <v>3</v>
      </c>
      <c r="AG154" s="53" t="s">
        <v>1252</v>
      </c>
      <c r="AH154" s="53" t="s">
        <v>1253</v>
      </c>
      <c r="AI154" s="53" t="s">
        <v>3</v>
      </c>
      <c r="AJ154" s="53">
        <v>0</v>
      </c>
      <c r="AK154" s="53" t="s">
        <v>3</v>
      </c>
      <c r="AL154" s="53" t="s">
        <v>1252</v>
      </c>
      <c r="AM154" s="53" t="s">
        <v>1253</v>
      </c>
      <c r="AN154" s="53" t="s">
        <v>3</v>
      </c>
      <c r="AO154" s="53">
        <v>0</v>
      </c>
      <c r="AP154" s="53" t="s">
        <v>3</v>
      </c>
      <c r="AQ154" s="53" t="s">
        <v>1252</v>
      </c>
      <c r="AR154" s="53" t="s">
        <v>1253</v>
      </c>
      <c r="AS154" s="53">
        <v>100</v>
      </c>
      <c r="AT154" s="53"/>
      <c r="AU154" s="53"/>
      <c r="AV154" s="53"/>
      <c r="AW154" s="53" t="s">
        <v>1761</v>
      </c>
    </row>
    <row r="155" spans="1:49" ht="30" customHeight="1" x14ac:dyDescent="0.3">
      <c r="A155" s="48" t="s">
        <v>1380</v>
      </c>
      <c r="B155" s="44" t="str">
        <f t="shared" si="4"/>
        <v>2</v>
      </c>
      <c r="C155" s="44" t="str">
        <f t="shared" si="5"/>
        <v>2</v>
      </c>
      <c r="D155" s="52" t="s">
        <v>2145</v>
      </c>
      <c r="E155" s="52" t="s">
        <v>2122</v>
      </c>
      <c r="F155" s="45">
        <v>44965</v>
      </c>
      <c r="G155" s="53" t="s">
        <v>1388</v>
      </c>
      <c r="H155" s="53" t="s">
        <v>1480</v>
      </c>
      <c r="I155" s="53" t="s">
        <v>1146</v>
      </c>
      <c r="J155" s="53" t="s">
        <v>1532</v>
      </c>
      <c r="K155" s="53" t="s">
        <v>1409</v>
      </c>
      <c r="L155" s="53" t="s">
        <v>3</v>
      </c>
      <c r="M155" s="53" t="s">
        <v>2228</v>
      </c>
      <c r="N155" s="53" t="s">
        <v>3</v>
      </c>
      <c r="O155" s="53" t="s">
        <v>3</v>
      </c>
      <c r="P155" s="53" t="s">
        <v>3</v>
      </c>
      <c r="Q155" s="53" t="s">
        <v>3</v>
      </c>
      <c r="R155" s="53" t="s">
        <v>2229</v>
      </c>
      <c r="S155" s="53" t="s">
        <v>1142</v>
      </c>
      <c r="T155" s="53" t="s">
        <v>1143</v>
      </c>
      <c r="U155" s="53" t="s">
        <v>2230</v>
      </c>
      <c r="V155" s="53">
        <v>1</v>
      </c>
      <c r="W155" s="53" t="s">
        <v>2520</v>
      </c>
      <c r="X155" s="53" t="s">
        <v>48</v>
      </c>
      <c r="Y155" s="53" t="s">
        <v>105</v>
      </c>
      <c r="Z155" s="53" t="s">
        <v>51</v>
      </c>
      <c r="AA155" s="53" t="s">
        <v>1384</v>
      </c>
      <c r="AB155" s="53" t="s">
        <v>95</v>
      </c>
      <c r="AC155" s="53" t="s">
        <v>124</v>
      </c>
      <c r="AD155" s="53" t="s">
        <v>3</v>
      </c>
      <c r="AE155" s="53">
        <v>0</v>
      </c>
      <c r="AF155" s="53" t="s">
        <v>3</v>
      </c>
      <c r="AG155" s="53" t="s">
        <v>1252</v>
      </c>
      <c r="AH155" s="53" t="s">
        <v>1253</v>
      </c>
      <c r="AI155" s="53" t="s">
        <v>3</v>
      </c>
      <c r="AJ155" s="53">
        <v>0</v>
      </c>
      <c r="AK155" s="53" t="s">
        <v>3</v>
      </c>
      <c r="AL155" s="53" t="s">
        <v>1252</v>
      </c>
      <c r="AM155" s="53" t="s">
        <v>1253</v>
      </c>
      <c r="AN155" s="53" t="s">
        <v>3</v>
      </c>
      <c r="AO155" s="53">
        <v>0</v>
      </c>
      <c r="AP155" s="53" t="s">
        <v>3</v>
      </c>
      <c r="AQ155" s="53" t="s">
        <v>1252</v>
      </c>
      <c r="AR155" s="53" t="s">
        <v>1253</v>
      </c>
      <c r="AS155" s="53">
        <v>75</v>
      </c>
      <c r="AT155" s="53"/>
      <c r="AU155" s="53"/>
      <c r="AV155" s="53"/>
      <c r="AW155" s="53" t="s">
        <v>1761</v>
      </c>
    </row>
    <row r="156" spans="1:49" ht="30" customHeight="1" x14ac:dyDescent="0.3">
      <c r="A156" s="48" t="s">
        <v>1620</v>
      </c>
      <c r="B156" s="44" t="str">
        <f t="shared" si="4"/>
        <v>2</v>
      </c>
      <c r="C156" s="44" t="str">
        <f t="shared" si="5"/>
        <v>2</v>
      </c>
      <c r="D156" s="52" t="s">
        <v>2231</v>
      </c>
      <c r="E156" s="52" t="s">
        <v>2122</v>
      </c>
      <c r="F156" s="45">
        <v>45666</v>
      </c>
      <c r="G156" s="53" t="s">
        <v>1388</v>
      </c>
      <c r="H156" s="53" t="s">
        <v>1456</v>
      </c>
      <c r="I156" s="53" t="s">
        <v>1146</v>
      </c>
      <c r="J156" s="53" t="s">
        <v>1532</v>
      </c>
      <c r="K156" s="53" t="s">
        <v>1400</v>
      </c>
      <c r="L156" s="53" t="s">
        <v>3</v>
      </c>
      <c r="M156" s="53" t="s">
        <v>1411</v>
      </c>
      <c r="N156" s="53" t="s">
        <v>1413</v>
      </c>
      <c r="O156" s="53" t="s">
        <v>1468</v>
      </c>
      <c r="P156" s="53" t="s">
        <v>3</v>
      </c>
      <c r="Q156" s="53" t="s">
        <v>1414</v>
      </c>
      <c r="R156" s="53" t="s">
        <v>2232</v>
      </c>
      <c r="S156" s="53" t="s">
        <v>3</v>
      </c>
      <c r="T156" s="53" t="s">
        <v>1143</v>
      </c>
      <c r="U156" s="53" t="s">
        <v>2233</v>
      </c>
      <c r="V156" s="53">
        <v>1</v>
      </c>
      <c r="W156" s="53" t="s">
        <v>2521</v>
      </c>
      <c r="X156" s="53">
        <v>0</v>
      </c>
      <c r="Y156" s="53" t="s">
        <v>1391</v>
      </c>
      <c r="Z156" s="53" t="s">
        <v>51</v>
      </c>
      <c r="AA156" s="53" t="s">
        <v>1384</v>
      </c>
      <c r="AB156" s="53">
        <v>0</v>
      </c>
      <c r="AC156" s="53" t="s">
        <v>1391</v>
      </c>
      <c r="AD156" s="53" t="s">
        <v>3</v>
      </c>
      <c r="AE156" s="53">
        <v>0</v>
      </c>
      <c r="AF156" s="53">
        <v>0</v>
      </c>
      <c r="AG156" s="53">
        <v>0</v>
      </c>
      <c r="AH156" s="53" t="e">
        <v>#N/A</v>
      </c>
      <c r="AI156" s="53" t="s">
        <v>3</v>
      </c>
      <c r="AJ156" s="53">
        <v>0</v>
      </c>
      <c r="AK156" s="53" t="s">
        <v>3</v>
      </c>
      <c r="AL156" s="53" t="s">
        <v>1252</v>
      </c>
      <c r="AM156" s="53" t="s">
        <v>1253</v>
      </c>
      <c r="AN156" s="53" t="s">
        <v>3</v>
      </c>
      <c r="AO156" s="53">
        <v>0</v>
      </c>
      <c r="AP156" s="53" t="s">
        <v>3</v>
      </c>
      <c r="AQ156" s="53" t="s">
        <v>1252</v>
      </c>
      <c r="AR156" s="53" t="s">
        <v>1253</v>
      </c>
      <c r="AS156" s="53">
        <v>195</v>
      </c>
      <c r="AT156" s="53"/>
      <c r="AU156" s="53"/>
      <c r="AV156" s="53"/>
      <c r="AW156" s="53" t="s">
        <v>1761</v>
      </c>
    </row>
    <row r="157" spans="1:49" ht="30" customHeight="1" x14ac:dyDescent="0.3">
      <c r="A157" s="48" t="s">
        <v>1621</v>
      </c>
      <c r="B157" s="44" t="str">
        <f t="shared" si="4"/>
        <v>2</v>
      </c>
      <c r="C157" s="44" t="str">
        <f t="shared" si="5"/>
        <v>2</v>
      </c>
      <c r="D157" s="52" t="s">
        <v>2234</v>
      </c>
      <c r="E157" s="52" t="s">
        <v>2235</v>
      </c>
      <c r="F157" s="45">
        <v>43921</v>
      </c>
      <c r="G157" s="53" t="s">
        <v>1140</v>
      </c>
      <c r="H157" s="53" t="s">
        <v>1456</v>
      </c>
      <c r="I157" s="53" t="s">
        <v>1146</v>
      </c>
      <c r="J157" s="53" t="s">
        <v>1779</v>
      </c>
      <c r="K157" s="53" t="s">
        <v>1394</v>
      </c>
      <c r="L157" s="53" t="s">
        <v>1476</v>
      </c>
      <c r="M157" s="53" t="s">
        <v>1463</v>
      </c>
      <c r="N157" s="53" t="s">
        <v>3</v>
      </c>
      <c r="O157" s="53" t="s">
        <v>3</v>
      </c>
      <c r="P157" s="53" t="s">
        <v>3</v>
      </c>
      <c r="Q157" s="53" t="s">
        <v>1466</v>
      </c>
      <c r="R157" s="53" t="s">
        <v>2236</v>
      </c>
      <c r="S157" s="53" t="s">
        <v>1469</v>
      </c>
      <c r="T157" s="53" t="s">
        <v>1143</v>
      </c>
      <c r="U157" s="53" t="s">
        <v>2237</v>
      </c>
      <c r="V157" s="53">
        <v>2</v>
      </c>
      <c r="W157" s="53" t="s">
        <v>2519</v>
      </c>
      <c r="X157" s="53" t="s">
        <v>86</v>
      </c>
      <c r="Y157" s="53" t="s">
        <v>152</v>
      </c>
      <c r="Z157" s="53" t="s">
        <v>84</v>
      </c>
      <c r="AA157" s="53" t="s">
        <v>147</v>
      </c>
      <c r="AB157" s="53">
        <v>0</v>
      </c>
      <c r="AC157" s="53" t="s">
        <v>1391</v>
      </c>
      <c r="AD157" s="53" t="s">
        <v>3</v>
      </c>
      <c r="AE157" s="53">
        <v>0</v>
      </c>
      <c r="AF157" s="53">
        <v>0</v>
      </c>
      <c r="AG157" s="53">
        <v>0</v>
      </c>
      <c r="AH157" s="53" t="e">
        <v>#N/A</v>
      </c>
      <c r="AI157" s="53" t="s">
        <v>3</v>
      </c>
      <c r="AJ157" s="53">
        <v>0</v>
      </c>
      <c r="AK157" s="53" t="s">
        <v>3</v>
      </c>
      <c r="AL157" s="53" t="s">
        <v>1252</v>
      </c>
      <c r="AM157" s="53" t="s">
        <v>1253</v>
      </c>
      <c r="AN157" s="53" t="s">
        <v>3</v>
      </c>
      <c r="AO157" s="53">
        <v>0</v>
      </c>
      <c r="AP157" s="53" t="s">
        <v>3</v>
      </c>
      <c r="AQ157" s="53" t="s">
        <v>1252</v>
      </c>
      <c r="AR157" s="53" t="s">
        <v>1253</v>
      </c>
      <c r="AS157" s="53" t="s">
        <v>3</v>
      </c>
      <c r="AT157" s="53"/>
      <c r="AU157" s="53"/>
      <c r="AV157" s="53"/>
      <c r="AW157" s="53" t="s">
        <v>1761</v>
      </c>
    </row>
    <row r="158" spans="1:49" ht="30" customHeight="1" x14ac:dyDescent="0.3">
      <c r="A158" s="48" t="s">
        <v>1622</v>
      </c>
      <c r="B158" s="44" t="str">
        <f t="shared" si="4"/>
        <v>2</v>
      </c>
      <c r="C158" s="44" t="str">
        <f t="shared" si="5"/>
        <v>2</v>
      </c>
      <c r="D158" s="52" t="s">
        <v>2238</v>
      </c>
      <c r="E158" s="52" t="s">
        <v>2235</v>
      </c>
      <c r="F158" s="45">
        <v>44294</v>
      </c>
      <c r="G158" s="53" t="s">
        <v>1388</v>
      </c>
      <c r="H158" s="53" t="s">
        <v>1480</v>
      </c>
      <c r="I158" s="53" t="s">
        <v>1146</v>
      </c>
      <c r="J158" s="53" t="s">
        <v>1779</v>
      </c>
      <c r="K158" s="53" t="s">
        <v>1394</v>
      </c>
      <c r="L158" s="53" t="s">
        <v>3</v>
      </c>
      <c r="M158" s="53" t="s">
        <v>1533</v>
      </c>
      <c r="N158" s="53" t="s">
        <v>3</v>
      </c>
      <c r="O158" s="53" t="s">
        <v>3</v>
      </c>
      <c r="P158" s="53" t="s">
        <v>3</v>
      </c>
      <c r="Q158" s="53" t="s">
        <v>1396</v>
      </c>
      <c r="R158" s="53" t="s">
        <v>2239</v>
      </c>
      <c r="S158" s="53" t="s">
        <v>3</v>
      </c>
      <c r="T158" s="53" t="s">
        <v>1143</v>
      </c>
      <c r="U158" s="53" t="s">
        <v>2240</v>
      </c>
      <c r="V158" s="53">
        <v>2</v>
      </c>
      <c r="W158" s="53" t="s">
        <v>2521</v>
      </c>
      <c r="X158" s="53" t="s">
        <v>53</v>
      </c>
      <c r="Y158" s="53" t="s">
        <v>127</v>
      </c>
      <c r="Z158" s="53" t="s">
        <v>51</v>
      </c>
      <c r="AA158" s="53" t="s">
        <v>1384</v>
      </c>
      <c r="AB158" s="53">
        <v>0</v>
      </c>
      <c r="AC158" s="53" t="s">
        <v>1391</v>
      </c>
      <c r="AD158" s="53" t="s">
        <v>3</v>
      </c>
      <c r="AE158" s="53">
        <v>0</v>
      </c>
      <c r="AF158" s="53">
        <v>0</v>
      </c>
      <c r="AG158" s="53">
        <v>0</v>
      </c>
      <c r="AH158" s="53" t="e">
        <v>#N/A</v>
      </c>
      <c r="AI158" s="53" t="s">
        <v>3</v>
      </c>
      <c r="AJ158" s="53">
        <v>0</v>
      </c>
      <c r="AK158" s="53" t="s">
        <v>3</v>
      </c>
      <c r="AL158" s="53" t="s">
        <v>1252</v>
      </c>
      <c r="AM158" s="53" t="s">
        <v>1253</v>
      </c>
      <c r="AN158" s="53" t="s">
        <v>3</v>
      </c>
      <c r="AO158" s="53">
        <v>0</v>
      </c>
      <c r="AP158" s="53" t="s">
        <v>3</v>
      </c>
      <c r="AQ158" s="53" t="s">
        <v>1252</v>
      </c>
      <c r="AR158" s="53" t="s">
        <v>1253</v>
      </c>
      <c r="AS158" s="53" t="s">
        <v>3</v>
      </c>
      <c r="AT158" s="53"/>
      <c r="AU158" s="53"/>
      <c r="AV158" s="53"/>
      <c r="AW158" s="53" t="s">
        <v>1761</v>
      </c>
    </row>
    <row r="159" spans="1:49" ht="30" customHeight="1" x14ac:dyDescent="0.3">
      <c r="A159" s="48" t="s">
        <v>1381</v>
      </c>
      <c r="B159" s="44" t="str">
        <f t="shared" si="4"/>
        <v>2</v>
      </c>
      <c r="C159" s="44" t="str">
        <f t="shared" si="5"/>
        <v>2</v>
      </c>
      <c r="D159" s="52" t="s">
        <v>2241</v>
      </c>
      <c r="E159" s="52" t="s">
        <v>2235</v>
      </c>
      <c r="F159" s="45">
        <v>43845</v>
      </c>
      <c r="G159" s="53" t="s">
        <v>1388</v>
      </c>
      <c r="H159" s="53" t="s">
        <v>1470</v>
      </c>
      <c r="I159" s="53" t="s">
        <v>1146</v>
      </c>
      <c r="J159" s="53" t="s">
        <v>1779</v>
      </c>
      <c r="K159" s="53" t="s">
        <v>2242</v>
      </c>
      <c r="L159" s="53" t="s">
        <v>1476</v>
      </c>
      <c r="M159" s="53" t="s">
        <v>2243</v>
      </c>
      <c r="N159" s="53" t="s">
        <v>1141</v>
      </c>
      <c r="O159" s="53" t="s">
        <v>3</v>
      </c>
      <c r="P159" s="53" t="s">
        <v>3</v>
      </c>
      <c r="Q159" s="53" t="s">
        <v>3</v>
      </c>
      <c r="R159" s="53" t="s">
        <v>2244</v>
      </c>
      <c r="S159" s="53" t="s">
        <v>1142</v>
      </c>
      <c r="T159" s="53" t="s">
        <v>1143</v>
      </c>
      <c r="U159" s="53" t="s">
        <v>1771</v>
      </c>
      <c r="V159" s="53">
        <v>3</v>
      </c>
      <c r="W159" s="53" t="s">
        <v>2521</v>
      </c>
      <c r="X159" s="53" t="s">
        <v>86</v>
      </c>
      <c r="Y159" s="53" t="s">
        <v>152</v>
      </c>
      <c r="Z159" s="53" t="s">
        <v>1419</v>
      </c>
      <c r="AA159" s="53" t="s">
        <v>2528</v>
      </c>
      <c r="AB159" s="53">
        <v>0</v>
      </c>
      <c r="AC159" s="53" t="s">
        <v>1391</v>
      </c>
      <c r="AD159" s="53" t="s">
        <v>1964</v>
      </c>
      <c r="AE159" s="53" t="s">
        <v>2245</v>
      </c>
      <c r="AF159" s="53" t="s">
        <v>1928</v>
      </c>
      <c r="AG159" s="53" t="s">
        <v>1482</v>
      </c>
      <c r="AH159" s="53" t="s">
        <v>1483</v>
      </c>
      <c r="AI159" s="53" t="s">
        <v>1964</v>
      </c>
      <c r="AJ159" s="53" t="s">
        <v>2245</v>
      </c>
      <c r="AK159" s="53" t="s">
        <v>1417</v>
      </c>
      <c r="AL159" s="53" t="s">
        <v>1894</v>
      </c>
      <c r="AM159" s="53" t="s">
        <v>1895</v>
      </c>
      <c r="AN159" s="53" t="s">
        <v>1964</v>
      </c>
      <c r="AO159" s="53" t="s">
        <v>2245</v>
      </c>
      <c r="AP159" s="53" t="s">
        <v>1251</v>
      </c>
      <c r="AQ159" s="53" t="s">
        <v>1440</v>
      </c>
      <c r="AR159" s="53" t="s">
        <v>1441</v>
      </c>
      <c r="AS159" s="53" t="s">
        <v>3</v>
      </c>
      <c r="AT159" s="53"/>
      <c r="AU159" s="53"/>
      <c r="AV159" s="53"/>
      <c r="AW159" s="53" t="s">
        <v>1761</v>
      </c>
    </row>
    <row r="160" spans="1:49" ht="30" customHeight="1" x14ac:dyDescent="0.3">
      <c r="A160" s="48" t="s">
        <v>1382</v>
      </c>
      <c r="B160" s="44" t="str">
        <f t="shared" si="4"/>
        <v>2</v>
      </c>
      <c r="C160" s="44" t="str">
        <f t="shared" si="5"/>
        <v>2</v>
      </c>
      <c r="D160" s="52" t="s">
        <v>2246</v>
      </c>
      <c r="E160" s="52" t="s">
        <v>2235</v>
      </c>
      <c r="F160" s="45">
        <v>44154</v>
      </c>
      <c r="G160" s="53" t="s">
        <v>1388</v>
      </c>
      <c r="H160" s="53" t="s">
        <v>1480</v>
      </c>
      <c r="I160" s="53" t="s">
        <v>1146</v>
      </c>
      <c r="J160" s="53" t="s">
        <v>1779</v>
      </c>
      <c r="K160" s="53" t="s">
        <v>1872</v>
      </c>
      <c r="L160" s="53" t="s">
        <v>3</v>
      </c>
      <c r="M160" s="53" t="s">
        <v>1989</v>
      </c>
      <c r="N160" s="53" t="s">
        <v>1544</v>
      </c>
      <c r="O160" s="53" t="s">
        <v>3</v>
      </c>
      <c r="P160" s="53" t="s">
        <v>3</v>
      </c>
      <c r="Q160" s="53" t="s">
        <v>1414</v>
      </c>
      <c r="R160" s="53" t="s">
        <v>2247</v>
      </c>
      <c r="S160" s="53" t="s">
        <v>3</v>
      </c>
      <c r="T160" s="53" t="s">
        <v>3</v>
      </c>
      <c r="U160" s="53" t="s">
        <v>2248</v>
      </c>
      <c r="V160" s="53">
        <v>3</v>
      </c>
      <c r="W160" s="53" t="s">
        <v>2521</v>
      </c>
      <c r="X160" s="53" t="s">
        <v>48</v>
      </c>
      <c r="Y160" s="53" t="s">
        <v>105</v>
      </c>
      <c r="Z160" s="53" t="s">
        <v>51</v>
      </c>
      <c r="AA160" s="53" t="s">
        <v>1384</v>
      </c>
      <c r="AB160" s="53">
        <v>0</v>
      </c>
      <c r="AC160" s="53" t="s">
        <v>1391</v>
      </c>
      <c r="AD160" s="53" t="s">
        <v>3</v>
      </c>
      <c r="AE160" s="53">
        <v>0</v>
      </c>
      <c r="AF160" s="53" t="s">
        <v>3</v>
      </c>
      <c r="AG160" s="53" t="s">
        <v>1252</v>
      </c>
      <c r="AH160" s="53" t="s">
        <v>1253</v>
      </c>
      <c r="AI160" s="53" t="s">
        <v>3</v>
      </c>
      <c r="AJ160" s="53">
        <v>0</v>
      </c>
      <c r="AK160" s="53" t="s">
        <v>3</v>
      </c>
      <c r="AL160" s="53" t="s">
        <v>1252</v>
      </c>
      <c r="AM160" s="53" t="s">
        <v>1253</v>
      </c>
      <c r="AN160" s="53" t="s">
        <v>3</v>
      </c>
      <c r="AO160" s="53">
        <v>0</v>
      </c>
      <c r="AP160" s="53" t="s">
        <v>3</v>
      </c>
      <c r="AQ160" s="53" t="s">
        <v>1252</v>
      </c>
      <c r="AR160" s="53" t="s">
        <v>1253</v>
      </c>
      <c r="AS160" s="53" t="s">
        <v>3</v>
      </c>
      <c r="AT160" s="53"/>
      <c r="AU160" s="53"/>
      <c r="AV160" s="53"/>
      <c r="AW160" s="53" t="s">
        <v>1761</v>
      </c>
    </row>
    <row r="161" spans="1:49" ht="30" customHeight="1" x14ac:dyDescent="0.3">
      <c r="A161" s="48" t="s">
        <v>1386</v>
      </c>
      <c r="B161" s="44" t="str">
        <f t="shared" si="4"/>
        <v>2</v>
      </c>
      <c r="C161" s="44" t="str">
        <f t="shared" si="5"/>
        <v>2</v>
      </c>
      <c r="D161" s="52" t="s">
        <v>2249</v>
      </c>
      <c r="E161" s="52" t="s">
        <v>2235</v>
      </c>
      <c r="F161" s="45">
        <v>44494</v>
      </c>
      <c r="G161" s="53" t="s">
        <v>1388</v>
      </c>
      <c r="H161" s="53" t="s">
        <v>1480</v>
      </c>
      <c r="I161" s="53" t="s">
        <v>1146</v>
      </c>
      <c r="J161" s="53" t="s">
        <v>1532</v>
      </c>
      <c r="K161" s="53" t="s">
        <v>1407</v>
      </c>
      <c r="L161" s="53" t="s">
        <v>3</v>
      </c>
      <c r="M161" s="53" t="s">
        <v>1408</v>
      </c>
      <c r="N161" s="53" t="s">
        <v>3</v>
      </c>
      <c r="O161" s="53" t="s">
        <v>1528</v>
      </c>
      <c r="P161" s="53" t="s">
        <v>3</v>
      </c>
      <c r="Q161" s="53" t="s">
        <v>3</v>
      </c>
      <c r="R161" s="53" t="s">
        <v>2087</v>
      </c>
      <c r="S161" s="53" t="s">
        <v>3</v>
      </c>
      <c r="T161" s="53" t="s">
        <v>3</v>
      </c>
      <c r="U161" s="53" t="s">
        <v>2250</v>
      </c>
      <c r="V161" s="53">
        <v>2</v>
      </c>
      <c r="W161" s="53" t="s">
        <v>2521</v>
      </c>
      <c r="X161" s="53">
        <v>0</v>
      </c>
      <c r="Y161" s="53" t="s">
        <v>1391</v>
      </c>
      <c r="Z161" s="53" t="s">
        <v>51</v>
      </c>
      <c r="AA161" s="53" t="s">
        <v>1384</v>
      </c>
      <c r="AB161" s="53">
        <v>0</v>
      </c>
      <c r="AC161" s="53" t="s">
        <v>1391</v>
      </c>
      <c r="AD161" s="53" t="s">
        <v>3</v>
      </c>
      <c r="AE161" s="53">
        <v>0</v>
      </c>
      <c r="AF161" s="53" t="s">
        <v>3</v>
      </c>
      <c r="AG161" s="53" t="s">
        <v>1252</v>
      </c>
      <c r="AH161" s="53" t="s">
        <v>1253</v>
      </c>
      <c r="AI161" s="53" t="s">
        <v>3</v>
      </c>
      <c r="AJ161" s="53">
        <v>0</v>
      </c>
      <c r="AK161" s="53" t="s">
        <v>3</v>
      </c>
      <c r="AL161" s="53" t="s">
        <v>1252</v>
      </c>
      <c r="AM161" s="53" t="s">
        <v>1253</v>
      </c>
      <c r="AN161" s="53" t="s">
        <v>3</v>
      </c>
      <c r="AO161" s="53">
        <v>0</v>
      </c>
      <c r="AP161" s="53" t="s">
        <v>3</v>
      </c>
      <c r="AQ161" s="53" t="s">
        <v>1252</v>
      </c>
      <c r="AR161" s="53" t="s">
        <v>1253</v>
      </c>
      <c r="AS161" s="53">
        <v>72</v>
      </c>
      <c r="AT161" s="53"/>
      <c r="AU161" s="53"/>
      <c r="AV161" s="53"/>
      <c r="AW161" s="53" t="s">
        <v>1761</v>
      </c>
    </row>
    <row r="162" spans="1:49" ht="30" customHeight="1" x14ac:dyDescent="0.3">
      <c r="A162" s="48" t="s">
        <v>1387</v>
      </c>
      <c r="B162" s="44" t="str">
        <f t="shared" si="4"/>
        <v>2</v>
      </c>
      <c r="C162" s="44" t="str">
        <f t="shared" si="5"/>
        <v>2</v>
      </c>
      <c r="D162" s="52" t="s">
        <v>2251</v>
      </c>
      <c r="E162" s="52" t="s">
        <v>2235</v>
      </c>
      <c r="F162" s="45">
        <v>43790</v>
      </c>
      <c r="G162" s="53" t="s">
        <v>1388</v>
      </c>
      <c r="H162" s="53" t="s">
        <v>1492</v>
      </c>
      <c r="I162" s="53" t="s">
        <v>1146</v>
      </c>
      <c r="J162" s="53" t="s">
        <v>1532</v>
      </c>
      <c r="K162" s="53" t="s">
        <v>1407</v>
      </c>
      <c r="L162" s="53" t="s">
        <v>3</v>
      </c>
      <c r="M162" s="53" t="s">
        <v>1408</v>
      </c>
      <c r="N162" s="53" t="s">
        <v>3</v>
      </c>
      <c r="O162" s="53" t="s">
        <v>1468</v>
      </c>
      <c r="P162" s="53" t="s">
        <v>3</v>
      </c>
      <c r="Q162" s="53" t="s">
        <v>3</v>
      </c>
      <c r="R162" s="53" t="s">
        <v>2087</v>
      </c>
      <c r="S162" s="53" t="s">
        <v>3</v>
      </c>
      <c r="T162" s="53" t="s">
        <v>1143</v>
      </c>
      <c r="U162" s="53" t="s">
        <v>2252</v>
      </c>
      <c r="V162" s="53">
        <v>1</v>
      </c>
      <c r="W162" s="53" t="s">
        <v>2521</v>
      </c>
      <c r="X162" s="53">
        <v>0</v>
      </c>
      <c r="Y162" s="53" t="s">
        <v>1391</v>
      </c>
      <c r="Z162" s="53" t="s">
        <v>51</v>
      </c>
      <c r="AA162" s="53" t="s">
        <v>1384</v>
      </c>
      <c r="AB162" s="53">
        <v>0</v>
      </c>
      <c r="AC162" s="53" t="s">
        <v>1391</v>
      </c>
      <c r="AD162" s="53" t="s">
        <v>3</v>
      </c>
      <c r="AE162" s="53">
        <v>0</v>
      </c>
      <c r="AF162" s="53" t="s">
        <v>3</v>
      </c>
      <c r="AG162" s="53" t="s">
        <v>1252</v>
      </c>
      <c r="AH162" s="53" t="s">
        <v>1253</v>
      </c>
      <c r="AI162" s="53" t="s">
        <v>3</v>
      </c>
      <c r="AJ162" s="53">
        <v>0</v>
      </c>
      <c r="AK162" s="53" t="s">
        <v>3</v>
      </c>
      <c r="AL162" s="53" t="s">
        <v>1252</v>
      </c>
      <c r="AM162" s="53" t="s">
        <v>1253</v>
      </c>
      <c r="AN162" s="53" t="s">
        <v>3</v>
      </c>
      <c r="AO162" s="53">
        <v>0</v>
      </c>
      <c r="AP162" s="53" t="s">
        <v>3</v>
      </c>
      <c r="AQ162" s="53" t="s">
        <v>1252</v>
      </c>
      <c r="AR162" s="53" t="s">
        <v>1253</v>
      </c>
      <c r="AS162" s="53">
        <v>74</v>
      </c>
      <c r="AT162" s="53"/>
      <c r="AU162" s="53"/>
      <c r="AV162" s="53"/>
      <c r="AW162" s="53" t="s">
        <v>1761</v>
      </c>
    </row>
    <row r="163" spans="1:49" ht="30" customHeight="1" x14ac:dyDescent="0.3">
      <c r="A163" s="48" t="s">
        <v>1623</v>
      </c>
      <c r="B163" s="44" t="str">
        <f t="shared" si="4"/>
        <v>2</v>
      </c>
      <c r="C163" s="44" t="str">
        <f t="shared" si="5"/>
        <v>2</v>
      </c>
      <c r="D163" s="52" t="s">
        <v>2253</v>
      </c>
      <c r="E163" s="52" t="s">
        <v>2235</v>
      </c>
      <c r="F163" s="45">
        <v>43867</v>
      </c>
      <c r="G163" s="53" t="s">
        <v>1388</v>
      </c>
      <c r="H163" s="53" t="s">
        <v>1173</v>
      </c>
      <c r="I163" s="53" t="s">
        <v>1146</v>
      </c>
      <c r="J163" s="53" t="s">
        <v>1779</v>
      </c>
      <c r="K163" s="53" t="s">
        <v>1389</v>
      </c>
      <c r="L163" s="53" t="s">
        <v>3</v>
      </c>
      <c r="M163" s="53" t="s">
        <v>3</v>
      </c>
      <c r="N163" s="53" t="s">
        <v>3</v>
      </c>
      <c r="O163" s="53" t="s">
        <v>3</v>
      </c>
      <c r="P163" s="53" t="s">
        <v>3</v>
      </c>
      <c r="Q163" s="53" t="s">
        <v>3</v>
      </c>
      <c r="R163" s="53" t="s">
        <v>3</v>
      </c>
      <c r="S163" s="53" t="s">
        <v>3</v>
      </c>
      <c r="T163" s="53" t="s">
        <v>3</v>
      </c>
      <c r="U163" s="53" t="s">
        <v>3</v>
      </c>
      <c r="V163" s="53">
        <v>1</v>
      </c>
      <c r="W163" s="53" t="s">
        <v>2518</v>
      </c>
      <c r="X163" s="53" t="s">
        <v>48</v>
      </c>
      <c r="Y163" s="53" t="s">
        <v>105</v>
      </c>
      <c r="Z163" s="53" t="s">
        <v>51</v>
      </c>
      <c r="AA163" s="53" t="s">
        <v>1384</v>
      </c>
      <c r="AB163" s="53">
        <v>0</v>
      </c>
      <c r="AC163" s="53" t="s">
        <v>1391</v>
      </c>
      <c r="AD163" s="53" t="s">
        <v>3</v>
      </c>
      <c r="AE163" s="53">
        <v>0</v>
      </c>
      <c r="AF163" s="53" t="s">
        <v>3</v>
      </c>
      <c r="AG163" s="53" t="s">
        <v>1252</v>
      </c>
      <c r="AH163" s="53" t="s">
        <v>1253</v>
      </c>
      <c r="AI163" s="53" t="s">
        <v>3</v>
      </c>
      <c r="AJ163" s="53">
        <v>0</v>
      </c>
      <c r="AK163" s="53" t="s">
        <v>3</v>
      </c>
      <c r="AL163" s="53" t="s">
        <v>1252</v>
      </c>
      <c r="AM163" s="53" t="s">
        <v>1253</v>
      </c>
      <c r="AN163" s="53" t="s">
        <v>3</v>
      </c>
      <c r="AO163" s="53">
        <v>0</v>
      </c>
      <c r="AP163" s="53" t="s">
        <v>3</v>
      </c>
      <c r="AQ163" s="53" t="s">
        <v>1252</v>
      </c>
      <c r="AR163" s="53" t="s">
        <v>1253</v>
      </c>
      <c r="AS163" s="53" t="s">
        <v>3</v>
      </c>
      <c r="AT163" s="53"/>
      <c r="AU163" s="53"/>
      <c r="AV163" s="53"/>
      <c r="AW163" s="53" t="s">
        <v>1761</v>
      </c>
    </row>
    <row r="164" spans="1:49" ht="30" customHeight="1" x14ac:dyDescent="0.3">
      <c r="A164" s="48" t="s">
        <v>1624</v>
      </c>
      <c r="B164" s="44" t="str">
        <f t="shared" si="4"/>
        <v>2</v>
      </c>
      <c r="C164" s="44" t="str">
        <f t="shared" si="5"/>
        <v>2</v>
      </c>
      <c r="D164" s="52" t="s">
        <v>2254</v>
      </c>
      <c r="E164" s="52" t="s">
        <v>2235</v>
      </c>
      <c r="F164" s="45">
        <v>44854</v>
      </c>
      <c r="G164" s="53" t="s">
        <v>1388</v>
      </c>
      <c r="H164" s="53" t="s">
        <v>1550</v>
      </c>
      <c r="I164" s="53" t="s">
        <v>1146</v>
      </c>
      <c r="J164" s="53" t="s">
        <v>1779</v>
      </c>
      <c r="K164" s="53" t="s">
        <v>1795</v>
      </c>
      <c r="L164" s="53" t="s">
        <v>3</v>
      </c>
      <c r="M164" s="53" t="s">
        <v>1832</v>
      </c>
      <c r="N164" s="53" t="s">
        <v>1393</v>
      </c>
      <c r="O164" s="53" t="s">
        <v>3</v>
      </c>
      <c r="P164" s="53" t="s">
        <v>3</v>
      </c>
      <c r="Q164" s="53" t="s">
        <v>2255</v>
      </c>
      <c r="R164" s="53" t="s">
        <v>2256</v>
      </c>
      <c r="S164" s="53" t="s">
        <v>1142</v>
      </c>
      <c r="T164" s="53" t="s">
        <v>1143</v>
      </c>
      <c r="U164" s="53" t="s">
        <v>2257</v>
      </c>
      <c r="V164" s="53">
        <v>3</v>
      </c>
      <c r="W164" s="53" t="s">
        <v>2519</v>
      </c>
      <c r="X164" s="53">
        <v>0</v>
      </c>
      <c r="Y164" s="53" t="s">
        <v>1391</v>
      </c>
      <c r="Z164" s="53" t="s">
        <v>1419</v>
      </c>
      <c r="AA164" s="53" t="s">
        <v>2528</v>
      </c>
      <c r="AB164" s="53">
        <v>0</v>
      </c>
      <c r="AC164" s="53" t="s">
        <v>1391</v>
      </c>
      <c r="AD164" s="53" t="s">
        <v>2194</v>
      </c>
      <c r="AE164" s="53" t="s">
        <v>2023</v>
      </c>
      <c r="AF164" s="53" t="s">
        <v>1417</v>
      </c>
      <c r="AG164" s="53" t="s">
        <v>1464</v>
      </c>
      <c r="AH164" s="53" t="s">
        <v>1465</v>
      </c>
      <c r="AI164" s="53" t="s">
        <v>2194</v>
      </c>
      <c r="AJ164" s="53" t="s">
        <v>2023</v>
      </c>
      <c r="AK164" s="53" t="s">
        <v>1417</v>
      </c>
      <c r="AL164" s="53" t="s">
        <v>1449</v>
      </c>
      <c r="AM164" s="53" t="s">
        <v>1450</v>
      </c>
      <c r="AN164" s="53" t="s">
        <v>2194</v>
      </c>
      <c r="AO164" s="53" t="s">
        <v>2023</v>
      </c>
      <c r="AP164" s="53" t="s">
        <v>1251</v>
      </c>
      <c r="AQ164" s="53" t="s">
        <v>1398</v>
      </c>
      <c r="AR164" s="53" t="s">
        <v>1399</v>
      </c>
      <c r="AS164" s="53" t="s">
        <v>3</v>
      </c>
      <c r="AT164" s="53"/>
      <c r="AU164" s="53"/>
      <c r="AV164" s="53"/>
      <c r="AW164" s="53" t="s">
        <v>1761</v>
      </c>
    </row>
    <row r="165" spans="1:49" ht="30" customHeight="1" x14ac:dyDescent="0.3">
      <c r="A165" s="48" t="s">
        <v>1625</v>
      </c>
      <c r="B165" s="44" t="str">
        <f t="shared" si="4"/>
        <v>2</v>
      </c>
      <c r="C165" s="44" t="str">
        <f t="shared" si="5"/>
        <v>2</v>
      </c>
      <c r="D165" s="52" t="s">
        <v>2258</v>
      </c>
      <c r="E165" s="52" t="s">
        <v>1828</v>
      </c>
      <c r="F165" s="45">
        <v>45132</v>
      </c>
      <c r="G165" s="53" t="s">
        <v>1455</v>
      </c>
      <c r="H165" s="53" t="s">
        <v>1508</v>
      </c>
      <c r="I165" s="53" t="s">
        <v>1146</v>
      </c>
      <c r="J165" s="53" t="s">
        <v>1779</v>
      </c>
      <c r="K165" s="53" t="s">
        <v>1409</v>
      </c>
      <c r="L165" s="53" t="s">
        <v>3</v>
      </c>
      <c r="M165" s="53" t="s">
        <v>2259</v>
      </c>
      <c r="N165" s="53" t="s">
        <v>3</v>
      </c>
      <c r="O165" s="53" t="s">
        <v>1468</v>
      </c>
      <c r="P165" s="53" t="s">
        <v>3</v>
      </c>
      <c r="Q165" s="53" t="s">
        <v>1404</v>
      </c>
      <c r="R165" s="53" t="s">
        <v>2260</v>
      </c>
      <c r="S165" s="53" t="s">
        <v>1142</v>
      </c>
      <c r="T165" s="53" t="s">
        <v>1143</v>
      </c>
      <c r="U165" s="53" t="s">
        <v>2261</v>
      </c>
      <c r="V165" s="53">
        <v>2</v>
      </c>
      <c r="W165" s="53" t="s">
        <v>2521</v>
      </c>
      <c r="X165" s="53">
        <v>0</v>
      </c>
      <c r="Y165" s="53" t="s">
        <v>1391</v>
      </c>
      <c r="Z165" s="53" t="s">
        <v>1419</v>
      </c>
      <c r="AA165" s="53" t="s">
        <v>2528</v>
      </c>
      <c r="AB165" s="53">
        <v>0</v>
      </c>
      <c r="AC165" s="53" t="s">
        <v>1391</v>
      </c>
      <c r="AD165" s="53" t="s">
        <v>2262</v>
      </c>
      <c r="AE165" s="53" t="s">
        <v>2263</v>
      </c>
      <c r="AF165" s="53" t="s">
        <v>1417</v>
      </c>
      <c r="AG165" s="53" t="s">
        <v>1423</v>
      </c>
      <c r="AH165" s="53" t="s">
        <v>1424</v>
      </c>
      <c r="AI165" s="53" t="s">
        <v>3</v>
      </c>
      <c r="AJ165" s="53">
        <v>0</v>
      </c>
      <c r="AK165" s="53" t="s">
        <v>3</v>
      </c>
      <c r="AL165" s="53" t="s">
        <v>1252</v>
      </c>
      <c r="AM165" s="53" t="s">
        <v>1253</v>
      </c>
      <c r="AN165" s="53" t="s">
        <v>3</v>
      </c>
      <c r="AO165" s="53">
        <v>0</v>
      </c>
      <c r="AP165" s="53" t="s">
        <v>3</v>
      </c>
      <c r="AQ165" s="53" t="s">
        <v>1252</v>
      </c>
      <c r="AR165" s="53" t="s">
        <v>1253</v>
      </c>
      <c r="AS165" s="53" t="s">
        <v>3</v>
      </c>
      <c r="AT165" s="53"/>
      <c r="AU165" s="53"/>
      <c r="AV165" s="53"/>
      <c r="AW165" s="53" t="s">
        <v>1761</v>
      </c>
    </row>
    <row r="166" spans="1:49" ht="30" customHeight="1" x14ac:dyDescent="0.3">
      <c r="A166" s="48" t="s">
        <v>1626</v>
      </c>
      <c r="B166" s="44" t="str">
        <f t="shared" si="4"/>
        <v>2</v>
      </c>
      <c r="C166" s="44" t="str">
        <f t="shared" si="5"/>
        <v>2</v>
      </c>
      <c r="D166" s="52" t="s">
        <v>2264</v>
      </c>
      <c r="E166" s="52" t="s">
        <v>2159</v>
      </c>
      <c r="F166" s="45">
        <v>44096</v>
      </c>
      <c r="G166" s="53" t="s">
        <v>1388</v>
      </c>
      <c r="H166" s="53" t="s">
        <v>1425</v>
      </c>
      <c r="I166" s="53" t="s">
        <v>1146</v>
      </c>
      <c r="J166" s="53" t="s">
        <v>1779</v>
      </c>
      <c r="K166" s="53" t="s">
        <v>1400</v>
      </c>
      <c r="L166" s="53" t="s">
        <v>3</v>
      </c>
      <c r="M166" s="53" t="s">
        <v>1411</v>
      </c>
      <c r="N166" s="53" t="s">
        <v>3</v>
      </c>
      <c r="O166" s="53" t="s">
        <v>3</v>
      </c>
      <c r="P166" s="53" t="s">
        <v>3</v>
      </c>
      <c r="Q166" s="53" t="s">
        <v>1401</v>
      </c>
      <c r="R166" s="53" t="s">
        <v>2148</v>
      </c>
      <c r="S166" s="53" t="s">
        <v>3</v>
      </c>
      <c r="T166" s="53" t="s">
        <v>3</v>
      </c>
      <c r="U166" s="53" t="s">
        <v>3</v>
      </c>
      <c r="V166" s="53">
        <v>1</v>
      </c>
      <c r="W166" s="53" t="s">
        <v>2521</v>
      </c>
      <c r="X166" s="53" t="s">
        <v>48</v>
      </c>
      <c r="Y166" s="53" t="s">
        <v>105</v>
      </c>
      <c r="Z166" s="53" t="s">
        <v>51</v>
      </c>
      <c r="AA166" s="53" t="s">
        <v>1384</v>
      </c>
      <c r="AB166" s="53">
        <v>0</v>
      </c>
      <c r="AC166" s="53" t="s">
        <v>1391</v>
      </c>
      <c r="AD166" s="53" t="s">
        <v>3</v>
      </c>
      <c r="AE166" s="53">
        <v>0</v>
      </c>
      <c r="AF166" s="53" t="s">
        <v>3</v>
      </c>
      <c r="AG166" s="53" t="s">
        <v>1252</v>
      </c>
      <c r="AH166" s="53" t="s">
        <v>1253</v>
      </c>
      <c r="AI166" s="53" t="s">
        <v>3</v>
      </c>
      <c r="AJ166" s="53">
        <v>0</v>
      </c>
      <c r="AK166" s="53" t="s">
        <v>3</v>
      </c>
      <c r="AL166" s="53" t="s">
        <v>1252</v>
      </c>
      <c r="AM166" s="53" t="s">
        <v>1253</v>
      </c>
      <c r="AN166" s="53" t="s">
        <v>3</v>
      </c>
      <c r="AO166" s="53">
        <v>0</v>
      </c>
      <c r="AP166" s="53" t="s">
        <v>3</v>
      </c>
      <c r="AQ166" s="53" t="s">
        <v>1252</v>
      </c>
      <c r="AR166" s="53" t="s">
        <v>1253</v>
      </c>
      <c r="AS166" s="53">
        <v>97</v>
      </c>
      <c r="AT166" s="53"/>
      <c r="AU166" s="53"/>
      <c r="AV166" s="53"/>
      <c r="AW166" s="53" t="s">
        <v>1761</v>
      </c>
    </row>
    <row r="167" spans="1:49" ht="30" customHeight="1" x14ac:dyDescent="0.3">
      <c r="A167" s="48" t="s">
        <v>1627</v>
      </c>
      <c r="B167" s="44" t="str">
        <f t="shared" si="4"/>
        <v>2</v>
      </c>
      <c r="C167" s="44" t="str">
        <f t="shared" si="5"/>
        <v>2</v>
      </c>
      <c r="D167" s="52" t="s">
        <v>2265</v>
      </c>
      <c r="E167" s="52" t="s">
        <v>1554</v>
      </c>
      <c r="F167" s="45">
        <v>43647</v>
      </c>
      <c r="G167" s="53" t="s">
        <v>1388</v>
      </c>
      <c r="H167" s="53" t="s">
        <v>1492</v>
      </c>
      <c r="I167" s="53" t="s">
        <v>1146</v>
      </c>
      <c r="J167" s="53" t="s">
        <v>1760</v>
      </c>
      <c r="K167" s="53" t="s">
        <v>1389</v>
      </c>
      <c r="L167" s="53" t="s">
        <v>3</v>
      </c>
      <c r="M167" s="53" t="s">
        <v>3</v>
      </c>
      <c r="N167" s="53" t="s">
        <v>3</v>
      </c>
      <c r="O167" s="53" t="s">
        <v>3</v>
      </c>
      <c r="P167" s="53" t="s">
        <v>3</v>
      </c>
      <c r="Q167" s="53" t="s">
        <v>3</v>
      </c>
      <c r="R167" s="53" t="s">
        <v>3</v>
      </c>
      <c r="S167" s="53" t="s">
        <v>3</v>
      </c>
      <c r="T167" s="53" t="s">
        <v>3</v>
      </c>
      <c r="U167" s="53" t="s">
        <v>3</v>
      </c>
      <c r="V167" s="53">
        <v>2</v>
      </c>
      <c r="W167" s="53" t="s">
        <v>2520</v>
      </c>
      <c r="X167" s="53" t="s">
        <v>48</v>
      </c>
      <c r="Y167" s="53" t="s">
        <v>105</v>
      </c>
      <c r="Z167" s="53" t="s">
        <v>51</v>
      </c>
      <c r="AA167" s="53" t="s">
        <v>1384</v>
      </c>
      <c r="AB167" s="53">
        <v>0</v>
      </c>
      <c r="AC167" s="53" t="s">
        <v>1391</v>
      </c>
      <c r="AD167" s="53" t="s">
        <v>3</v>
      </c>
      <c r="AE167" s="53">
        <v>0</v>
      </c>
      <c r="AF167" s="53" t="s">
        <v>3</v>
      </c>
      <c r="AG167" s="53" t="s">
        <v>1252</v>
      </c>
      <c r="AH167" s="53" t="s">
        <v>1253</v>
      </c>
      <c r="AI167" s="53" t="s">
        <v>3</v>
      </c>
      <c r="AJ167" s="53">
        <v>0</v>
      </c>
      <c r="AK167" s="53" t="s">
        <v>3</v>
      </c>
      <c r="AL167" s="53" t="s">
        <v>1252</v>
      </c>
      <c r="AM167" s="53" t="s">
        <v>1253</v>
      </c>
      <c r="AN167" s="53" t="s">
        <v>3</v>
      </c>
      <c r="AO167" s="53">
        <v>0</v>
      </c>
      <c r="AP167" s="53" t="s">
        <v>3</v>
      </c>
      <c r="AQ167" s="53" t="s">
        <v>1252</v>
      </c>
      <c r="AR167" s="53" t="s">
        <v>1253</v>
      </c>
      <c r="AS167" s="53" t="s">
        <v>3</v>
      </c>
      <c r="AT167" s="53"/>
      <c r="AU167" s="53"/>
      <c r="AV167" s="53"/>
      <c r="AW167" s="53" t="s">
        <v>1761</v>
      </c>
    </row>
    <row r="168" spans="1:49" ht="30" customHeight="1" x14ac:dyDescent="0.3">
      <c r="A168" s="48" t="s">
        <v>1628</v>
      </c>
      <c r="B168" s="44" t="str">
        <f t="shared" si="4"/>
        <v>2</v>
      </c>
      <c r="C168" s="44" t="str">
        <f t="shared" si="5"/>
        <v>2</v>
      </c>
      <c r="D168" s="52" t="s">
        <v>2266</v>
      </c>
      <c r="E168" s="52" t="s">
        <v>1971</v>
      </c>
      <c r="F168" s="45">
        <v>43537</v>
      </c>
      <c r="G168" s="53" t="s">
        <v>1388</v>
      </c>
      <c r="H168" s="53" t="s">
        <v>1425</v>
      </c>
      <c r="I168" s="53" t="s">
        <v>1146</v>
      </c>
      <c r="J168" s="53" t="s">
        <v>1760</v>
      </c>
      <c r="K168" s="53" t="s">
        <v>1394</v>
      </c>
      <c r="L168" s="53" t="s">
        <v>1476</v>
      </c>
      <c r="M168" s="53" t="s">
        <v>1774</v>
      </c>
      <c r="N168" s="53" t="s">
        <v>3</v>
      </c>
      <c r="O168" s="53" t="s">
        <v>3</v>
      </c>
      <c r="P168" s="53" t="s">
        <v>3</v>
      </c>
      <c r="Q168" s="53" t="s">
        <v>1401</v>
      </c>
      <c r="R168" s="53" t="s">
        <v>2267</v>
      </c>
      <c r="S168" s="53" t="s">
        <v>1142</v>
      </c>
      <c r="T168" s="53" t="s">
        <v>1143</v>
      </c>
      <c r="U168" s="53" t="s">
        <v>1963</v>
      </c>
      <c r="V168" s="53">
        <v>1</v>
      </c>
      <c r="W168" s="53" t="s">
        <v>2519</v>
      </c>
      <c r="X168" s="53" t="s">
        <v>86</v>
      </c>
      <c r="Y168" s="53" t="s">
        <v>152</v>
      </c>
      <c r="Z168" s="53" t="s">
        <v>1419</v>
      </c>
      <c r="AA168" s="53" t="s">
        <v>2528</v>
      </c>
      <c r="AB168" s="53">
        <v>0</v>
      </c>
      <c r="AC168" s="53" t="s">
        <v>1391</v>
      </c>
      <c r="AD168" s="53" t="s">
        <v>3</v>
      </c>
      <c r="AE168" s="53">
        <v>0</v>
      </c>
      <c r="AF168" s="53" t="s">
        <v>3</v>
      </c>
      <c r="AG168" s="53" t="s">
        <v>1252</v>
      </c>
      <c r="AH168" s="53" t="s">
        <v>1253</v>
      </c>
      <c r="AI168" s="53" t="s">
        <v>3</v>
      </c>
      <c r="AJ168" s="53">
        <v>0</v>
      </c>
      <c r="AK168" s="53" t="s">
        <v>3</v>
      </c>
      <c r="AL168" s="53" t="s">
        <v>1252</v>
      </c>
      <c r="AM168" s="53" t="s">
        <v>1253</v>
      </c>
      <c r="AN168" s="53" t="s">
        <v>3</v>
      </c>
      <c r="AO168" s="53">
        <v>0</v>
      </c>
      <c r="AP168" s="53" t="s">
        <v>3</v>
      </c>
      <c r="AQ168" s="53" t="s">
        <v>1252</v>
      </c>
      <c r="AR168" s="53" t="s">
        <v>1253</v>
      </c>
      <c r="AS168" s="53" t="s">
        <v>3</v>
      </c>
      <c r="AT168" s="53"/>
      <c r="AU168" s="53"/>
      <c r="AV168" s="53"/>
      <c r="AW168" s="53" t="s">
        <v>1761</v>
      </c>
    </row>
    <row r="169" spans="1:49" ht="30" customHeight="1" x14ac:dyDescent="0.3">
      <c r="A169" s="48" t="s">
        <v>1629</v>
      </c>
      <c r="B169" s="44" t="str">
        <f t="shared" si="4"/>
        <v>2</v>
      </c>
      <c r="C169" s="44" t="str">
        <f t="shared" si="5"/>
        <v>2</v>
      </c>
      <c r="D169" s="52" t="s">
        <v>2268</v>
      </c>
      <c r="E169" s="52" t="s">
        <v>1487</v>
      </c>
      <c r="F169" s="45">
        <v>44631</v>
      </c>
      <c r="G169" s="53" t="s">
        <v>1140</v>
      </c>
      <c r="H169" s="53" t="s">
        <v>1390</v>
      </c>
      <c r="I169" s="53" t="s">
        <v>1383</v>
      </c>
      <c r="J169" s="53" t="s">
        <v>1848</v>
      </c>
      <c r="K169" s="53" t="s">
        <v>2269</v>
      </c>
      <c r="L169" s="53" t="s">
        <v>2270</v>
      </c>
      <c r="M169" s="53" t="s">
        <v>2271</v>
      </c>
      <c r="N169" s="53" t="s">
        <v>1141</v>
      </c>
      <c r="O169" s="53" t="s">
        <v>2272</v>
      </c>
      <c r="P169" s="53" t="s">
        <v>3</v>
      </c>
      <c r="Q169" s="53" t="s">
        <v>2273</v>
      </c>
      <c r="R169" s="53" t="s">
        <v>2274</v>
      </c>
      <c r="S169" s="53" t="s">
        <v>3</v>
      </c>
      <c r="T169" s="53" t="s">
        <v>3</v>
      </c>
      <c r="U169" s="53" t="s">
        <v>2275</v>
      </c>
      <c r="V169" s="53">
        <v>2</v>
      </c>
      <c r="W169" s="53" t="s">
        <v>2522</v>
      </c>
      <c r="X169" s="53" t="s">
        <v>86</v>
      </c>
      <c r="Y169" s="53" t="s">
        <v>152</v>
      </c>
      <c r="Z169" s="53" t="s">
        <v>1419</v>
      </c>
      <c r="AA169" s="53" t="s">
        <v>2528</v>
      </c>
      <c r="AB169" s="53">
        <v>0</v>
      </c>
      <c r="AC169" s="53" t="s">
        <v>1391</v>
      </c>
      <c r="AD169" s="53" t="s">
        <v>3</v>
      </c>
      <c r="AE169" s="53">
        <v>0</v>
      </c>
      <c r="AF169" s="53" t="s">
        <v>3</v>
      </c>
      <c r="AG169" s="53" t="s">
        <v>1252</v>
      </c>
      <c r="AH169" s="53" t="s">
        <v>1253</v>
      </c>
      <c r="AI169" s="53" t="s">
        <v>3</v>
      </c>
      <c r="AJ169" s="53">
        <v>0</v>
      </c>
      <c r="AK169" s="53" t="s">
        <v>3</v>
      </c>
      <c r="AL169" s="53" t="s">
        <v>1252</v>
      </c>
      <c r="AM169" s="53" t="s">
        <v>1253</v>
      </c>
      <c r="AN169" s="53" t="s">
        <v>3</v>
      </c>
      <c r="AO169" s="53">
        <v>0</v>
      </c>
      <c r="AP169" s="53" t="s">
        <v>3</v>
      </c>
      <c r="AQ169" s="53" t="s">
        <v>1252</v>
      </c>
      <c r="AR169" s="53" t="s">
        <v>1253</v>
      </c>
      <c r="AS169" s="53" t="s">
        <v>3</v>
      </c>
      <c r="AT169" s="53"/>
      <c r="AU169" s="53"/>
      <c r="AV169" s="53"/>
      <c r="AW169" s="53" t="s">
        <v>1761</v>
      </c>
    </row>
    <row r="170" spans="1:49" ht="30" customHeight="1" x14ac:dyDescent="0.3">
      <c r="A170" s="48" t="s">
        <v>1630</v>
      </c>
      <c r="B170" s="44" t="str">
        <f t="shared" si="4"/>
        <v>2</v>
      </c>
      <c r="C170" s="44" t="str">
        <f t="shared" si="5"/>
        <v>2</v>
      </c>
      <c r="D170" s="52" t="s">
        <v>2276</v>
      </c>
      <c r="E170" s="52" t="s">
        <v>2235</v>
      </c>
      <c r="F170" s="45">
        <v>44005</v>
      </c>
      <c r="G170" s="53" t="s">
        <v>1140</v>
      </c>
      <c r="H170" s="53" t="s">
        <v>1546</v>
      </c>
      <c r="I170" s="53" t="s">
        <v>1146</v>
      </c>
      <c r="J170" s="53" t="s">
        <v>1779</v>
      </c>
      <c r="K170" s="53" t="s">
        <v>1394</v>
      </c>
      <c r="L170" s="53" t="s">
        <v>1476</v>
      </c>
      <c r="M170" s="53" t="s">
        <v>1463</v>
      </c>
      <c r="N170" s="53">
        <v>0</v>
      </c>
      <c r="O170" s="53">
        <v>0</v>
      </c>
      <c r="P170" s="53">
        <v>0</v>
      </c>
      <c r="Q170" s="53" t="s">
        <v>1466</v>
      </c>
      <c r="R170" s="53" t="s">
        <v>2277</v>
      </c>
      <c r="S170" s="53" t="s">
        <v>1469</v>
      </c>
      <c r="T170" s="53" t="s">
        <v>1143</v>
      </c>
      <c r="U170" s="53" t="s">
        <v>3</v>
      </c>
      <c r="V170" s="53">
        <v>1</v>
      </c>
      <c r="W170" s="53" t="s">
        <v>2519</v>
      </c>
      <c r="X170" s="53" t="s">
        <v>53</v>
      </c>
      <c r="Y170" s="53" t="s">
        <v>127</v>
      </c>
      <c r="Z170" s="53" t="s">
        <v>1419</v>
      </c>
      <c r="AA170" s="53" t="s">
        <v>2528</v>
      </c>
      <c r="AB170" s="53">
        <v>0</v>
      </c>
      <c r="AC170" s="53" t="s">
        <v>1391</v>
      </c>
      <c r="AD170" s="53" t="s">
        <v>3</v>
      </c>
      <c r="AE170" s="53">
        <v>0</v>
      </c>
      <c r="AF170" s="53" t="s">
        <v>3</v>
      </c>
      <c r="AG170" s="53" t="s">
        <v>1252</v>
      </c>
      <c r="AH170" s="53" t="s">
        <v>1253</v>
      </c>
      <c r="AI170" s="53" t="s">
        <v>3</v>
      </c>
      <c r="AJ170" s="53">
        <v>0</v>
      </c>
      <c r="AK170" s="53" t="s">
        <v>3</v>
      </c>
      <c r="AL170" s="53" t="s">
        <v>1252</v>
      </c>
      <c r="AM170" s="53" t="s">
        <v>1253</v>
      </c>
      <c r="AN170" s="53" t="s">
        <v>3</v>
      </c>
      <c r="AO170" s="53">
        <v>0</v>
      </c>
      <c r="AP170" s="53" t="s">
        <v>3</v>
      </c>
      <c r="AQ170" s="53" t="s">
        <v>1252</v>
      </c>
      <c r="AR170" s="53" t="s">
        <v>1253</v>
      </c>
      <c r="AS170" s="53" t="s">
        <v>3</v>
      </c>
      <c r="AT170" s="53"/>
      <c r="AU170" s="53"/>
      <c r="AV170" s="53"/>
      <c r="AW170" s="53" t="s">
        <v>1761</v>
      </c>
    </row>
    <row r="171" spans="1:49" ht="30" customHeight="1" x14ac:dyDescent="0.3">
      <c r="A171" s="48" t="s">
        <v>1631</v>
      </c>
      <c r="B171" s="44" t="str">
        <f t="shared" si="4"/>
        <v>2</v>
      </c>
      <c r="C171" s="44" t="str">
        <f t="shared" si="5"/>
        <v>2</v>
      </c>
      <c r="D171" s="52" t="s">
        <v>2278</v>
      </c>
      <c r="E171" s="52" t="s">
        <v>2279</v>
      </c>
      <c r="F171" s="45">
        <v>43703</v>
      </c>
      <c r="G171" s="53" t="s">
        <v>1140</v>
      </c>
      <c r="H171" s="53" t="s">
        <v>1173</v>
      </c>
      <c r="I171" s="53" t="s">
        <v>1146</v>
      </c>
      <c r="J171" s="53" t="s">
        <v>1779</v>
      </c>
      <c r="K171" s="53" t="s">
        <v>1405</v>
      </c>
      <c r="L171" s="53" t="s">
        <v>2280</v>
      </c>
      <c r="M171" s="53" t="s">
        <v>1477</v>
      </c>
      <c r="N171" s="53" t="s">
        <v>3</v>
      </c>
      <c r="O171" s="53" t="s">
        <v>2204</v>
      </c>
      <c r="P171" s="53" t="s">
        <v>1433</v>
      </c>
      <c r="Q171" s="53" t="s">
        <v>2281</v>
      </c>
      <c r="R171" s="53" t="s">
        <v>2282</v>
      </c>
      <c r="S171" s="53" t="s">
        <v>2283</v>
      </c>
      <c r="T171" s="53" t="s">
        <v>3</v>
      </c>
      <c r="U171" s="53" t="s">
        <v>1552</v>
      </c>
      <c r="V171" s="53">
        <v>1</v>
      </c>
      <c r="W171" s="53" t="s">
        <v>2519</v>
      </c>
      <c r="X171" s="53" t="s">
        <v>86</v>
      </c>
      <c r="Y171" s="53" t="s">
        <v>152</v>
      </c>
      <c r="Z171" s="53" t="s">
        <v>1419</v>
      </c>
      <c r="AA171" s="53" t="s">
        <v>2528</v>
      </c>
      <c r="AB171" s="53" t="s">
        <v>101</v>
      </c>
      <c r="AC171" s="53" t="s">
        <v>160</v>
      </c>
      <c r="AD171" s="53">
        <v>0</v>
      </c>
      <c r="AE171" s="53">
        <v>0</v>
      </c>
      <c r="AF171" s="53">
        <v>0</v>
      </c>
      <c r="AG171" s="53">
        <v>0</v>
      </c>
      <c r="AH171" s="53" t="e">
        <v>#N/A</v>
      </c>
      <c r="AI171" s="53" t="s">
        <v>3</v>
      </c>
      <c r="AJ171" s="53">
        <v>0</v>
      </c>
      <c r="AK171" s="53" t="s">
        <v>3</v>
      </c>
      <c r="AL171" s="53" t="s">
        <v>1252</v>
      </c>
      <c r="AM171" s="53" t="s">
        <v>1253</v>
      </c>
      <c r="AN171" s="53" t="s">
        <v>3</v>
      </c>
      <c r="AO171" s="53">
        <v>0</v>
      </c>
      <c r="AP171" s="53" t="s">
        <v>3</v>
      </c>
      <c r="AQ171" s="53" t="s">
        <v>1252</v>
      </c>
      <c r="AR171" s="53" t="s">
        <v>1253</v>
      </c>
      <c r="AS171" s="53" t="s">
        <v>3</v>
      </c>
      <c r="AT171" s="53"/>
      <c r="AU171" s="53"/>
      <c r="AV171" s="53"/>
      <c r="AW171" s="53" t="s">
        <v>1761</v>
      </c>
    </row>
    <row r="172" spans="1:49" ht="30" customHeight="1" x14ac:dyDescent="0.3">
      <c r="A172" s="48" t="s">
        <v>1632</v>
      </c>
      <c r="B172" s="44" t="str">
        <f t="shared" si="4"/>
        <v>2</v>
      </c>
      <c r="C172" s="44" t="str">
        <f t="shared" si="5"/>
        <v>2</v>
      </c>
      <c r="D172" s="52" t="s">
        <v>2284</v>
      </c>
      <c r="E172" s="52" t="s">
        <v>1491</v>
      </c>
      <c r="F172" s="45">
        <v>44748</v>
      </c>
      <c r="G172" s="53" t="s">
        <v>1412</v>
      </c>
      <c r="H172" s="53" t="s">
        <v>1480</v>
      </c>
      <c r="I172" s="53" t="s">
        <v>1146</v>
      </c>
      <c r="J172" s="53" t="s">
        <v>1451</v>
      </c>
      <c r="K172" s="53" t="s">
        <v>1446</v>
      </c>
      <c r="L172" s="53" t="s">
        <v>1431</v>
      </c>
      <c r="M172" s="53" t="s">
        <v>3</v>
      </c>
      <c r="N172" s="53" t="s">
        <v>1413</v>
      </c>
      <c r="O172" s="53" t="s">
        <v>3</v>
      </c>
      <c r="P172" s="53" t="s">
        <v>3</v>
      </c>
      <c r="Q172" s="53" t="s">
        <v>2285</v>
      </c>
      <c r="R172" s="53" t="s">
        <v>3</v>
      </c>
      <c r="S172" s="53" t="s">
        <v>2286</v>
      </c>
      <c r="T172" s="53" t="s">
        <v>3</v>
      </c>
      <c r="U172" s="53" t="s">
        <v>3</v>
      </c>
      <c r="V172" s="53">
        <v>1</v>
      </c>
      <c r="W172" s="53" t="s">
        <v>2521</v>
      </c>
      <c r="X172" s="53" t="s">
        <v>48</v>
      </c>
      <c r="Y172" s="53" t="s">
        <v>105</v>
      </c>
      <c r="Z172" s="53" t="s">
        <v>51</v>
      </c>
      <c r="AA172" s="53" t="s">
        <v>1384</v>
      </c>
      <c r="AB172" s="53" t="s">
        <v>95</v>
      </c>
      <c r="AC172" s="53" t="s">
        <v>124</v>
      </c>
      <c r="AD172" s="53" t="s">
        <v>2287</v>
      </c>
      <c r="AE172" s="53" t="s">
        <v>2288</v>
      </c>
      <c r="AF172" s="53" t="s">
        <v>1251</v>
      </c>
      <c r="AG172" s="53" t="s">
        <v>1458</v>
      </c>
      <c r="AH172" s="53" t="s">
        <v>1459</v>
      </c>
      <c r="AI172" s="53" t="s">
        <v>3</v>
      </c>
      <c r="AJ172" s="53">
        <v>0</v>
      </c>
      <c r="AK172" s="53" t="s">
        <v>3</v>
      </c>
      <c r="AL172" s="53" t="s">
        <v>1252</v>
      </c>
      <c r="AM172" s="53" t="s">
        <v>1253</v>
      </c>
      <c r="AN172" s="53" t="s">
        <v>3</v>
      </c>
      <c r="AO172" s="53">
        <v>0</v>
      </c>
      <c r="AP172" s="53" t="s">
        <v>3</v>
      </c>
      <c r="AQ172" s="53" t="s">
        <v>1252</v>
      </c>
      <c r="AR172" s="53" t="s">
        <v>1253</v>
      </c>
      <c r="AS172" s="53">
        <v>-60</v>
      </c>
      <c r="AT172" s="53"/>
      <c r="AU172" s="53"/>
      <c r="AV172" s="53"/>
      <c r="AW172" s="53" t="s">
        <v>1761</v>
      </c>
    </row>
    <row r="173" spans="1:49" ht="30" customHeight="1" x14ac:dyDescent="0.3">
      <c r="A173" s="48" t="s">
        <v>1633</v>
      </c>
      <c r="B173" s="44" t="str">
        <f t="shared" si="4"/>
        <v>2</v>
      </c>
      <c r="C173" s="44" t="str">
        <f t="shared" si="5"/>
        <v>2</v>
      </c>
      <c r="D173" s="52" t="s">
        <v>2289</v>
      </c>
      <c r="E173" s="52" t="s">
        <v>2290</v>
      </c>
      <c r="F173" s="45">
        <v>44905</v>
      </c>
      <c r="G173" s="53" t="s">
        <v>1388</v>
      </c>
      <c r="H173" s="53" t="s">
        <v>1442</v>
      </c>
      <c r="I173" s="53" t="s">
        <v>1146</v>
      </c>
      <c r="J173" s="53" t="s">
        <v>1779</v>
      </c>
      <c r="K173" s="53" t="s">
        <v>1389</v>
      </c>
      <c r="L173" s="53" t="s">
        <v>3</v>
      </c>
      <c r="M173" s="53" t="s">
        <v>3</v>
      </c>
      <c r="N173" s="53" t="s">
        <v>3</v>
      </c>
      <c r="O173" s="53" t="s">
        <v>3</v>
      </c>
      <c r="P173" s="53" t="s">
        <v>3</v>
      </c>
      <c r="Q173" s="53" t="s">
        <v>3</v>
      </c>
      <c r="R173" s="53" t="s">
        <v>3</v>
      </c>
      <c r="S173" s="53" t="s">
        <v>3</v>
      </c>
      <c r="T173" s="53" t="s">
        <v>3</v>
      </c>
      <c r="U173" s="53" t="s">
        <v>3</v>
      </c>
      <c r="V173" s="53">
        <v>1</v>
      </c>
      <c r="W173" s="53" t="s">
        <v>2518</v>
      </c>
      <c r="X173" s="53" t="s">
        <v>48</v>
      </c>
      <c r="Y173" s="53" t="s">
        <v>105</v>
      </c>
      <c r="Z173" s="53" t="s">
        <v>51</v>
      </c>
      <c r="AA173" s="53" t="s">
        <v>1384</v>
      </c>
      <c r="AB173" s="53" t="s">
        <v>95</v>
      </c>
      <c r="AC173" s="53" t="s">
        <v>124</v>
      </c>
      <c r="AD173" s="53" t="s">
        <v>3</v>
      </c>
      <c r="AE173" s="53">
        <v>0</v>
      </c>
      <c r="AF173" s="53" t="s">
        <v>3</v>
      </c>
      <c r="AG173" s="53" t="s">
        <v>1252</v>
      </c>
      <c r="AH173" s="53" t="s">
        <v>1253</v>
      </c>
      <c r="AI173" s="53" t="s">
        <v>3</v>
      </c>
      <c r="AJ173" s="53">
        <v>0</v>
      </c>
      <c r="AK173" s="53" t="s">
        <v>3</v>
      </c>
      <c r="AL173" s="53" t="s">
        <v>1252</v>
      </c>
      <c r="AM173" s="53" t="s">
        <v>1253</v>
      </c>
      <c r="AN173" s="53" t="s">
        <v>3</v>
      </c>
      <c r="AO173" s="53">
        <v>0</v>
      </c>
      <c r="AP173" s="53" t="s">
        <v>3</v>
      </c>
      <c r="AQ173" s="53" t="s">
        <v>1252</v>
      </c>
      <c r="AR173" s="53" t="s">
        <v>1253</v>
      </c>
      <c r="AS173" s="53" t="s">
        <v>3</v>
      </c>
      <c r="AT173" s="53"/>
      <c r="AU173" s="53"/>
      <c r="AV173" s="53"/>
      <c r="AW173" s="53" t="s">
        <v>1761</v>
      </c>
    </row>
    <row r="174" spans="1:49" ht="30" customHeight="1" x14ac:dyDescent="0.3">
      <c r="A174" s="48" t="s">
        <v>1634</v>
      </c>
      <c r="B174" s="44" t="str">
        <f t="shared" si="4"/>
        <v>2</v>
      </c>
      <c r="C174" s="44" t="str">
        <f t="shared" si="5"/>
        <v>2</v>
      </c>
      <c r="D174" s="52" t="s">
        <v>2291</v>
      </c>
      <c r="E174" s="52" t="s">
        <v>2290</v>
      </c>
      <c r="F174" s="45">
        <v>44905</v>
      </c>
      <c r="G174" s="53" t="s">
        <v>1388</v>
      </c>
      <c r="H174" s="53" t="s">
        <v>1390</v>
      </c>
      <c r="I174" s="53" t="s">
        <v>1146</v>
      </c>
      <c r="J174" s="53" t="s">
        <v>1779</v>
      </c>
      <c r="K174" s="53" t="s">
        <v>1389</v>
      </c>
      <c r="L174" s="53" t="s">
        <v>3</v>
      </c>
      <c r="M174" s="53" t="s">
        <v>3</v>
      </c>
      <c r="N174" s="53" t="s">
        <v>3</v>
      </c>
      <c r="O174" s="53" t="s">
        <v>3</v>
      </c>
      <c r="P174" s="53" t="s">
        <v>3</v>
      </c>
      <c r="Q174" s="53" t="s">
        <v>3</v>
      </c>
      <c r="R174" s="53" t="s">
        <v>3</v>
      </c>
      <c r="S174" s="53" t="s">
        <v>3</v>
      </c>
      <c r="T174" s="53" t="s">
        <v>3</v>
      </c>
      <c r="U174" s="53" t="s">
        <v>3</v>
      </c>
      <c r="V174" s="53">
        <v>1</v>
      </c>
      <c r="W174" s="53" t="s">
        <v>2520</v>
      </c>
      <c r="X174" s="53" t="s">
        <v>48</v>
      </c>
      <c r="Y174" s="53" t="s">
        <v>105</v>
      </c>
      <c r="Z174" s="53" t="s">
        <v>51</v>
      </c>
      <c r="AA174" s="53" t="s">
        <v>1384</v>
      </c>
      <c r="AB174" s="53" t="s">
        <v>95</v>
      </c>
      <c r="AC174" s="53" t="s">
        <v>124</v>
      </c>
      <c r="AD174" s="53" t="s">
        <v>3</v>
      </c>
      <c r="AE174" s="53">
        <v>0</v>
      </c>
      <c r="AF174" s="53" t="s">
        <v>3</v>
      </c>
      <c r="AG174" s="53" t="s">
        <v>1252</v>
      </c>
      <c r="AH174" s="53" t="s">
        <v>1253</v>
      </c>
      <c r="AI174" s="53" t="s">
        <v>3</v>
      </c>
      <c r="AJ174" s="53">
        <v>0</v>
      </c>
      <c r="AK174" s="53" t="s">
        <v>3</v>
      </c>
      <c r="AL174" s="53" t="s">
        <v>1252</v>
      </c>
      <c r="AM174" s="53" t="s">
        <v>1253</v>
      </c>
      <c r="AN174" s="53" t="s">
        <v>3</v>
      </c>
      <c r="AO174" s="53">
        <v>0</v>
      </c>
      <c r="AP174" s="53" t="s">
        <v>3</v>
      </c>
      <c r="AQ174" s="53" t="s">
        <v>1252</v>
      </c>
      <c r="AR174" s="53" t="s">
        <v>1253</v>
      </c>
      <c r="AS174" s="53" t="s">
        <v>3</v>
      </c>
      <c r="AT174" s="53"/>
      <c r="AU174" s="53"/>
      <c r="AV174" s="53"/>
      <c r="AW174" s="53" t="s">
        <v>1761</v>
      </c>
    </row>
    <row r="175" spans="1:49" ht="30" customHeight="1" x14ac:dyDescent="0.3">
      <c r="A175" s="48" t="s">
        <v>1635</v>
      </c>
      <c r="B175" s="44" t="str">
        <f t="shared" si="4"/>
        <v>2</v>
      </c>
      <c r="C175" s="44" t="str">
        <f t="shared" si="5"/>
        <v>2</v>
      </c>
      <c r="D175" s="52" t="s">
        <v>2292</v>
      </c>
      <c r="E175" s="52" t="s">
        <v>1759</v>
      </c>
      <c r="F175" s="45">
        <v>45638</v>
      </c>
      <c r="G175" s="53" t="s">
        <v>1388</v>
      </c>
      <c r="H175" s="53" t="s">
        <v>1550</v>
      </c>
      <c r="I175" s="53" t="s">
        <v>1146</v>
      </c>
      <c r="J175" s="53" t="s">
        <v>1779</v>
      </c>
      <c r="K175" s="53" t="s">
        <v>1389</v>
      </c>
      <c r="L175" s="53" t="s">
        <v>3</v>
      </c>
      <c r="M175" s="53" t="s">
        <v>3</v>
      </c>
      <c r="N175" s="53" t="s">
        <v>3</v>
      </c>
      <c r="O175" s="53" t="s">
        <v>3</v>
      </c>
      <c r="P175" s="53" t="s">
        <v>3</v>
      </c>
      <c r="Q175" s="53" t="s">
        <v>3</v>
      </c>
      <c r="R175" s="53" t="s">
        <v>3</v>
      </c>
      <c r="S175" s="53" t="s">
        <v>3</v>
      </c>
      <c r="T175" s="53" t="s">
        <v>3</v>
      </c>
      <c r="U175" s="53" t="s">
        <v>3</v>
      </c>
      <c r="V175" s="53">
        <v>1</v>
      </c>
      <c r="W175" s="53" t="s">
        <v>2518</v>
      </c>
      <c r="X175" s="53" t="s">
        <v>86</v>
      </c>
      <c r="Y175" s="53" t="s">
        <v>152</v>
      </c>
      <c r="Z175" s="53" t="s">
        <v>51</v>
      </c>
      <c r="AA175" s="53" t="s">
        <v>1384</v>
      </c>
      <c r="AB175" s="53" t="s">
        <v>96</v>
      </c>
      <c r="AC175" s="53" t="s">
        <v>148</v>
      </c>
      <c r="AD175" s="53" t="s">
        <v>1420</v>
      </c>
      <c r="AE175" s="53" t="s">
        <v>2293</v>
      </c>
      <c r="AF175" s="53" t="s">
        <v>1417</v>
      </c>
      <c r="AG175" s="53" t="s">
        <v>1423</v>
      </c>
      <c r="AH175" s="53" t="s">
        <v>1424</v>
      </c>
      <c r="AI175" s="53" t="s">
        <v>3</v>
      </c>
      <c r="AJ175" s="53">
        <v>0</v>
      </c>
      <c r="AK175" s="53" t="s">
        <v>3</v>
      </c>
      <c r="AL175" s="53" t="s">
        <v>1252</v>
      </c>
      <c r="AM175" s="53" t="s">
        <v>1253</v>
      </c>
      <c r="AN175" s="53" t="s">
        <v>3</v>
      </c>
      <c r="AO175" s="53">
        <v>0</v>
      </c>
      <c r="AP175" s="53" t="s">
        <v>3</v>
      </c>
      <c r="AQ175" s="53" t="s">
        <v>1252</v>
      </c>
      <c r="AR175" s="53" t="s">
        <v>1253</v>
      </c>
      <c r="AS175" s="53" t="s">
        <v>3</v>
      </c>
      <c r="AT175" s="53"/>
      <c r="AU175" s="53"/>
      <c r="AV175" s="53"/>
      <c r="AW175" s="53" t="s">
        <v>1761</v>
      </c>
    </row>
    <row r="176" spans="1:49" ht="30" customHeight="1" x14ac:dyDescent="0.3">
      <c r="A176" s="48" t="s">
        <v>1636</v>
      </c>
      <c r="B176" s="44" t="str">
        <f t="shared" si="4"/>
        <v>2</v>
      </c>
      <c r="C176" s="44" t="str">
        <f t="shared" si="5"/>
        <v>2</v>
      </c>
      <c r="D176" s="52" t="s">
        <v>2294</v>
      </c>
      <c r="E176" s="52" t="s">
        <v>1876</v>
      </c>
      <c r="F176" s="45">
        <v>44420</v>
      </c>
      <c r="G176" s="53" t="s">
        <v>1388</v>
      </c>
      <c r="H176" s="53" t="s">
        <v>1457</v>
      </c>
      <c r="I176" s="53" t="s">
        <v>1146</v>
      </c>
      <c r="J176" s="53" t="s">
        <v>1848</v>
      </c>
      <c r="K176" s="53" t="s">
        <v>1389</v>
      </c>
      <c r="L176" s="53" t="s">
        <v>3</v>
      </c>
      <c r="M176" s="53" t="s">
        <v>3</v>
      </c>
      <c r="N176" s="53" t="s">
        <v>3</v>
      </c>
      <c r="O176" s="53" t="s">
        <v>3</v>
      </c>
      <c r="P176" s="53" t="s">
        <v>3</v>
      </c>
      <c r="Q176" s="53" t="s">
        <v>3</v>
      </c>
      <c r="R176" s="53" t="s">
        <v>3</v>
      </c>
      <c r="S176" s="53" t="s">
        <v>3</v>
      </c>
      <c r="T176" s="53" t="s">
        <v>3</v>
      </c>
      <c r="U176" s="53" t="s">
        <v>3</v>
      </c>
      <c r="V176" s="53">
        <v>1</v>
      </c>
      <c r="W176" s="53" t="s">
        <v>2518</v>
      </c>
      <c r="X176" s="53" t="s">
        <v>48</v>
      </c>
      <c r="Y176" s="53" t="s">
        <v>105</v>
      </c>
      <c r="Z176" s="53" t="s">
        <v>51</v>
      </c>
      <c r="AA176" s="53" t="s">
        <v>1384</v>
      </c>
      <c r="AB176" s="53" t="s">
        <v>96</v>
      </c>
      <c r="AC176" s="53" t="s">
        <v>148</v>
      </c>
      <c r="AD176" s="53" t="s">
        <v>3</v>
      </c>
      <c r="AE176" s="53">
        <v>0</v>
      </c>
      <c r="AF176" s="53" t="s">
        <v>3</v>
      </c>
      <c r="AG176" s="53" t="s">
        <v>1252</v>
      </c>
      <c r="AH176" s="53" t="s">
        <v>1253</v>
      </c>
      <c r="AI176" s="53" t="s">
        <v>3</v>
      </c>
      <c r="AJ176" s="53">
        <v>0</v>
      </c>
      <c r="AK176" s="53" t="s">
        <v>3</v>
      </c>
      <c r="AL176" s="53" t="s">
        <v>1252</v>
      </c>
      <c r="AM176" s="53" t="s">
        <v>1253</v>
      </c>
      <c r="AN176" s="53" t="s">
        <v>3</v>
      </c>
      <c r="AO176" s="53">
        <v>0</v>
      </c>
      <c r="AP176" s="53" t="s">
        <v>3</v>
      </c>
      <c r="AQ176" s="53" t="s">
        <v>1252</v>
      </c>
      <c r="AR176" s="53" t="s">
        <v>1253</v>
      </c>
      <c r="AS176" s="53" t="s">
        <v>3</v>
      </c>
      <c r="AT176" s="53"/>
      <c r="AU176" s="53"/>
      <c r="AV176" s="53"/>
      <c r="AW176" s="53" t="s">
        <v>1761</v>
      </c>
    </row>
    <row r="177" spans="1:49" ht="30" customHeight="1" x14ac:dyDescent="0.3">
      <c r="A177" s="48" t="s">
        <v>1637</v>
      </c>
      <c r="B177" s="44" t="str">
        <f t="shared" si="4"/>
        <v>2</v>
      </c>
      <c r="C177" s="44" t="str">
        <f t="shared" si="5"/>
        <v>2</v>
      </c>
      <c r="D177" s="52" t="s">
        <v>2295</v>
      </c>
      <c r="E177" s="52" t="s">
        <v>2296</v>
      </c>
      <c r="F177" s="45">
        <v>43136</v>
      </c>
      <c r="G177" s="53" t="s">
        <v>1388</v>
      </c>
      <c r="H177" s="53" t="s">
        <v>1546</v>
      </c>
      <c r="I177" s="53" t="s">
        <v>1383</v>
      </c>
      <c r="J177" s="53" t="s">
        <v>1848</v>
      </c>
      <c r="K177" s="53" t="s">
        <v>1394</v>
      </c>
      <c r="L177" s="53" t="s">
        <v>1476</v>
      </c>
      <c r="M177" s="53" t="s">
        <v>1947</v>
      </c>
      <c r="N177" s="53" t="s">
        <v>3</v>
      </c>
      <c r="O177" s="53" t="s">
        <v>3</v>
      </c>
      <c r="P177" s="53" t="s">
        <v>3</v>
      </c>
      <c r="Q177" s="53" t="s">
        <v>1396</v>
      </c>
      <c r="R177" s="53" t="s">
        <v>2297</v>
      </c>
      <c r="S177" s="53" t="s">
        <v>1469</v>
      </c>
      <c r="T177" s="53" t="s">
        <v>3</v>
      </c>
      <c r="U177" s="53" t="s">
        <v>1949</v>
      </c>
      <c r="V177" s="53">
        <v>1</v>
      </c>
      <c r="W177" s="53" t="s">
        <v>2522</v>
      </c>
      <c r="X177" s="53" t="s">
        <v>48</v>
      </c>
      <c r="Y177" s="53" t="s">
        <v>105</v>
      </c>
      <c r="Z177" s="53" t="s">
        <v>51</v>
      </c>
      <c r="AA177" s="53" t="s">
        <v>1384</v>
      </c>
      <c r="AB177" s="53" t="s">
        <v>96</v>
      </c>
      <c r="AC177" s="53" t="s">
        <v>148</v>
      </c>
      <c r="AD177" s="53" t="s">
        <v>3</v>
      </c>
      <c r="AE177" s="53">
        <v>0</v>
      </c>
      <c r="AF177" s="53" t="s">
        <v>3</v>
      </c>
      <c r="AG177" s="53" t="s">
        <v>1252</v>
      </c>
      <c r="AH177" s="53" t="s">
        <v>1253</v>
      </c>
      <c r="AI177" s="53" t="s">
        <v>3</v>
      </c>
      <c r="AJ177" s="53">
        <v>0</v>
      </c>
      <c r="AK177" s="53" t="s">
        <v>3</v>
      </c>
      <c r="AL177" s="53" t="s">
        <v>1252</v>
      </c>
      <c r="AM177" s="53" t="s">
        <v>1253</v>
      </c>
      <c r="AN177" s="53" t="s">
        <v>3</v>
      </c>
      <c r="AO177" s="53">
        <v>0</v>
      </c>
      <c r="AP177" s="53" t="s">
        <v>3</v>
      </c>
      <c r="AQ177" s="53" t="s">
        <v>1252</v>
      </c>
      <c r="AR177" s="53" t="s">
        <v>1253</v>
      </c>
      <c r="AS177" s="53" t="s">
        <v>3</v>
      </c>
      <c r="AT177" s="53"/>
      <c r="AU177" s="53"/>
      <c r="AV177" s="53"/>
      <c r="AW177" s="53" t="s">
        <v>1761</v>
      </c>
    </row>
    <row r="178" spans="1:49" ht="30" customHeight="1" x14ac:dyDescent="0.3">
      <c r="A178" s="48" t="s">
        <v>1638</v>
      </c>
      <c r="B178" s="44" t="str">
        <f t="shared" si="4"/>
        <v>2</v>
      </c>
      <c r="C178" s="44" t="str">
        <f t="shared" si="5"/>
        <v>2</v>
      </c>
      <c r="D178" s="52" t="s">
        <v>2298</v>
      </c>
      <c r="E178" s="52" t="s">
        <v>1487</v>
      </c>
      <c r="F178" s="45">
        <v>45482</v>
      </c>
      <c r="G178" s="53" t="s">
        <v>1388</v>
      </c>
      <c r="H178" s="53" t="s">
        <v>1425</v>
      </c>
      <c r="I178" s="53" t="s">
        <v>1146</v>
      </c>
      <c r="J178" s="53" t="s">
        <v>1848</v>
      </c>
      <c r="K178" s="53" t="s">
        <v>1512</v>
      </c>
      <c r="L178" s="53" t="s">
        <v>1476</v>
      </c>
      <c r="M178" s="53" t="s">
        <v>1501</v>
      </c>
      <c r="N178" s="53" t="s">
        <v>1141</v>
      </c>
      <c r="O178" s="53" t="s">
        <v>3</v>
      </c>
      <c r="P178" s="53" t="s">
        <v>3</v>
      </c>
      <c r="Q178" s="53" t="s">
        <v>1439</v>
      </c>
      <c r="R178" s="53" t="s">
        <v>1548</v>
      </c>
      <c r="S178" s="53" t="s">
        <v>3</v>
      </c>
      <c r="T178" s="53" t="s">
        <v>3</v>
      </c>
      <c r="U178" s="53" t="s">
        <v>2299</v>
      </c>
      <c r="V178" s="53">
        <v>3</v>
      </c>
      <c r="W178" s="53" t="s">
        <v>2522</v>
      </c>
      <c r="X178" s="53" t="s">
        <v>48</v>
      </c>
      <c r="Y178" s="53" t="s">
        <v>105</v>
      </c>
      <c r="Z178" s="53" t="s">
        <v>51</v>
      </c>
      <c r="AA178" s="53" t="s">
        <v>1384</v>
      </c>
      <c r="AB178" s="53" t="s">
        <v>95</v>
      </c>
      <c r="AC178" s="53" t="s">
        <v>124</v>
      </c>
      <c r="AD178" s="53" t="s">
        <v>3</v>
      </c>
      <c r="AE178" s="53">
        <v>0</v>
      </c>
      <c r="AF178" s="53" t="s">
        <v>3</v>
      </c>
      <c r="AG178" s="53" t="s">
        <v>1252</v>
      </c>
      <c r="AH178" s="53" t="s">
        <v>1253</v>
      </c>
      <c r="AI178" s="53" t="s">
        <v>3</v>
      </c>
      <c r="AJ178" s="53">
        <v>0</v>
      </c>
      <c r="AK178" s="53" t="s">
        <v>3</v>
      </c>
      <c r="AL178" s="53" t="s">
        <v>1252</v>
      </c>
      <c r="AM178" s="53" t="s">
        <v>1253</v>
      </c>
      <c r="AN178" s="53" t="s">
        <v>3</v>
      </c>
      <c r="AO178" s="53">
        <v>0</v>
      </c>
      <c r="AP178" s="53" t="s">
        <v>3</v>
      </c>
      <c r="AQ178" s="53" t="s">
        <v>1252</v>
      </c>
      <c r="AR178" s="53" t="s">
        <v>1253</v>
      </c>
      <c r="AS178" s="53">
        <v>0</v>
      </c>
      <c r="AT178" s="53"/>
      <c r="AU178" s="53"/>
      <c r="AV178" s="53"/>
      <c r="AW178" s="53" t="s">
        <v>1761</v>
      </c>
    </row>
    <row r="179" spans="1:49" ht="30" customHeight="1" x14ac:dyDescent="0.3">
      <c r="A179" s="48" t="s">
        <v>1639</v>
      </c>
      <c r="B179" s="44" t="str">
        <f t="shared" si="4"/>
        <v>2</v>
      </c>
      <c r="C179" s="44" t="str">
        <f t="shared" si="5"/>
        <v>2</v>
      </c>
      <c r="D179" s="52" t="s">
        <v>2300</v>
      </c>
      <c r="E179" s="52" t="s">
        <v>1487</v>
      </c>
      <c r="F179" s="45">
        <v>44657</v>
      </c>
      <c r="G179" s="53" t="s">
        <v>1388</v>
      </c>
      <c r="H179" s="53" t="s">
        <v>1425</v>
      </c>
      <c r="I179" s="53" t="s">
        <v>1146</v>
      </c>
      <c r="J179" s="53" t="s">
        <v>1848</v>
      </c>
      <c r="K179" s="53" t="s">
        <v>2301</v>
      </c>
      <c r="L179" s="53" t="s">
        <v>3</v>
      </c>
      <c r="M179" s="53" t="s">
        <v>3</v>
      </c>
      <c r="N179" s="53" t="s">
        <v>1393</v>
      </c>
      <c r="O179" s="53" t="s">
        <v>3</v>
      </c>
      <c r="P179" s="53" t="s">
        <v>3</v>
      </c>
      <c r="Q179" s="53" t="s">
        <v>1439</v>
      </c>
      <c r="R179" s="53" t="s">
        <v>1397</v>
      </c>
      <c r="S179" s="53" t="s">
        <v>3</v>
      </c>
      <c r="T179" s="53" t="s">
        <v>1143</v>
      </c>
      <c r="U179" s="53" t="s">
        <v>1977</v>
      </c>
      <c r="V179" s="53">
        <v>3</v>
      </c>
      <c r="W179" s="53" t="s">
        <v>2522</v>
      </c>
      <c r="X179" s="53" t="s">
        <v>48</v>
      </c>
      <c r="Y179" s="53" t="s">
        <v>105</v>
      </c>
      <c r="Z179" s="53" t="s">
        <v>51</v>
      </c>
      <c r="AA179" s="53" t="s">
        <v>1384</v>
      </c>
      <c r="AB179" s="53" t="s">
        <v>95</v>
      </c>
      <c r="AC179" s="53" t="s">
        <v>124</v>
      </c>
      <c r="AD179" s="53" t="s">
        <v>3</v>
      </c>
      <c r="AE179" s="53">
        <v>0</v>
      </c>
      <c r="AF179" s="53" t="s">
        <v>3</v>
      </c>
      <c r="AG179" s="53" t="s">
        <v>1252</v>
      </c>
      <c r="AH179" s="53" t="s">
        <v>1253</v>
      </c>
      <c r="AI179" s="53" t="s">
        <v>3</v>
      </c>
      <c r="AJ179" s="53">
        <v>0</v>
      </c>
      <c r="AK179" s="53" t="s">
        <v>3</v>
      </c>
      <c r="AL179" s="53" t="s">
        <v>1252</v>
      </c>
      <c r="AM179" s="53" t="s">
        <v>1253</v>
      </c>
      <c r="AN179" s="53" t="s">
        <v>3</v>
      </c>
      <c r="AO179" s="53">
        <v>0</v>
      </c>
      <c r="AP179" s="53" t="s">
        <v>3</v>
      </c>
      <c r="AQ179" s="53" t="s">
        <v>1252</v>
      </c>
      <c r="AR179" s="53" t="s">
        <v>1253</v>
      </c>
      <c r="AS179" s="53" t="s">
        <v>3</v>
      </c>
      <c r="AT179" s="53"/>
      <c r="AU179" s="53"/>
      <c r="AV179" s="53"/>
      <c r="AW179" s="53" t="s">
        <v>1761</v>
      </c>
    </row>
    <row r="180" spans="1:49" ht="30" customHeight="1" x14ac:dyDescent="0.3">
      <c r="A180" s="48" t="s">
        <v>1640</v>
      </c>
      <c r="B180" s="44" t="str">
        <f t="shared" si="4"/>
        <v>2</v>
      </c>
      <c r="C180" s="44" t="str">
        <f t="shared" si="5"/>
        <v>2</v>
      </c>
      <c r="D180" s="52" t="s">
        <v>2302</v>
      </c>
      <c r="E180" s="52" t="s">
        <v>1487</v>
      </c>
      <c r="F180" s="45">
        <v>44685</v>
      </c>
      <c r="G180" s="53" t="s">
        <v>1388</v>
      </c>
      <c r="H180" s="53" t="s">
        <v>1425</v>
      </c>
      <c r="I180" s="53" t="s">
        <v>1146</v>
      </c>
      <c r="J180" s="53" t="s">
        <v>1848</v>
      </c>
      <c r="K180" s="53" t="s">
        <v>1524</v>
      </c>
      <c r="L180" s="53" t="s">
        <v>1476</v>
      </c>
      <c r="M180" s="53" t="s">
        <v>1477</v>
      </c>
      <c r="N180" s="53" t="s">
        <v>1141</v>
      </c>
      <c r="O180" s="53" t="s">
        <v>3</v>
      </c>
      <c r="P180" s="53" t="s">
        <v>3</v>
      </c>
      <c r="Q180" s="53" t="s">
        <v>1414</v>
      </c>
      <c r="R180" s="53" t="s">
        <v>1475</v>
      </c>
      <c r="S180" s="53" t="s">
        <v>3</v>
      </c>
      <c r="T180" s="53" t="s">
        <v>3</v>
      </c>
      <c r="U180" s="53" t="s">
        <v>1977</v>
      </c>
      <c r="V180" s="53">
        <v>3</v>
      </c>
      <c r="W180" s="53" t="s">
        <v>2522</v>
      </c>
      <c r="X180" s="53" t="s">
        <v>53</v>
      </c>
      <c r="Y180" s="53" t="s">
        <v>127</v>
      </c>
      <c r="Z180" s="53" t="s">
        <v>84</v>
      </c>
      <c r="AA180" s="53" t="s">
        <v>147</v>
      </c>
      <c r="AB180" s="53" t="s">
        <v>95</v>
      </c>
      <c r="AC180" s="53" t="s">
        <v>124</v>
      </c>
      <c r="AD180" s="53" t="s">
        <v>3</v>
      </c>
      <c r="AE180" s="53">
        <v>0</v>
      </c>
      <c r="AF180" s="53" t="s">
        <v>3</v>
      </c>
      <c r="AG180" s="53" t="s">
        <v>1252</v>
      </c>
      <c r="AH180" s="53" t="s">
        <v>1253</v>
      </c>
      <c r="AI180" s="53" t="s">
        <v>3</v>
      </c>
      <c r="AJ180" s="53">
        <v>0</v>
      </c>
      <c r="AK180" s="53" t="s">
        <v>3</v>
      </c>
      <c r="AL180" s="53" t="s">
        <v>1252</v>
      </c>
      <c r="AM180" s="53" t="s">
        <v>1253</v>
      </c>
      <c r="AN180" s="53" t="s">
        <v>3</v>
      </c>
      <c r="AO180" s="53">
        <v>0</v>
      </c>
      <c r="AP180" s="53" t="s">
        <v>3</v>
      </c>
      <c r="AQ180" s="53" t="s">
        <v>1252</v>
      </c>
      <c r="AR180" s="53" t="s">
        <v>1253</v>
      </c>
      <c r="AS180" s="53" t="s">
        <v>3</v>
      </c>
      <c r="AT180" s="53"/>
      <c r="AU180" s="53"/>
      <c r="AV180" s="53"/>
      <c r="AW180" s="53" t="s">
        <v>1761</v>
      </c>
    </row>
    <row r="181" spans="1:49" ht="30" customHeight="1" x14ac:dyDescent="0.3">
      <c r="A181" s="48" t="s">
        <v>1641</v>
      </c>
      <c r="B181" s="44" t="str">
        <f t="shared" si="4"/>
        <v>2</v>
      </c>
      <c r="C181" s="44" t="str">
        <f t="shared" si="5"/>
        <v>2</v>
      </c>
      <c r="D181" s="52" t="s">
        <v>2303</v>
      </c>
      <c r="E181" s="52" t="s">
        <v>1487</v>
      </c>
      <c r="F181" s="45">
        <v>44531</v>
      </c>
      <c r="G181" s="53" t="s">
        <v>1388</v>
      </c>
      <c r="H181" s="53" t="s">
        <v>1462</v>
      </c>
      <c r="I181" s="53" t="s">
        <v>1146</v>
      </c>
      <c r="J181" s="53" t="s">
        <v>1848</v>
      </c>
      <c r="K181" s="53" t="s">
        <v>1389</v>
      </c>
      <c r="L181" s="53" t="s">
        <v>3</v>
      </c>
      <c r="M181" s="53" t="s">
        <v>3</v>
      </c>
      <c r="N181" s="53" t="s">
        <v>3</v>
      </c>
      <c r="O181" s="53" t="s">
        <v>3</v>
      </c>
      <c r="P181" s="53" t="s">
        <v>3</v>
      </c>
      <c r="Q181" s="53" t="s">
        <v>3</v>
      </c>
      <c r="R181" s="53" t="s">
        <v>3</v>
      </c>
      <c r="S181" s="53" t="s">
        <v>3</v>
      </c>
      <c r="T181" s="53" t="s">
        <v>3</v>
      </c>
      <c r="U181" s="53" t="s">
        <v>3</v>
      </c>
      <c r="V181" s="53" t="s">
        <v>1231</v>
      </c>
      <c r="W181" s="53" t="s">
        <v>2518</v>
      </c>
      <c r="X181" s="53" t="s">
        <v>48</v>
      </c>
      <c r="Y181" s="53" t="s">
        <v>105</v>
      </c>
      <c r="Z181" s="53" t="s">
        <v>51</v>
      </c>
      <c r="AA181" s="53" t="s">
        <v>1384</v>
      </c>
      <c r="AB181" s="53" t="s">
        <v>95</v>
      </c>
      <c r="AC181" s="53" t="s">
        <v>124</v>
      </c>
      <c r="AD181" s="53" t="s">
        <v>3</v>
      </c>
      <c r="AE181" s="53">
        <v>0</v>
      </c>
      <c r="AF181" s="53" t="s">
        <v>3</v>
      </c>
      <c r="AG181" s="53" t="s">
        <v>1252</v>
      </c>
      <c r="AH181" s="53" t="s">
        <v>1253</v>
      </c>
      <c r="AI181" s="53" t="s">
        <v>3</v>
      </c>
      <c r="AJ181" s="53">
        <v>0</v>
      </c>
      <c r="AK181" s="53" t="s">
        <v>3</v>
      </c>
      <c r="AL181" s="53" t="s">
        <v>1252</v>
      </c>
      <c r="AM181" s="53" t="s">
        <v>1253</v>
      </c>
      <c r="AN181" s="53" t="s">
        <v>3</v>
      </c>
      <c r="AO181" s="53">
        <v>0</v>
      </c>
      <c r="AP181" s="53" t="s">
        <v>3</v>
      </c>
      <c r="AQ181" s="53" t="s">
        <v>1252</v>
      </c>
      <c r="AR181" s="53" t="s">
        <v>1253</v>
      </c>
      <c r="AS181" s="53" t="s">
        <v>3</v>
      </c>
      <c r="AT181" s="53"/>
      <c r="AU181" s="53"/>
      <c r="AV181" s="53"/>
      <c r="AW181" s="53" t="s">
        <v>1761</v>
      </c>
    </row>
    <row r="182" spans="1:49" ht="30" customHeight="1" x14ac:dyDescent="0.3">
      <c r="A182" s="48" t="s">
        <v>1642</v>
      </c>
      <c r="B182" s="44" t="str">
        <f t="shared" si="4"/>
        <v>2</v>
      </c>
      <c r="C182" s="44" t="str">
        <f t="shared" si="5"/>
        <v>2</v>
      </c>
      <c r="D182" s="52" t="s">
        <v>2304</v>
      </c>
      <c r="E182" s="52" t="s">
        <v>1487</v>
      </c>
      <c r="F182" s="45">
        <v>44411</v>
      </c>
      <c r="G182" s="53" t="s">
        <v>1388</v>
      </c>
      <c r="H182" s="53" t="s">
        <v>1915</v>
      </c>
      <c r="I182" s="53" t="s">
        <v>1146</v>
      </c>
      <c r="J182" s="53" t="s">
        <v>1848</v>
      </c>
      <c r="K182" s="53" t="s">
        <v>1426</v>
      </c>
      <c r="L182" s="53" t="s">
        <v>1427</v>
      </c>
      <c r="M182" s="53" t="s">
        <v>1428</v>
      </c>
      <c r="N182" s="53" t="s">
        <v>3</v>
      </c>
      <c r="O182" s="53" t="s">
        <v>3</v>
      </c>
      <c r="P182" s="53" t="s">
        <v>3</v>
      </c>
      <c r="Q182" s="53" t="s">
        <v>1553</v>
      </c>
      <c r="R182" s="53" t="s">
        <v>1430</v>
      </c>
      <c r="S182" s="53" t="s">
        <v>1448</v>
      </c>
      <c r="T182" s="53" t="s">
        <v>3</v>
      </c>
      <c r="U182" s="53" t="s">
        <v>1479</v>
      </c>
      <c r="V182" s="53">
        <v>1</v>
      </c>
      <c r="W182" s="53" t="s">
        <v>2522</v>
      </c>
      <c r="X182" s="53" t="s">
        <v>48</v>
      </c>
      <c r="Y182" s="53" t="s">
        <v>105</v>
      </c>
      <c r="Z182" s="53" t="s">
        <v>51</v>
      </c>
      <c r="AA182" s="53" t="s">
        <v>1384</v>
      </c>
      <c r="AB182" s="53" t="s">
        <v>95</v>
      </c>
      <c r="AC182" s="53" t="s">
        <v>124</v>
      </c>
      <c r="AD182" s="53" t="s">
        <v>3</v>
      </c>
      <c r="AE182" s="53">
        <v>0</v>
      </c>
      <c r="AF182" s="53" t="s">
        <v>3</v>
      </c>
      <c r="AG182" s="53" t="s">
        <v>1252</v>
      </c>
      <c r="AH182" s="53" t="s">
        <v>1253</v>
      </c>
      <c r="AI182" s="53" t="s">
        <v>3</v>
      </c>
      <c r="AJ182" s="53">
        <v>0</v>
      </c>
      <c r="AK182" s="53" t="s">
        <v>3</v>
      </c>
      <c r="AL182" s="53" t="s">
        <v>1252</v>
      </c>
      <c r="AM182" s="53" t="s">
        <v>1253</v>
      </c>
      <c r="AN182" s="53" t="s">
        <v>3</v>
      </c>
      <c r="AO182" s="53">
        <v>0</v>
      </c>
      <c r="AP182" s="53" t="s">
        <v>3</v>
      </c>
      <c r="AQ182" s="53" t="s">
        <v>1252</v>
      </c>
      <c r="AR182" s="53" t="s">
        <v>1253</v>
      </c>
      <c r="AS182" s="53">
        <v>13</v>
      </c>
      <c r="AT182" s="53"/>
      <c r="AU182" s="53"/>
      <c r="AV182" s="53"/>
      <c r="AW182" s="53" t="s">
        <v>1761</v>
      </c>
    </row>
    <row r="183" spans="1:49" ht="30" customHeight="1" x14ac:dyDescent="0.3">
      <c r="A183" s="48" t="s">
        <v>1643</v>
      </c>
      <c r="B183" s="44" t="str">
        <f t="shared" si="4"/>
        <v>2</v>
      </c>
      <c r="C183" s="44" t="str">
        <f t="shared" si="5"/>
        <v>2</v>
      </c>
      <c r="D183" s="52" t="s">
        <v>2305</v>
      </c>
      <c r="E183" s="52" t="s">
        <v>2235</v>
      </c>
      <c r="F183" s="45">
        <v>45260</v>
      </c>
      <c r="G183" s="53" t="s">
        <v>1388</v>
      </c>
      <c r="H183" s="53" t="s">
        <v>1492</v>
      </c>
      <c r="I183" s="53" t="s">
        <v>1146</v>
      </c>
      <c r="J183" s="53" t="s">
        <v>2306</v>
      </c>
      <c r="K183" s="53" t="s">
        <v>2307</v>
      </c>
      <c r="L183" s="53" t="s">
        <v>1476</v>
      </c>
      <c r="M183" s="53" t="s">
        <v>2308</v>
      </c>
      <c r="N183" s="53" t="s">
        <v>3</v>
      </c>
      <c r="O183" s="53" t="s">
        <v>3</v>
      </c>
      <c r="P183" s="53" t="s">
        <v>3</v>
      </c>
      <c r="Q183" s="53" t="s">
        <v>1410</v>
      </c>
      <c r="R183" s="53" t="s">
        <v>2309</v>
      </c>
      <c r="S183" s="53" t="s">
        <v>3</v>
      </c>
      <c r="T183" s="53" t="s">
        <v>1143</v>
      </c>
      <c r="U183" s="53" t="s">
        <v>2310</v>
      </c>
      <c r="V183" s="53">
        <v>2</v>
      </c>
      <c r="W183" s="53" t="s">
        <v>2519</v>
      </c>
      <c r="X183" s="53" t="s">
        <v>86</v>
      </c>
      <c r="Y183" s="53" t="s">
        <v>152</v>
      </c>
      <c r="Z183" s="53" t="s">
        <v>1419</v>
      </c>
      <c r="AA183" s="53" t="s">
        <v>2528</v>
      </c>
      <c r="AB183" s="53" t="s">
        <v>96</v>
      </c>
      <c r="AC183" s="53" t="s">
        <v>148</v>
      </c>
      <c r="AD183" s="53" t="s">
        <v>2311</v>
      </c>
      <c r="AE183" s="53" t="s">
        <v>2312</v>
      </c>
      <c r="AF183" s="53" t="s">
        <v>1251</v>
      </c>
      <c r="AG183" s="53" t="s">
        <v>1859</v>
      </c>
      <c r="AH183" s="53" t="s">
        <v>1860</v>
      </c>
      <c r="AI183" s="53" t="s">
        <v>3</v>
      </c>
      <c r="AJ183" s="53">
        <v>0</v>
      </c>
      <c r="AK183" s="53" t="s">
        <v>3</v>
      </c>
      <c r="AL183" s="53" t="s">
        <v>1252</v>
      </c>
      <c r="AM183" s="53" t="s">
        <v>1253</v>
      </c>
      <c r="AN183" s="53" t="s">
        <v>3</v>
      </c>
      <c r="AO183" s="53">
        <v>0</v>
      </c>
      <c r="AP183" s="53" t="s">
        <v>3</v>
      </c>
      <c r="AQ183" s="53" t="s">
        <v>1252</v>
      </c>
      <c r="AR183" s="53" t="s">
        <v>1253</v>
      </c>
      <c r="AS183" s="53" t="s">
        <v>3</v>
      </c>
      <c r="AT183" s="53"/>
      <c r="AU183" s="53"/>
      <c r="AV183" s="53"/>
      <c r="AW183" s="53" t="s">
        <v>1761</v>
      </c>
    </row>
    <row r="184" spans="1:49" ht="30" customHeight="1" x14ac:dyDescent="0.3">
      <c r="A184" s="48" t="s">
        <v>1644</v>
      </c>
      <c r="B184" s="44" t="str">
        <f t="shared" si="4"/>
        <v>2</v>
      </c>
      <c r="C184" s="44" t="str">
        <f t="shared" si="5"/>
        <v>2</v>
      </c>
      <c r="D184" s="52" t="s">
        <v>2313</v>
      </c>
      <c r="E184" s="52" t="s">
        <v>2235</v>
      </c>
      <c r="F184" s="45">
        <v>44932</v>
      </c>
      <c r="G184" s="53" t="s">
        <v>1140</v>
      </c>
      <c r="H184" s="53" t="s">
        <v>1492</v>
      </c>
      <c r="I184" s="53" t="s">
        <v>1146</v>
      </c>
      <c r="J184" s="53" t="s">
        <v>2306</v>
      </c>
      <c r="K184" s="53" t="s">
        <v>1400</v>
      </c>
      <c r="L184" s="53" t="s">
        <v>3</v>
      </c>
      <c r="M184" s="53" t="s">
        <v>2314</v>
      </c>
      <c r="N184" s="53" t="s">
        <v>3</v>
      </c>
      <c r="O184" s="53" t="s">
        <v>3</v>
      </c>
      <c r="P184" s="53" t="s">
        <v>3</v>
      </c>
      <c r="Q184" s="53" t="s">
        <v>1404</v>
      </c>
      <c r="R184" s="53" t="s">
        <v>3</v>
      </c>
      <c r="S184" s="53" t="s">
        <v>1469</v>
      </c>
      <c r="T184" s="53" t="s">
        <v>3</v>
      </c>
      <c r="U184" s="53" t="s">
        <v>3</v>
      </c>
      <c r="V184" s="53">
        <v>1</v>
      </c>
      <c r="W184" s="53" t="s">
        <v>2521</v>
      </c>
      <c r="X184" s="53" t="s">
        <v>48</v>
      </c>
      <c r="Y184" s="53" t="s">
        <v>105</v>
      </c>
      <c r="Z184" s="53" t="s">
        <v>51</v>
      </c>
      <c r="AA184" s="53" t="s">
        <v>1384</v>
      </c>
      <c r="AB184" s="53" t="s">
        <v>95</v>
      </c>
      <c r="AC184" s="53" t="s">
        <v>124</v>
      </c>
      <c r="AD184" s="53" t="s">
        <v>3</v>
      </c>
      <c r="AE184" s="53">
        <v>0</v>
      </c>
      <c r="AF184" s="53" t="s">
        <v>3</v>
      </c>
      <c r="AG184" s="53" t="s">
        <v>1252</v>
      </c>
      <c r="AH184" s="53" t="s">
        <v>1253</v>
      </c>
      <c r="AI184" s="53" t="s">
        <v>3</v>
      </c>
      <c r="AJ184" s="53">
        <v>0</v>
      </c>
      <c r="AK184" s="53" t="s">
        <v>3</v>
      </c>
      <c r="AL184" s="53" t="s">
        <v>1252</v>
      </c>
      <c r="AM184" s="53" t="s">
        <v>1253</v>
      </c>
      <c r="AN184" s="53" t="s">
        <v>3</v>
      </c>
      <c r="AO184" s="53">
        <v>0</v>
      </c>
      <c r="AP184" s="53" t="s">
        <v>3</v>
      </c>
      <c r="AQ184" s="53" t="s">
        <v>1252</v>
      </c>
      <c r="AR184" s="53" t="s">
        <v>1253</v>
      </c>
      <c r="AS184" s="53" t="s">
        <v>3</v>
      </c>
      <c r="AT184" s="53"/>
      <c r="AU184" s="53"/>
      <c r="AV184" s="53"/>
      <c r="AW184" s="53" t="s">
        <v>1761</v>
      </c>
    </row>
    <row r="185" spans="1:49" ht="30" customHeight="1" x14ac:dyDescent="0.3">
      <c r="A185" s="48" t="s">
        <v>1645</v>
      </c>
      <c r="B185" s="44" t="str">
        <f t="shared" si="4"/>
        <v>2</v>
      </c>
      <c r="C185" s="44" t="str">
        <f t="shared" si="5"/>
        <v>2</v>
      </c>
      <c r="D185" s="52" t="s">
        <v>2315</v>
      </c>
      <c r="E185" s="52" t="s">
        <v>2066</v>
      </c>
      <c r="F185" s="45">
        <v>45265</v>
      </c>
      <c r="G185" s="53" t="s">
        <v>1388</v>
      </c>
      <c r="H185" s="53" t="s">
        <v>1506</v>
      </c>
      <c r="I185" s="53" t="s">
        <v>1146</v>
      </c>
      <c r="J185" s="53" t="s">
        <v>1760</v>
      </c>
      <c r="K185" s="53" t="s">
        <v>1394</v>
      </c>
      <c r="L185" s="53" t="s">
        <v>1476</v>
      </c>
      <c r="M185" s="53" t="s">
        <v>1843</v>
      </c>
      <c r="N185" s="53" t="s">
        <v>3</v>
      </c>
      <c r="O185" s="53" t="s">
        <v>3</v>
      </c>
      <c r="P185" s="53" t="s">
        <v>3</v>
      </c>
      <c r="Q185" s="53" t="s">
        <v>1542</v>
      </c>
      <c r="R185" s="53" t="s">
        <v>1478</v>
      </c>
      <c r="S185" s="53" t="s">
        <v>1503</v>
      </c>
      <c r="T185" s="53" t="s">
        <v>3</v>
      </c>
      <c r="U185" s="53" t="s">
        <v>2316</v>
      </c>
      <c r="V185" s="53">
        <v>1</v>
      </c>
      <c r="W185" s="53" t="s">
        <v>2521</v>
      </c>
      <c r="X185" s="53" t="s">
        <v>53</v>
      </c>
      <c r="Y185" s="53" t="s">
        <v>127</v>
      </c>
      <c r="Z185" s="53" t="s">
        <v>51</v>
      </c>
      <c r="AA185" s="53" t="s">
        <v>1384</v>
      </c>
      <c r="AB185" s="53" t="s">
        <v>96</v>
      </c>
      <c r="AC185" s="53" t="s">
        <v>148</v>
      </c>
      <c r="AD185" s="53" t="s">
        <v>3</v>
      </c>
      <c r="AE185" s="53">
        <v>0</v>
      </c>
      <c r="AF185" s="53" t="s">
        <v>3</v>
      </c>
      <c r="AG185" s="53" t="s">
        <v>1252</v>
      </c>
      <c r="AH185" s="53" t="s">
        <v>1253</v>
      </c>
      <c r="AI185" s="53" t="s">
        <v>3</v>
      </c>
      <c r="AJ185" s="53">
        <v>0</v>
      </c>
      <c r="AK185" s="53" t="s">
        <v>3</v>
      </c>
      <c r="AL185" s="53" t="s">
        <v>1252</v>
      </c>
      <c r="AM185" s="53" t="s">
        <v>1253</v>
      </c>
      <c r="AN185" s="53" t="s">
        <v>3</v>
      </c>
      <c r="AO185" s="53">
        <v>0</v>
      </c>
      <c r="AP185" s="53" t="s">
        <v>3</v>
      </c>
      <c r="AQ185" s="53" t="s">
        <v>1252</v>
      </c>
      <c r="AR185" s="53" t="s">
        <v>1253</v>
      </c>
      <c r="AS185" s="53" t="s">
        <v>3</v>
      </c>
      <c r="AT185" s="53"/>
      <c r="AU185" s="53"/>
      <c r="AV185" s="53"/>
      <c r="AW185" s="53" t="s">
        <v>1761</v>
      </c>
    </row>
    <row r="186" spans="1:49" ht="30" customHeight="1" x14ac:dyDescent="0.3">
      <c r="A186" s="48" t="s">
        <v>1646</v>
      </c>
      <c r="B186" s="44" t="str">
        <f t="shared" si="4"/>
        <v>2</v>
      </c>
      <c r="C186" s="44" t="str">
        <f t="shared" si="5"/>
        <v>2</v>
      </c>
      <c r="D186" s="52" t="s">
        <v>2317</v>
      </c>
      <c r="E186" s="52" t="s">
        <v>2318</v>
      </c>
      <c r="F186" s="45">
        <v>42949</v>
      </c>
      <c r="G186" s="53" t="s">
        <v>1388</v>
      </c>
      <c r="H186" s="53" t="s">
        <v>1425</v>
      </c>
      <c r="I186" s="53" t="s">
        <v>1146</v>
      </c>
      <c r="J186" s="53" t="s">
        <v>1848</v>
      </c>
      <c r="K186" s="53" t="s">
        <v>2319</v>
      </c>
      <c r="L186" s="53" t="s">
        <v>3</v>
      </c>
      <c r="M186" s="53" t="s">
        <v>2320</v>
      </c>
      <c r="N186" s="53" t="s">
        <v>3</v>
      </c>
      <c r="O186" s="53" t="s">
        <v>3</v>
      </c>
      <c r="P186" s="53" t="s">
        <v>3</v>
      </c>
      <c r="Q186" s="53" t="s">
        <v>3</v>
      </c>
      <c r="R186" s="53" t="s">
        <v>2321</v>
      </c>
      <c r="S186" s="53" t="s">
        <v>1142</v>
      </c>
      <c r="T186" s="53" t="s">
        <v>1143</v>
      </c>
      <c r="U186" s="53" t="s">
        <v>3</v>
      </c>
      <c r="V186" s="53">
        <v>1</v>
      </c>
      <c r="W186" s="53" t="s">
        <v>2522</v>
      </c>
      <c r="X186" s="53" t="s">
        <v>53</v>
      </c>
      <c r="Y186" s="53" t="s">
        <v>127</v>
      </c>
      <c r="Z186" s="53" t="s">
        <v>84</v>
      </c>
      <c r="AA186" s="53" t="s">
        <v>147</v>
      </c>
      <c r="AB186" s="53" t="s">
        <v>95</v>
      </c>
      <c r="AC186" s="53" t="s">
        <v>124</v>
      </c>
      <c r="AD186" s="53" t="s">
        <v>3</v>
      </c>
      <c r="AE186" s="53">
        <v>0</v>
      </c>
      <c r="AF186" s="53" t="s">
        <v>3</v>
      </c>
      <c r="AG186" s="53" t="s">
        <v>1252</v>
      </c>
      <c r="AH186" s="53" t="s">
        <v>1253</v>
      </c>
      <c r="AI186" s="53" t="s">
        <v>3</v>
      </c>
      <c r="AJ186" s="53">
        <v>0</v>
      </c>
      <c r="AK186" s="53" t="s">
        <v>3</v>
      </c>
      <c r="AL186" s="53" t="s">
        <v>1252</v>
      </c>
      <c r="AM186" s="53" t="s">
        <v>1253</v>
      </c>
      <c r="AN186" s="53" t="s">
        <v>3</v>
      </c>
      <c r="AO186" s="53">
        <v>0</v>
      </c>
      <c r="AP186" s="53" t="s">
        <v>3</v>
      </c>
      <c r="AQ186" s="53" t="s">
        <v>1252</v>
      </c>
      <c r="AR186" s="53" t="s">
        <v>1253</v>
      </c>
      <c r="AS186" s="53" t="s">
        <v>3</v>
      </c>
      <c r="AT186" s="53"/>
      <c r="AU186" s="53"/>
      <c r="AV186" s="53"/>
      <c r="AW186" s="53" t="s">
        <v>1761</v>
      </c>
    </row>
    <row r="187" spans="1:49" ht="30" customHeight="1" x14ac:dyDescent="0.3">
      <c r="A187" s="48" t="s">
        <v>1647</v>
      </c>
      <c r="B187" s="44" t="str">
        <f t="shared" si="4"/>
        <v>2</v>
      </c>
      <c r="C187" s="44" t="str">
        <f t="shared" si="5"/>
        <v>2</v>
      </c>
      <c r="D187" s="52" t="s">
        <v>2322</v>
      </c>
      <c r="E187" s="52" t="s">
        <v>2318</v>
      </c>
      <c r="F187" s="45">
        <v>44251</v>
      </c>
      <c r="G187" s="53" t="s">
        <v>1388</v>
      </c>
      <c r="H187" s="53" t="s">
        <v>1425</v>
      </c>
      <c r="I187" s="53" t="s">
        <v>1146</v>
      </c>
      <c r="J187" s="53" t="s">
        <v>1848</v>
      </c>
      <c r="K187" s="53" t="s">
        <v>1405</v>
      </c>
      <c r="L187" s="53" t="s">
        <v>1476</v>
      </c>
      <c r="M187" s="53" t="s">
        <v>1525</v>
      </c>
      <c r="N187" s="53" t="s">
        <v>3</v>
      </c>
      <c r="O187" s="53" t="s">
        <v>3</v>
      </c>
      <c r="P187" s="53" t="s">
        <v>3</v>
      </c>
      <c r="Q187" s="53" t="s">
        <v>1404</v>
      </c>
      <c r="R187" s="53" t="s">
        <v>1478</v>
      </c>
      <c r="S187" s="53" t="s">
        <v>3</v>
      </c>
      <c r="T187" s="53" t="s">
        <v>1143</v>
      </c>
      <c r="U187" s="53" t="s">
        <v>3</v>
      </c>
      <c r="V187" s="53">
        <v>1</v>
      </c>
      <c r="W187" s="53" t="s">
        <v>2522</v>
      </c>
      <c r="X187" s="53" t="s">
        <v>53</v>
      </c>
      <c r="Y187" s="53" t="s">
        <v>127</v>
      </c>
      <c r="Z187" s="53" t="s">
        <v>1419</v>
      </c>
      <c r="AA187" s="53" t="s">
        <v>2528</v>
      </c>
      <c r="AB187" s="53" t="s">
        <v>95</v>
      </c>
      <c r="AC187" s="53" t="s">
        <v>124</v>
      </c>
      <c r="AD187" s="53" t="s">
        <v>3</v>
      </c>
      <c r="AE187" s="53">
        <v>0</v>
      </c>
      <c r="AF187" s="53" t="s">
        <v>3</v>
      </c>
      <c r="AG187" s="53" t="s">
        <v>1252</v>
      </c>
      <c r="AH187" s="53" t="s">
        <v>1253</v>
      </c>
      <c r="AI187" s="53" t="s">
        <v>3</v>
      </c>
      <c r="AJ187" s="53">
        <v>0</v>
      </c>
      <c r="AK187" s="53" t="s">
        <v>3</v>
      </c>
      <c r="AL187" s="53" t="s">
        <v>1252</v>
      </c>
      <c r="AM187" s="53" t="s">
        <v>1253</v>
      </c>
      <c r="AN187" s="53" t="s">
        <v>3</v>
      </c>
      <c r="AO187" s="53">
        <v>0</v>
      </c>
      <c r="AP187" s="53" t="s">
        <v>3</v>
      </c>
      <c r="AQ187" s="53" t="s">
        <v>1252</v>
      </c>
      <c r="AR187" s="53" t="s">
        <v>1253</v>
      </c>
      <c r="AS187" s="53" t="s">
        <v>3</v>
      </c>
      <c r="AT187" s="53"/>
      <c r="AU187" s="53"/>
      <c r="AV187" s="53"/>
      <c r="AW187" s="53" t="s">
        <v>1761</v>
      </c>
    </row>
    <row r="188" spans="1:49" ht="30" customHeight="1" x14ac:dyDescent="0.3">
      <c r="A188" s="48" t="s">
        <v>1648</v>
      </c>
      <c r="B188" s="44" t="str">
        <f t="shared" si="4"/>
        <v>2</v>
      </c>
      <c r="C188" s="44" t="str">
        <f t="shared" si="5"/>
        <v>2</v>
      </c>
      <c r="D188" s="52" t="s">
        <v>2323</v>
      </c>
      <c r="E188" s="52" t="s">
        <v>2318</v>
      </c>
      <c r="F188" s="45">
        <v>45526</v>
      </c>
      <c r="G188" s="53" t="s">
        <v>1455</v>
      </c>
      <c r="H188" s="53" t="s">
        <v>1390</v>
      </c>
      <c r="I188" s="53" t="s">
        <v>1383</v>
      </c>
      <c r="J188" s="53" t="s">
        <v>1848</v>
      </c>
      <c r="K188" s="53" t="s">
        <v>1400</v>
      </c>
      <c r="L188" s="53" t="s">
        <v>3</v>
      </c>
      <c r="M188" s="53" t="s">
        <v>1428</v>
      </c>
      <c r="N188" s="53" t="s">
        <v>3</v>
      </c>
      <c r="O188" s="53" t="s">
        <v>3</v>
      </c>
      <c r="P188" s="53" t="s">
        <v>3</v>
      </c>
      <c r="Q188" s="53" t="s">
        <v>1401</v>
      </c>
      <c r="R188" s="53" t="s">
        <v>2324</v>
      </c>
      <c r="S188" s="53" t="s">
        <v>3</v>
      </c>
      <c r="T188" s="53" t="s">
        <v>3</v>
      </c>
      <c r="U188" s="53" t="s">
        <v>3</v>
      </c>
      <c r="V188" s="53">
        <v>1</v>
      </c>
      <c r="W188" s="53" t="s">
        <v>2522</v>
      </c>
      <c r="X188" s="53" t="s">
        <v>48</v>
      </c>
      <c r="Y188" s="53" t="s">
        <v>105</v>
      </c>
      <c r="Z188" s="53" t="s">
        <v>51</v>
      </c>
      <c r="AA188" s="53" t="s">
        <v>1384</v>
      </c>
      <c r="AB188" s="53" t="s">
        <v>95</v>
      </c>
      <c r="AC188" s="53" t="s">
        <v>124</v>
      </c>
      <c r="AD188" s="53" t="s">
        <v>3</v>
      </c>
      <c r="AE188" s="53">
        <v>0</v>
      </c>
      <c r="AF188" s="53" t="s">
        <v>3</v>
      </c>
      <c r="AG188" s="53" t="s">
        <v>1252</v>
      </c>
      <c r="AH188" s="53" t="s">
        <v>1253</v>
      </c>
      <c r="AI188" s="53" t="s">
        <v>3</v>
      </c>
      <c r="AJ188" s="53">
        <v>0</v>
      </c>
      <c r="AK188" s="53" t="s">
        <v>3</v>
      </c>
      <c r="AL188" s="53" t="s">
        <v>1252</v>
      </c>
      <c r="AM188" s="53" t="s">
        <v>1253</v>
      </c>
      <c r="AN188" s="53" t="s">
        <v>3</v>
      </c>
      <c r="AO188" s="53">
        <v>0</v>
      </c>
      <c r="AP188" s="53" t="s">
        <v>3</v>
      </c>
      <c r="AQ188" s="53" t="s">
        <v>1252</v>
      </c>
      <c r="AR188" s="53" t="s">
        <v>1253</v>
      </c>
      <c r="AS188" s="53" t="s">
        <v>3</v>
      </c>
      <c r="AT188" s="53"/>
      <c r="AU188" s="53"/>
      <c r="AV188" s="53"/>
      <c r="AW188" s="53" t="s">
        <v>1761</v>
      </c>
    </row>
    <row r="189" spans="1:49" ht="30" customHeight="1" x14ac:dyDescent="0.3">
      <c r="A189" s="48" t="s">
        <v>1649</v>
      </c>
      <c r="B189" s="44" t="str">
        <f t="shared" si="4"/>
        <v>2</v>
      </c>
      <c r="C189" s="44" t="str">
        <f t="shared" si="5"/>
        <v>2</v>
      </c>
      <c r="D189" s="52" t="s">
        <v>2325</v>
      </c>
      <c r="E189" s="52" t="s">
        <v>1828</v>
      </c>
      <c r="F189" s="45">
        <v>45408</v>
      </c>
      <c r="G189" s="53" t="s">
        <v>1388</v>
      </c>
      <c r="H189" s="53" t="s">
        <v>1550</v>
      </c>
      <c r="I189" s="53" t="s">
        <v>1146</v>
      </c>
      <c r="J189" s="53" t="s">
        <v>1779</v>
      </c>
      <c r="K189" s="53" t="s">
        <v>1795</v>
      </c>
      <c r="L189" s="53" t="s">
        <v>3</v>
      </c>
      <c r="M189" s="53" t="s">
        <v>2326</v>
      </c>
      <c r="N189" s="53" t="s">
        <v>1141</v>
      </c>
      <c r="O189" s="53" t="s">
        <v>3</v>
      </c>
      <c r="P189" s="53" t="s">
        <v>3</v>
      </c>
      <c r="Q189" s="53" t="s">
        <v>1523</v>
      </c>
      <c r="R189" s="53" t="s">
        <v>2327</v>
      </c>
      <c r="S189" s="53" t="s">
        <v>1142</v>
      </c>
      <c r="T189" s="53" t="s">
        <v>1143</v>
      </c>
      <c r="U189" s="53" t="s">
        <v>2328</v>
      </c>
      <c r="V189" s="53">
        <v>3</v>
      </c>
      <c r="W189" s="53" t="s">
        <v>2519</v>
      </c>
      <c r="X189" s="53" t="s">
        <v>1385</v>
      </c>
      <c r="Y189" s="53" t="s">
        <v>1799</v>
      </c>
      <c r="Z189" s="53" t="s">
        <v>1419</v>
      </c>
      <c r="AA189" s="53" t="s">
        <v>2528</v>
      </c>
      <c r="AB189" s="53" t="s">
        <v>95</v>
      </c>
      <c r="AC189" s="53" t="s">
        <v>124</v>
      </c>
      <c r="AD189" s="53" t="s">
        <v>2329</v>
      </c>
      <c r="AE189" s="53" t="s">
        <v>2330</v>
      </c>
      <c r="AF189" s="53" t="s">
        <v>1417</v>
      </c>
      <c r="AG189" s="53" t="s">
        <v>1398</v>
      </c>
      <c r="AH189" s="53" t="s">
        <v>1399</v>
      </c>
      <c r="AI189" s="53" t="s">
        <v>2329</v>
      </c>
      <c r="AJ189" s="53" t="s">
        <v>2330</v>
      </c>
      <c r="AK189" s="53" t="s">
        <v>1417</v>
      </c>
      <c r="AL189" s="53" t="s">
        <v>1449</v>
      </c>
      <c r="AM189" s="53" t="s">
        <v>1450</v>
      </c>
      <c r="AN189" s="53" t="s">
        <v>2329</v>
      </c>
      <c r="AO189" s="53" t="s">
        <v>2331</v>
      </c>
      <c r="AP189" s="53" t="s">
        <v>1417</v>
      </c>
      <c r="AQ189" s="53" t="s">
        <v>1482</v>
      </c>
      <c r="AR189" s="53" t="s">
        <v>1483</v>
      </c>
      <c r="AS189" s="53" t="s">
        <v>3</v>
      </c>
      <c r="AT189" s="53"/>
      <c r="AU189" s="53"/>
      <c r="AV189" s="53"/>
      <c r="AW189" s="53" t="s">
        <v>1761</v>
      </c>
    </row>
    <row r="190" spans="1:49" ht="30" customHeight="1" x14ac:dyDescent="0.3">
      <c r="A190" s="48" t="s">
        <v>1650</v>
      </c>
      <c r="B190" s="44" t="str">
        <f t="shared" si="4"/>
        <v>2</v>
      </c>
      <c r="C190" s="44" t="str">
        <f t="shared" si="5"/>
        <v>2</v>
      </c>
      <c r="D190" s="52" t="s">
        <v>2332</v>
      </c>
      <c r="E190" s="52" t="s">
        <v>2333</v>
      </c>
      <c r="F190" s="45">
        <v>44896</v>
      </c>
      <c r="G190" s="53" t="s">
        <v>1388</v>
      </c>
      <c r="H190" s="53" t="s">
        <v>1456</v>
      </c>
      <c r="I190" s="53" t="s">
        <v>1146</v>
      </c>
      <c r="J190" s="53" t="s">
        <v>1532</v>
      </c>
      <c r="K190" s="53" t="s">
        <v>1447</v>
      </c>
      <c r="L190" s="53" t="s">
        <v>1403</v>
      </c>
      <c r="M190" s="53" t="s">
        <v>2334</v>
      </c>
      <c r="N190" s="53" t="s">
        <v>3</v>
      </c>
      <c r="O190" s="53" t="s">
        <v>1528</v>
      </c>
      <c r="P190" s="53" t="s">
        <v>3</v>
      </c>
      <c r="Q190" s="53" t="s">
        <v>2019</v>
      </c>
      <c r="R190" s="53" t="s">
        <v>2335</v>
      </c>
      <c r="S190" s="53" t="s">
        <v>1857</v>
      </c>
      <c r="T190" s="53" t="s">
        <v>1143</v>
      </c>
      <c r="U190" s="53" t="s">
        <v>2336</v>
      </c>
      <c r="V190" s="53">
        <v>1</v>
      </c>
      <c r="W190" s="53" t="s">
        <v>2521</v>
      </c>
      <c r="X190" s="53" t="s">
        <v>48</v>
      </c>
      <c r="Y190" s="53" t="s">
        <v>105</v>
      </c>
      <c r="Z190" s="53" t="s">
        <v>51</v>
      </c>
      <c r="AA190" s="53" t="s">
        <v>1384</v>
      </c>
      <c r="AB190" s="53" t="s">
        <v>95</v>
      </c>
      <c r="AC190" s="53" t="s">
        <v>124</v>
      </c>
      <c r="AD190" s="53" t="s">
        <v>3</v>
      </c>
      <c r="AE190" s="53">
        <v>0</v>
      </c>
      <c r="AF190" s="53" t="s">
        <v>3</v>
      </c>
      <c r="AG190" s="53" t="s">
        <v>1252</v>
      </c>
      <c r="AH190" s="53" t="s">
        <v>1253</v>
      </c>
      <c r="AI190" s="53" t="s">
        <v>3</v>
      </c>
      <c r="AJ190" s="53">
        <v>0</v>
      </c>
      <c r="AK190" s="53" t="s">
        <v>3</v>
      </c>
      <c r="AL190" s="53" t="s">
        <v>1252</v>
      </c>
      <c r="AM190" s="53" t="s">
        <v>1253</v>
      </c>
      <c r="AN190" s="53" t="s">
        <v>3</v>
      </c>
      <c r="AO190" s="53">
        <v>0</v>
      </c>
      <c r="AP190" s="53" t="s">
        <v>3</v>
      </c>
      <c r="AQ190" s="53" t="s">
        <v>1252</v>
      </c>
      <c r="AR190" s="53" t="s">
        <v>1253</v>
      </c>
      <c r="AS190" s="53">
        <v>38</v>
      </c>
      <c r="AT190" s="53"/>
      <c r="AU190" s="53"/>
      <c r="AV190" s="53"/>
      <c r="AW190" s="53" t="s">
        <v>1761</v>
      </c>
    </row>
    <row r="191" spans="1:49" ht="30" customHeight="1" x14ac:dyDescent="0.3">
      <c r="A191" s="48" t="s">
        <v>1651</v>
      </c>
      <c r="B191" s="44" t="str">
        <f t="shared" si="4"/>
        <v>2</v>
      </c>
      <c r="C191" s="44" t="str">
        <f t="shared" si="5"/>
        <v>2</v>
      </c>
      <c r="D191" s="52" t="s">
        <v>2337</v>
      </c>
      <c r="E191" s="52" t="s">
        <v>1491</v>
      </c>
      <c r="F191" s="45">
        <v>44985</v>
      </c>
      <c r="G191" s="53" t="s">
        <v>1388</v>
      </c>
      <c r="H191" s="53" t="s">
        <v>1442</v>
      </c>
      <c r="I191" s="53" t="s">
        <v>1146</v>
      </c>
      <c r="J191" s="53" t="s">
        <v>1451</v>
      </c>
      <c r="K191" s="53" t="s">
        <v>1389</v>
      </c>
      <c r="L191" s="53" t="s">
        <v>3</v>
      </c>
      <c r="M191" s="53" t="s">
        <v>3</v>
      </c>
      <c r="N191" s="53" t="s">
        <v>3</v>
      </c>
      <c r="O191" s="53" t="s">
        <v>2338</v>
      </c>
      <c r="P191" s="53" t="s">
        <v>3</v>
      </c>
      <c r="Q191" s="53" t="s">
        <v>3</v>
      </c>
      <c r="R191" s="53" t="s">
        <v>3</v>
      </c>
      <c r="S191" s="53" t="s">
        <v>3</v>
      </c>
      <c r="T191" s="53" t="s">
        <v>3</v>
      </c>
      <c r="U191" s="53" t="s">
        <v>2339</v>
      </c>
      <c r="V191" s="53">
        <v>1</v>
      </c>
      <c r="W191" s="53" t="s">
        <v>2518</v>
      </c>
      <c r="X191" s="53" t="s">
        <v>48</v>
      </c>
      <c r="Y191" s="53" t="s">
        <v>105</v>
      </c>
      <c r="Z191" s="53" t="s">
        <v>51</v>
      </c>
      <c r="AA191" s="53" t="s">
        <v>1384</v>
      </c>
      <c r="AB191" s="53" t="s">
        <v>95</v>
      </c>
      <c r="AC191" s="53" t="s">
        <v>124</v>
      </c>
      <c r="AD191" s="53" t="s">
        <v>3</v>
      </c>
      <c r="AE191" s="53">
        <v>0</v>
      </c>
      <c r="AF191" s="53" t="s">
        <v>3</v>
      </c>
      <c r="AG191" s="53" t="s">
        <v>1252</v>
      </c>
      <c r="AH191" s="53" t="s">
        <v>1253</v>
      </c>
      <c r="AI191" s="53" t="s">
        <v>3</v>
      </c>
      <c r="AJ191" s="53">
        <v>0</v>
      </c>
      <c r="AK191" s="53" t="s">
        <v>3</v>
      </c>
      <c r="AL191" s="53" t="s">
        <v>1252</v>
      </c>
      <c r="AM191" s="53" t="s">
        <v>1253</v>
      </c>
      <c r="AN191" s="53" t="s">
        <v>3</v>
      </c>
      <c r="AO191" s="53">
        <v>0</v>
      </c>
      <c r="AP191" s="53" t="s">
        <v>3</v>
      </c>
      <c r="AQ191" s="53" t="s">
        <v>1252</v>
      </c>
      <c r="AR191" s="53" t="s">
        <v>1253</v>
      </c>
      <c r="AS191" s="53">
        <v>201</v>
      </c>
      <c r="AT191" s="53"/>
      <c r="AU191" s="53"/>
      <c r="AV191" s="53"/>
      <c r="AW191" s="53" t="s">
        <v>1761</v>
      </c>
    </row>
    <row r="192" spans="1:49" ht="30" customHeight="1" x14ac:dyDescent="0.3">
      <c r="A192" s="48" t="s">
        <v>1652</v>
      </c>
      <c r="B192" s="44" t="str">
        <f t="shared" si="4"/>
        <v>2</v>
      </c>
      <c r="C192" s="44" t="str">
        <f t="shared" si="5"/>
        <v>2</v>
      </c>
      <c r="D192" s="52" t="s">
        <v>2340</v>
      </c>
      <c r="E192" s="52" t="s">
        <v>2341</v>
      </c>
      <c r="F192" s="45">
        <v>45354</v>
      </c>
      <c r="G192" s="53" t="s">
        <v>1485</v>
      </c>
      <c r="H192" s="53" t="s">
        <v>1390</v>
      </c>
      <c r="I192" s="53" t="s">
        <v>1383</v>
      </c>
      <c r="J192" s="53" t="s">
        <v>1848</v>
      </c>
      <c r="K192" s="53" t="s">
        <v>2342</v>
      </c>
      <c r="L192" s="53" t="s">
        <v>1504</v>
      </c>
      <c r="M192" s="53" t="s">
        <v>2343</v>
      </c>
      <c r="N192" s="53" t="s">
        <v>3</v>
      </c>
      <c r="O192" s="53" t="s">
        <v>3</v>
      </c>
      <c r="P192" s="53" t="s">
        <v>3</v>
      </c>
      <c r="Q192" s="53" t="s">
        <v>2273</v>
      </c>
      <c r="R192" s="53" t="s">
        <v>2344</v>
      </c>
      <c r="S192" s="53" t="s">
        <v>3</v>
      </c>
      <c r="T192" s="53" t="s">
        <v>3</v>
      </c>
      <c r="U192" s="53" t="s">
        <v>3</v>
      </c>
      <c r="V192" s="53" t="s">
        <v>1231</v>
      </c>
      <c r="W192" s="53" t="s">
        <v>2522</v>
      </c>
      <c r="X192" s="53" t="s">
        <v>48</v>
      </c>
      <c r="Y192" s="53" t="s">
        <v>105</v>
      </c>
      <c r="Z192" s="53" t="s">
        <v>51</v>
      </c>
      <c r="AA192" s="53" t="s">
        <v>1384</v>
      </c>
      <c r="AB192" s="53" t="s">
        <v>1385</v>
      </c>
      <c r="AC192" s="53" t="s">
        <v>1799</v>
      </c>
      <c r="AD192" s="53" t="s">
        <v>3</v>
      </c>
      <c r="AE192" s="53">
        <v>0</v>
      </c>
      <c r="AF192" s="53" t="s">
        <v>3</v>
      </c>
      <c r="AG192" s="53" t="s">
        <v>1252</v>
      </c>
      <c r="AH192" s="53" t="s">
        <v>1253</v>
      </c>
      <c r="AI192" s="53" t="s">
        <v>3</v>
      </c>
      <c r="AJ192" s="53">
        <v>0</v>
      </c>
      <c r="AK192" s="53" t="s">
        <v>3</v>
      </c>
      <c r="AL192" s="53" t="s">
        <v>1252</v>
      </c>
      <c r="AM192" s="53" t="s">
        <v>1253</v>
      </c>
      <c r="AN192" s="53" t="s">
        <v>3</v>
      </c>
      <c r="AO192" s="53">
        <v>0</v>
      </c>
      <c r="AP192" s="53" t="s">
        <v>3</v>
      </c>
      <c r="AQ192" s="53" t="s">
        <v>1252</v>
      </c>
      <c r="AR192" s="53" t="s">
        <v>1253</v>
      </c>
      <c r="AS192" s="53" t="s">
        <v>3</v>
      </c>
      <c r="AT192" s="53"/>
      <c r="AU192" s="53"/>
      <c r="AV192" s="53"/>
      <c r="AW192" s="53" t="s">
        <v>1761</v>
      </c>
    </row>
    <row r="193" spans="1:49" ht="30" customHeight="1" x14ac:dyDescent="0.3">
      <c r="A193" s="48" t="s">
        <v>1653</v>
      </c>
      <c r="B193" s="44" t="str">
        <f t="shared" si="4"/>
        <v>2</v>
      </c>
      <c r="C193" s="44" t="str">
        <f t="shared" si="5"/>
        <v>2</v>
      </c>
      <c r="D193" s="52" t="s">
        <v>2345</v>
      </c>
      <c r="E193" s="52" t="s">
        <v>2346</v>
      </c>
      <c r="F193" s="45">
        <v>44726</v>
      </c>
      <c r="G193" s="53" t="s">
        <v>1485</v>
      </c>
      <c r="H193" s="53" t="s">
        <v>1390</v>
      </c>
      <c r="I193" s="53" t="s">
        <v>1146</v>
      </c>
      <c r="J193" s="53" t="s">
        <v>1779</v>
      </c>
      <c r="K193" s="53" t="s">
        <v>2347</v>
      </c>
      <c r="L193" s="53" t="s">
        <v>1504</v>
      </c>
      <c r="M193" s="53" t="s">
        <v>1477</v>
      </c>
      <c r="N193" s="53" t="s">
        <v>3</v>
      </c>
      <c r="O193" s="53" t="s">
        <v>3</v>
      </c>
      <c r="P193" s="53" t="s">
        <v>3</v>
      </c>
      <c r="Q193" s="53" t="s">
        <v>2273</v>
      </c>
      <c r="R193" s="53" t="s">
        <v>2348</v>
      </c>
      <c r="S193" s="53" t="s">
        <v>3</v>
      </c>
      <c r="T193" s="53" t="s">
        <v>3</v>
      </c>
      <c r="U193" s="53" t="s">
        <v>3</v>
      </c>
      <c r="V193" s="53">
        <v>1</v>
      </c>
      <c r="W193" s="53" t="s">
        <v>2519</v>
      </c>
      <c r="X193" s="53" t="s">
        <v>48</v>
      </c>
      <c r="Y193" s="53" t="s">
        <v>105</v>
      </c>
      <c r="Z193" s="53" t="s">
        <v>84</v>
      </c>
      <c r="AA193" s="53" t="s">
        <v>147</v>
      </c>
      <c r="AB193" s="53" t="s">
        <v>1385</v>
      </c>
      <c r="AC193" s="53" t="s">
        <v>1799</v>
      </c>
      <c r="AD193" s="53" t="s">
        <v>3</v>
      </c>
      <c r="AE193" s="53">
        <v>0</v>
      </c>
      <c r="AF193" s="53" t="s">
        <v>3</v>
      </c>
      <c r="AG193" s="53" t="s">
        <v>1252</v>
      </c>
      <c r="AH193" s="53" t="s">
        <v>1253</v>
      </c>
      <c r="AI193" s="53" t="s">
        <v>3</v>
      </c>
      <c r="AJ193" s="53">
        <v>0</v>
      </c>
      <c r="AK193" s="53" t="s">
        <v>3</v>
      </c>
      <c r="AL193" s="53" t="s">
        <v>1252</v>
      </c>
      <c r="AM193" s="53" t="s">
        <v>1253</v>
      </c>
      <c r="AN193" s="53" t="s">
        <v>3</v>
      </c>
      <c r="AO193" s="53">
        <v>0</v>
      </c>
      <c r="AP193" s="53" t="s">
        <v>3</v>
      </c>
      <c r="AQ193" s="53" t="s">
        <v>1252</v>
      </c>
      <c r="AR193" s="53" t="s">
        <v>1253</v>
      </c>
      <c r="AS193" s="53" t="s">
        <v>3</v>
      </c>
      <c r="AT193" s="53"/>
      <c r="AU193" s="53"/>
      <c r="AV193" s="53"/>
      <c r="AW193" s="53" t="s">
        <v>1761</v>
      </c>
    </row>
    <row r="194" spans="1:49" ht="30" customHeight="1" x14ac:dyDescent="0.3">
      <c r="A194" s="48" t="s">
        <v>1654</v>
      </c>
      <c r="B194" s="44" t="str">
        <f t="shared" si="4"/>
        <v>2</v>
      </c>
      <c r="C194" s="44" t="str">
        <f t="shared" si="5"/>
        <v>2</v>
      </c>
      <c r="D194" s="52" t="s">
        <v>2349</v>
      </c>
      <c r="E194" s="52" t="s">
        <v>2290</v>
      </c>
      <c r="F194" s="45">
        <v>44907</v>
      </c>
      <c r="G194" s="53" t="s">
        <v>1485</v>
      </c>
      <c r="H194" s="53" t="s">
        <v>2350</v>
      </c>
      <c r="I194" s="53" t="s">
        <v>1146</v>
      </c>
      <c r="J194" s="53" t="s">
        <v>1779</v>
      </c>
      <c r="K194" s="53" t="s">
        <v>2351</v>
      </c>
      <c r="L194" s="53" t="s">
        <v>1504</v>
      </c>
      <c r="M194" s="53" t="s">
        <v>2352</v>
      </c>
      <c r="N194" s="53" t="s">
        <v>1393</v>
      </c>
      <c r="O194" s="53" t="s">
        <v>3</v>
      </c>
      <c r="P194" s="53" t="s">
        <v>3</v>
      </c>
      <c r="Q194" s="53" t="s">
        <v>3</v>
      </c>
      <c r="R194" s="53" t="s">
        <v>2353</v>
      </c>
      <c r="S194" s="53" t="s">
        <v>3</v>
      </c>
      <c r="T194" s="53" t="s">
        <v>1143</v>
      </c>
      <c r="U194" s="53" t="s">
        <v>2354</v>
      </c>
      <c r="V194" s="53">
        <v>3</v>
      </c>
      <c r="W194" s="53" t="s">
        <v>2521</v>
      </c>
      <c r="X194" s="53" t="s">
        <v>48</v>
      </c>
      <c r="Y194" s="53" t="s">
        <v>105</v>
      </c>
      <c r="Z194" s="53" t="s">
        <v>84</v>
      </c>
      <c r="AA194" s="53" t="s">
        <v>147</v>
      </c>
      <c r="AB194" s="53" t="s">
        <v>1385</v>
      </c>
      <c r="AC194" s="53" t="s">
        <v>1799</v>
      </c>
      <c r="AD194" s="53" t="s">
        <v>3</v>
      </c>
      <c r="AE194" s="53">
        <v>0</v>
      </c>
      <c r="AF194" s="53" t="s">
        <v>3</v>
      </c>
      <c r="AG194" s="53" t="s">
        <v>1252</v>
      </c>
      <c r="AH194" s="53" t="s">
        <v>1253</v>
      </c>
      <c r="AI194" s="53" t="s">
        <v>3</v>
      </c>
      <c r="AJ194" s="53">
        <v>0</v>
      </c>
      <c r="AK194" s="53" t="s">
        <v>3</v>
      </c>
      <c r="AL194" s="53" t="s">
        <v>1252</v>
      </c>
      <c r="AM194" s="53" t="s">
        <v>1253</v>
      </c>
      <c r="AN194" s="53" t="s">
        <v>3</v>
      </c>
      <c r="AO194" s="53">
        <v>0</v>
      </c>
      <c r="AP194" s="53" t="s">
        <v>3</v>
      </c>
      <c r="AQ194" s="53" t="s">
        <v>1252</v>
      </c>
      <c r="AR194" s="53" t="s">
        <v>1253</v>
      </c>
      <c r="AS194" s="53" t="s">
        <v>3</v>
      </c>
      <c r="AT194" s="53"/>
      <c r="AU194" s="53"/>
      <c r="AV194" s="53"/>
      <c r="AW194" s="53" t="s">
        <v>1761</v>
      </c>
    </row>
    <row r="195" spans="1:49" ht="30" customHeight="1" x14ac:dyDescent="0.3">
      <c r="A195" s="48" t="s">
        <v>1655</v>
      </c>
      <c r="B195" s="44" t="str">
        <f t="shared" si="4"/>
        <v>2</v>
      </c>
      <c r="C195" s="44" t="str">
        <f t="shared" si="5"/>
        <v>2</v>
      </c>
      <c r="D195" s="52" t="s">
        <v>2355</v>
      </c>
      <c r="E195" s="52" t="s">
        <v>2211</v>
      </c>
      <c r="F195" s="45">
        <v>44007</v>
      </c>
      <c r="G195" s="53" t="s">
        <v>1388</v>
      </c>
      <c r="H195" s="53" t="s">
        <v>1425</v>
      </c>
      <c r="I195" s="53" t="s">
        <v>1146</v>
      </c>
      <c r="J195" s="53" t="s">
        <v>1779</v>
      </c>
      <c r="K195" s="53" t="s">
        <v>1389</v>
      </c>
      <c r="L195" s="53" t="s">
        <v>3</v>
      </c>
      <c r="M195" s="53" t="s">
        <v>3</v>
      </c>
      <c r="N195" s="53" t="s">
        <v>3</v>
      </c>
      <c r="O195" s="53" t="s">
        <v>3</v>
      </c>
      <c r="P195" s="53" t="s">
        <v>3</v>
      </c>
      <c r="Q195" s="53" t="s">
        <v>3</v>
      </c>
      <c r="R195" s="53" t="s">
        <v>3</v>
      </c>
      <c r="S195" s="53" t="s">
        <v>3</v>
      </c>
      <c r="T195" s="53" t="s">
        <v>3</v>
      </c>
      <c r="U195" s="53" t="s">
        <v>3</v>
      </c>
      <c r="V195" s="53">
        <v>2</v>
      </c>
      <c r="W195" s="53" t="s">
        <v>2520</v>
      </c>
      <c r="X195" s="53" t="s">
        <v>48</v>
      </c>
      <c r="Y195" s="53" t="s">
        <v>105</v>
      </c>
      <c r="Z195" s="53" t="s">
        <v>51</v>
      </c>
      <c r="AA195" s="53" t="s">
        <v>1384</v>
      </c>
      <c r="AB195" s="53" t="s">
        <v>95</v>
      </c>
      <c r="AC195" s="53" t="s">
        <v>124</v>
      </c>
      <c r="AD195" s="53" t="s">
        <v>3</v>
      </c>
      <c r="AE195" s="53">
        <v>0</v>
      </c>
      <c r="AF195" s="53" t="s">
        <v>3</v>
      </c>
      <c r="AG195" s="53" t="s">
        <v>1252</v>
      </c>
      <c r="AH195" s="53" t="s">
        <v>1253</v>
      </c>
      <c r="AI195" s="53" t="s">
        <v>3</v>
      </c>
      <c r="AJ195" s="53">
        <v>0</v>
      </c>
      <c r="AK195" s="53" t="s">
        <v>3</v>
      </c>
      <c r="AL195" s="53" t="s">
        <v>1252</v>
      </c>
      <c r="AM195" s="53" t="s">
        <v>1253</v>
      </c>
      <c r="AN195" s="53" t="s">
        <v>3</v>
      </c>
      <c r="AO195" s="53">
        <v>0</v>
      </c>
      <c r="AP195" s="53" t="s">
        <v>3</v>
      </c>
      <c r="AQ195" s="53" t="s">
        <v>1252</v>
      </c>
      <c r="AR195" s="53" t="s">
        <v>1253</v>
      </c>
      <c r="AS195" s="53" t="s">
        <v>3</v>
      </c>
      <c r="AT195" s="53"/>
      <c r="AU195" s="53"/>
      <c r="AV195" s="53"/>
      <c r="AW195" s="53" t="s">
        <v>1761</v>
      </c>
    </row>
    <row r="196" spans="1:49" ht="30" customHeight="1" x14ac:dyDescent="0.3">
      <c r="A196" s="48" t="s">
        <v>1656</v>
      </c>
      <c r="B196" s="44" t="str">
        <f t="shared" ref="B196:B247" si="6">HYPERLINK(CONCATENATE("..\SDB\SDB_",A196,".pdf"),"2")</f>
        <v>2</v>
      </c>
      <c r="C196" s="44" t="str">
        <f t="shared" ref="C196:C233" si="7">HYPERLINK("#"&amp;CONCATENATE(A196,"!B1"),"2")</f>
        <v>2</v>
      </c>
      <c r="D196" s="52" t="s">
        <v>2356</v>
      </c>
      <c r="E196" s="52" t="s">
        <v>2211</v>
      </c>
      <c r="F196" s="45">
        <v>44007</v>
      </c>
      <c r="G196" s="53" t="s">
        <v>1388</v>
      </c>
      <c r="H196" s="53" t="s">
        <v>1958</v>
      </c>
      <c r="I196" s="53" t="s">
        <v>1146</v>
      </c>
      <c r="J196" s="53" t="s">
        <v>1779</v>
      </c>
      <c r="K196" s="53" t="s">
        <v>1801</v>
      </c>
      <c r="L196" s="53" t="s">
        <v>3</v>
      </c>
      <c r="M196" s="53" t="s">
        <v>2357</v>
      </c>
      <c r="N196" s="53" t="s">
        <v>1141</v>
      </c>
      <c r="O196" s="53" t="s">
        <v>3</v>
      </c>
      <c r="P196" s="53" t="s">
        <v>3</v>
      </c>
      <c r="Q196" s="53" t="s">
        <v>2193</v>
      </c>
      <c r="R196" s="53" t="s">
        <v>2358</v>
      </c>
      <c r="S196" s="53" t="s">
        <v>1142</v>
      </c>
      <c r="T196" s="53" t="s">
        <v>1143</v>
      </c>
      <c r="U196" s="53" t="s">
        <v>2173</v>
      </c>
      <c r="V196" s="53">
        <v>3</v>
      </c>
      <c r="W196" s="53" t="s">
        <v>2520</v>
      </c>
      <c r="X196" s="53" t="s">
        <v>1385</v>
      </c>
      <c r="Y196" s="53" t="s">
        <v>1799</v>
      </c>
      <c r="Z196" s="53" t="s">
        <v>1419</v>
      </c>
      <c r="AA196" s="53" t="s">
        <v>2528</v>
      </c>
      <c r="AB196" s="53" t="s">
        <v>95</v>
      </c>
      <c r="AC196" s="53" t="s">
        <v>124</v>
      </c>
      <c r="AD196" s="53" t="s">
        <v>2173</v>
      </c>
      <c r="AE196" s="53" t="s">
        <v>2359</v>
      </c>
      <c r="AF196" s="53" t="s">
        <v>1417</v>
      </c>
      <c r="AG196" s="53" t="s">
        <v>1464</v>
      </c>
      <c r="AH196" s="53" t="s">
        <v>1465</v>
      </c>
      <c r="AI196" s="53" t="s">
        <v>2173</v>
      </c>
      <c r="AJ196" s="53" t="s">
        <v>2359</v>
      </c>
      <c r="AK196" s="53" t="s">
        <v>1417</v>
      </c>
      <c r="AL196" s="53" t="s">
        <v>1449</v>
      </c>
      <c r="AM196" s="53" t="s">
        <v>1450</v>
      </c>
      <c r="AN196" s="53" t="s">
        <v>2173</v>
      </c>
      <c r="AO196" s="53" t="s">
        <v>2359</v>
      </c>
      <c r="AP196" s="53" t="s">
        <v>1251</v>
      </c>
      <c r="AQ196" s="53" t="s">
        <v>1398</v>
      </c>
      <c r="AR196" s="53" t="s">
        <v>1399</v>
      </c>
      <c r="AS196" s="53" t="s">
        <v>3</v>
      </c>
      <c r="AT196" s="53"/>
      <c r="AU196" s="53"/>
      <c r="AV196" s="53"/>
      <c r="AW196" s="53" t="s">
        <v>1761</v>
      </c>
    </row>
    <row r="197" spans="1:49" ht="30" customHeight="1" x14ac:dyDescent="0.3">
      <c r="A197" s="48" t="s">
        <v>1657</v>
      </c>
      <c r="B197" s="44" t="str">
        <f t="shared" si="6"/>
        <v>2</v>
      </c>
      <c r="C197" s="44" t="str">
        <f t="shared" si="7"/>
        <v>2</v>
      </c>
      <c r="D197" s="52" t="s">
        <v>2360</v>
      </c>
      <c r="E197" s="52" t="s">
        <v>2211</v>
      </c>
      <c r="F197" s="45">
        <v>44020</v>
      </c>
      <c r="G197" s="53" t="s">
        <v>1388</v>
      </c>
      <c r="H197" s="53" t="s">
        <v>1550</v>
      </c>
      <c r="I197" s="53" t="s">
        <v>1146</v>
      </c>
      <c r="J197" s="53" t="s">
        <v>1779</v>
      </c>
      <c r="K197" s="53" t="s">
        <v>2361</v>
      </c>
      <c r="L197" s="53" t="s">
        <v>3</v>
      </c>
      <c r="M197" s="53" t="s">
        <v>1428</v>
      </c>
      <c r="N197" s="53" t="s">
        <v>1393</v>
      </c>
      <c r="O197" s="53" t="s">
        <v>3</v>
      </c>
      <c r="P197" s="53" t="s">
        <v>3</v>
      </c>
      <c r="Q197" s="53" t="s">
        <v>1471</v>
      </c>
      <c r="R197" s="53" t="s">
        <v>1430</v>
      </c>
      <c r="S197" s="53" t="s">
        <v>3</v>
      </c>
      <c r="T197" s="53" t="s">
        <v>1143</v>
      </c>
      <c r="U197" s="53" t="s">
        <v>3</v>
      </c>
      <c r="V197" s="53">
        <v>3</v>
      </c>
      <c r="W197" s="53" t="s">
        <v>2520</v>
      </c>
      <c r="X197" s="53" t="s">
        <v>48</v>
      </c>
      <c r="Y197" s="53" t="s">
        <v>105</v>
      </c>
      <c r="Z197" s="53" t="s">
        <v>51</v>
      </c>
      <c r="AA197" s="53" t="s">
        <v>1384</v>
      </c>
      <c r="AB197" s="53" t="s">
        <v>95</v>
      </c>
      <c r="AC197" s="53" t="s">
        <v>124</v>
      </c>
      <c r="AD197" s="53" t="s">
        <v>3</v>
      </c>
      <c r="AE197" s="53">
        <v>0</v>
      </c>
      <c r="AF197" s="53" t="s">
        <v>3</v>
      </c>
      <c r="AG197" s="53" t="s">
        <v>1252</v>
      </c>
      <c r="AH197" s="53" t="s">
        <v>1253</v>
      </c>
      <c r="AI197" s="53" t="s">
        <v>3</v>
      </c>
      <c r="AJ197" s="53">
        <v>0</v>
      </c>
      <c r="AK197" s="53" t="s">
        <v>3</v>
      </c>
      <c r="AL197" s="53" t="s">
        <v>1252</v>
      </c>
      <c r="AM197" s="53" t="s">
        <v>1253</v>
      </c>
      <c r="AN197" s="53" t="s">
        <v>3</v>
      </c>
      <c r="AO197" s="53">
        <v>0</v>
      </c>
      <c r="AP197" s="53" t="s">
        <v>3</v>
      </c>
      <c r="AQ197" s="53" t="s">
        <v>1252</v>
      </c>
      <c r="AR197" s="53" t="s">
        <v>1253</v>
      </c>
      <c r="AS197" s="53" t="s">
        <v>3</v>
      </c>
      <c r="AT197" s="53"/>
      <c r="AU197" s="53"/>
      <c r="AV197" s="53"/>
      <c r="AW197" s="53" t="s">
        <v>1761</v>
      </c>
    </row>
    <row r="198" spans="1:49" ht="30" customHeight="1" x14ac:dyDescent="0.3">
      <c r="A198" s="48" t="s">
        <v>1658</v>
      </c>
      <c r="B198" s="44" t="str">
        <f t="shared" si="6"/>
        <v>2</v>
      </c>
      <c r="C198" s="44" t="str">
        <f t="shared" si="7"/>
        <v>2</v>
      </c>
      <c r="D198" s="52" t="s">
        <v>2362</v>
      </c>
      <c r="E198" s="52" t="s">
        <v>2211</v>
      </c>
      <c r="F198" s="45">
        <v>44020</v>
      </c>
      <c r="G198" s="53" t="s">
        <v>1388</v>
      </c>
      <c r="H198" s="53" t="s">
        <v>1851</v>
      </c>
      <c r="I198" s="53" t="s">
        <v>1146</v>
      </c>
      <c r="J198" s="53" t="s">
        <v>1779</v>
      </c>
      <c r="K198" s="53" t="s">
        <v>1795</v>
      </c>
      <c r="L198" s="53" t="s">
        <v>3</v>
      </c>
      <c r="M198" s="53" t="s">
        <v>1832</v>
      </c>
      <c r="N198" s="53" t="s">
        <v>1141</v>
      </c>
      <c r="O198" s="53" t="s">
        <v>3</v>
      </c>
      <c r="P198" s="53" t="s">
        <v>3</v>
      </c>
      <c r="Q198" s="53" t="s">
        <v>1523</v>
      </c>
      <c r="R198" s="53" t="s">
        <v>1475</v>
      </c>
      <c r="S198" s="53" t="s">
        <v>1142</v>
      </c>
      <c r="T198" s="53" t="s">
        <v>1143</v>
      </c>
      <c r="U198" s="53" t="s">
        <v>2363</v>
      </c>
      <c r="V198" s="53">
        <v>3</v>
      </c>
      <c r="W198" s="53" t="s">
        <v>2520</v>
      </c>
      <c r="X198" s="53" t="s">
        <v>1385</v>
      </c>
      <c r="Y198" s="53" t="s">
        <v>1799</v>
      </c>
      <c r="Z198" s="53" t="s">
        <v>1419</v>
      </c>
      <c r="AA198" s="53" t="s">
        <v>2528</v>
      </c>
      <c r="AB198" s="53" t="s">
        <v>95</v>
      </c>
      <c r="AC198" s="53" t="s">
        <v>124</v>
      </c>
      <c r="AD198" s="53" t="s">
        <v>2173</v>
      </c>
      <c r="AE198" s="53" t="s">
        <v>2364</v>
      </c>
      <c r="AF198" s="53" t="s">
        <v>1417</v>
      </c>
      <c r="AG198" s="53" t="s">
        <v>1464</v>
      </c>
      <c r="AH198" s="53" t="s">
        <v>1465</v>
      </c>
      <c r="AI198" s="53" t="s">
        <v>2173</v>
      </c>
      <c r="AJ198" s="53" t="s">
        <v>2364</v>
      </c>
      <c r="AK198" s="53" t="s">
        <v>1417</v>
      </c>
      <c r="AL198" s="53" t="s">
        <v>1449</v>
      </c>
      <c r="AM198" s="53" t="s">
        <v>1450</v>
      </c>
      <c r="AN198" s="53" t="s">
        <v>2173</v>
      </c>
      <c r="AO198" s="53" t="s">
        <v>2364</v>
      </c>
      <c r="AP198" s="53" t="s">
        <v>1251</v>
      </c>
      <c r="AQ198" s="53" t="s">
        <v>1398</v>
      </c>
      <c r="AR198" s="53" t="s">
        <v>1399</v>
      </c>
      <c r="AS198" s="53" t="s">
        <v>3</v>
      </c>
      <c r="AT198" s="53"/>
      <c r="AU198" s="53"/>
      <c r="AV198" s="53"/>
      <c r="AW198" s="53" t="s">
        <v>1761</v>
      </c>
    </row>
    <row r="199" spans="1:49" ht="30" customHeight="1" x14ac:dyDescent="0.3">
      <c r="A199" s="48" t="s">
        <v>1539</v>
      </c>
      <c r="B199" s="44" t="str">
        <f t="shared" si="6"/>
        <v>2</v>
      </c>
      <c r="C199" s="44" t="str">
        <f t="shared" si="7"/>
        <v>2</v>
      </c>
      <c r="D199" s="52" t="s">
        <v>2365</v>
      </c>
      <c r="E199" s="52" t="s">
        <v>2211</v>
      </c>
      <c r="F199" s="45">
        <v>44020</v>
      </c>
      <c r="G199" s="53" t="s">
        <v>1388</v>
      </c>
      <c r="H199" s="53" t="s">
        <v>1851</v>
      </c>
      <c r="I199" s="53" t="s">
        <v>1146</v>
      </c>
      <c r="J199" s="53" t="s">
        <v>1779</v>
      </c>
      <c r="K199" s="53" t="s">
        <v>1795</v>
      </c>
      <c r="L199" s="53" t="s">
        <v>1476</v>
      </c>
      <c r="M199" s="53" t="s">
        <v>1832</v>
      </c>
      <c r="N199" s="53" t="s">
        <v>1141</v>
      </c>
      <c r="O199" s="53" t="s">
        <v>3</v>
      </c>
      <c r="P199" s="53" t="s">
        <v>2218</v>
      </c>
      <c r="Q199" s="53" t="s">
        <v>1523</v>
      </c>
      <c r="R199" s="53" t="s">
        <v>1475</v>
      </c>
      <c r="S199" s="53" t="s">
        <v>1142</v>
      </c>
      <c r="T199" s="53" t="s">
        <v>1143</v>
      </c>
      <c r="U199" s="53" t="s">
        <v>1549</v>
      </c>
      <c r="V199" s="53">
        <v>3</v>
      </c>
      <c r="W199" s="53" t="s">
        <v>2520</v>
      </c>
      <c r="X199" s="53" t="s">
        <v>1385</v>
      </c>
      <c r="Y199" s="53" t="s">
        <v>1799</v>
      </c>
      <c r="Z199" s="53" t="s">
        <v>1419</v>
      </c>
      <c r="AA199" s="53" t="s">
        <v>2528</v>
      </c>
      <c r="AB199" s="53" t="s">
        <v>95</v>
      </c>
      <c r="AC199" s="53" t="s">
        <v>124</v>
      </c>
      <c r="AD199" s="53" t="s">
        <v>2173</v>
      </c>
      <c r="AE199" s="53" t="s">
        <v>2366</v>
      </c>
      <c r="AF199" s="53" t="s">
        <v>1417</v>
      </c>
      <c r="AG199" s="53" t="s">
        <v>1464</v>
      </c>
      <c r="AH199" s="53" t="s">
        <v>1465</v>
      </c>
      <c r="AI199" s="53" t="s">
        <v>2173</v>
      </c>
      <c r="AJ199" s="53" t="s">
        <v>2366</v>
      </c>
      <c r="AK199" s="53" t="s">
        <v>1417</v>
      </c>
      <c r="AL199" s="53" t="s">
        <v>1449</v>
      </c>
      <c r="AM199" s="53" t="s">
        <v>1450</v>
      </c>
      <c r="AN199" s="53" t="s">
        <v>2173</v>
      </c>
      <c r="AO199" s="53" t="s">
        <v>2366</v>
      </c>
      <c r="AP199" s="53" t="s">
        <v>1251</v>
      </c>
      <c r="AQ199" s="53" t="s">
        <v>1398</v>
      </c>
      <c r="AR199" s="53" t="s">
        <v>1399</v>
      </c>
      <c r="AS199" s="53" t="s">
        <v>3</v>
      </c>
      <c r="AT199" s="53"/>
      <c r="AU199" s="53"/>
      <c r="AV199" s="53"/>
      <c r="AW199" s="53" t="s">
        <v>1761</v>
      </c>
    </row>
    <row r="200" spans="1:49" ht="30" customHeight="1" x14ac:dyDescent="0.3">
      <c r="A200" s="48" t="s">
        <v>1659</v>
      </c>
      <c r="B200" s="44" t="str">
        <f t="shared" si="6"/>
        <v>2</v>
      </c>
      <c r="C200" s="44" t="str">
        <f t="shared" si="7"/>
        <v>2</v>
      </c>
      <c r="D200" s="52" t="s">
        <v>2367</v>
      </c>
      <c r="E200" s="52" t="s">
        <v>2211</v>
      </c>
      <c r="F200" s="45">
        <v>44020</v>
      </c>
      <c r="G200" s="53" t="s">
        <v>1388</v>
      </c>
      <c r="H200" s="53" t="s">
        <v>1851</v>
      </c>
      <c r="I200" s="53" t="s">
        <v>1146</v>
      </c>
      <c r="J200" s="53" t="s">
        <v>1779</v>
      </c>
      <c r="K200" s="53" t="s">
        <v>1795</v>
      </c>
      <c r="L200" s="53" t="s">
        <v>3</v>
      </c>
      <c r="M200" s="53" t="s">
        <v>1832</v>
      </c>
      <c r="N200" s="53" t="s">
        <v>1141</v>
      </c>
      <c r="O200" s="53" t="s">
        <v>3</v>
      </c>
      <c r="P200" s="53" t="s">
        <v>3</v>
      </c>
      <c r="Q200" s="53" t="s">
        <v>1523</v>
      </c>
      <c r="R200" s="53" t="s">
        <v>1475</v>
      </c>
      <c r="S200" s="53" t="s">
        <v>1142</v>
      </c>
      <c r="T200" s="53" t="s">
        <v>1143</v>
      </c>
      <c r="U200" s="53" t="s">
        <v>2363</v>
      </c>
      <c r="V200" s="53">
        <v>3</v>
      </c>
      <c r="W200" s="53" t="s">
        <v>2520</v>
      </c>
      <c r="X200" s="53" t="s">
        <v>1385</v>
      </c>
      <c r="Y200" s="53" t="s">
        <v>1799</v>
      </c>
      <c r="Z200" s="53" t="s">
        <v>1419</v>
      </c>
      <c r="AA200" s="53" t="s">
        <v>2528</v>
      </c>
      <c r="AB200" s="53" t="s">
        <v>95</v>
      </c>
      <c r="AC200" s="53" t="s">
        <v>124</v>
      </c>
      <c r="AD200" s="53" t="s">
        <v>2173</v>
      </c>
      <c r="AE200" s="53" t="s">
        <v>2359</v>
      </c>
      <c r="AF200" s="53" t="s">
        <v>1417</v>
      </c>
      <c r="AG200" s="53" t="s">
        <v>1464</v>
      </c>
      <c r="AH200" s="53" t="s">
        <v>1465</v>
      </c>
      <c r="AI200" s="53" t="s">
        <v>2173</v>
      </c>
      <c r="AJ200" s="53" t="s">
        <v>2359</v>
      </c>
      <c r="AK200" s="53" t="s">
        <v>1417</v>
      </c>
      <c r="AL200" s="53" t="s">
        <v>1449</v>
      </c>
      <c r="AM200" s="53" t="s">
        <v>1450</v>
      </c>
      <c r="AN200" s="53" t="s">
        <v>2173</v>
      </c>
      <c r="AO200" s="53" t="s">
        <v>2364</v>
      </c>
      <c r="AP200" s="53" t="s">
        <v>1251</v>
      </c>
      <c r="AQ200" s="53" t="s">
        <v>1398</v>
      </c>
      <c r="AR200" s="53" t="s">
        <v>1399</v>
      </c>
      <c r="AS200" s="53" t="s">
        <v>3</v>
      </c>
      <c r="AT200" s="53"/>
      <c r="AU200" s="53"/>
      <c r="AV200" s="53"/>
      <c r="AW200" s="53" t="s">
        <v>1761</v>
      </c>
    </row>
    <row r="201" spans="1:49" ht="30" customHeight="1" x14ac:dyDescent="0.3">
      <c r="A201" s="48" t="s">
        <v>1660</v>
      </c>
      <c r="B201" s="44" t="str">
        <f t="shared" si="6"/>
        <v>2</v>
      </c>
      <c r="C201" s="44" t="str">
        <f t="shared" si="7"/>
        <v>2</v>
      </c>
      <c r="D201" s="52" t="s">
        <v>2368</v>
      </c>
      <c r="E201" s="52" t="s">
        <v>2211</v>
      </c>
      <c r="F201" s="45">
        <v>44025</v>
      </c>
      <c r="G201" s="53" t="s">
        <v>1388</v>
      </c>
      <c r="H201" s="53" t="s">
        <v>1425</v>
      </c>
      <c r="I201" s="53" t="s">
        <v>1146</v>
      </c>
      <c r="J201" s="53" t="s">
        <v>1779</v>
      </c>
      <c r="K201" s="53" t="s">
        <v>1405</v>
      </c>
      <c r="L201" s="53" t="s">
        <v>1476</v>
      </c>
      <c r="M201" s="53" t="s">
        <v>1477</v>
      </c>
      <c r="N201" s="53" t="s">
        <v>3</v>
      </c>
      <c r="O201" s="53" t="s">
        <v>3</v>
      </c>
      <c r="P201" s="53" t="s">
        <v>3</v>
      </c>
      <c r="Q201" s="53" t="s">
        <v>1523</v>
      </c>
      <c r="R201" s="53" t="s">
        <v>1475</v>
      </c>
      <c r="S201" s="53" t="s">
        <v>1142</v>
      </c>
      <c r="T201" s="53" t="s">
        <v>1143</v>
      </c>
      <c r="U201" s="53" t="s">
        <v>1549</v>
      </c>
      <c r="V201" s="53">
        <v>2</v>
      </c>
      <c r="W201" s="53" t="s">
        <v>2520</v>
      </c>
      <c r="X201" s="53" t="s">
        <v>53</v>
      </c>
      <c r="Y201" s="53" t="s">
        <v>127</v>
      </c>
      <c r="Z201" s="53" t="s">
        <v>1419</v>
      </c>
      <c r="AA201" s="53" t="s">
        <v>2528</v>
      </c>
      <c r="AB201" s="53" t="s">
        <v>95</v>
      </c>
      <c r="AC201" s="53" t="s">
        <v>124</v>
      </c>
      <c r="AD201" s="53" t="s">
        <v>3</v>
      </c>
      <c r="AE201" s="53">
        <v>0</v>
      </c>
      <c r="AF201" s="53" t="s">
        <v>3</v>
      </c>
      <c r="AG201" s="53" t="s">
        <v>1252</v>
      </c>
      <c r="AH201" s="53" t="s">
        <v>1253</v>
      </c>
      <c r="AI201" s="53" t="s">
        <v>3</v>
      </c>
      <c r="AJ201" s="53">
        <v>0</v>
      </c>
      <c r="AK201" s="53" t="s">
        <v>3</v>
      </c>
      <c r="AL201" s="53" t="s">
        <v>1252</v>
      </c>
      <c r="AM201" s="53" t="s">
        <v>1253</v>
      </c>
      <c r="AN201" s="53" t="s">
        <v>3</v>
      </c>
      <c r="AO201" s="53">
        <v>0</v>
      </c>
      <c r="AP201" s="53" t="s">
        <v>3</v>
      </c>
      <c r="AQ201" s="53" t="s">
        <v>1252</v>
      </c>
      <c r="AR201" s="53" t="s">
        <v>1253</v>
      </c>
      <c r="AS201" s="53" t="s">
        <v>3</v>
      </c>
      <c r="AT201" s="53"/>
      <c r="AU201" s="53"/>
      <c r="AV201" s="53"/>
      <c r="AW201" s="53" t="s">
        <v>1761</v>
      </c>
    </row>
    <row r="202" spans="1:49" ht="30" customHeight="1" x14ac:dyDescent="0.3">
      <c r="A202" s="48" t="s">
        <v>1545</v>
      </c>
      <c r="B202" s="44" t="str">
        <f t="shared" si="6"/>
        <v>2</v>
      </c>
      <c r="C202" s="44" t="str">
        <f t="shared" si="7"/>
        <v>2</v>
      </c>
      <c r="D202" s="52" t="s">
        <v>2369</v>
      </c>
      <c r="E202" s="52" t="s">
        <v>2211</v>
      </c>
      <c r="F202" s="45">
        <v>44025</v>
      </c>
      <c r="G202" s="53" t="s">
        <v>1388</v>
      </c>
      <c r="H202" s="53" t="s">
        <v>1492</v>
      </c>
      <c r="I202" s="53" t="s">
        <v>1146</v>
      </c>
      <c r="J202" s="53" t="s">
        <v>1779</v>
      </c>
      <c r="K202" s="53" t="s">
        <v>1389</v>
      </c>
      <c r="L202" s="53" t="s">
        <v>3</v>
      </c>
      <c r="M202" s="53" t="s">
        <v>3</v>
      </c>
      <c r="N202" s="53" t="s">
        <v>3</v>
      </c>
      <c r="O202" s="53" t="s">
        <v>3</v>
      </c>
      <c r="P202" s="53" t="s">
        <v>3</v>
      </c>
      <c r="Q202" s="53" t="s">
        <v>3</v>
      </c>
      <c r="R202" s="53" t="s">
        <v>3</v>
      </c>
      <c r="S202" s="53" t="s">
        <v>3</v>
      </c>
      <c r="T202" s="53" t="s">
        <v>3</v>
      </c>
      <c r="U202" s="53" t="s">
        <v>3</v>
      </c>
      <c r="V202" s="53">
        <v>1</v>
      </c>
      <c r="W202" s="53" t="s">
        <v>2520</v>
      </c>
      <c r="X202" s="53" t="s">
        <v>48</v>
      </c>
      <c r="Y202" s="53" t="s">
        <v>105</v>
      </c>
      <c r="Z202" s="53" t="s">
        <v>51</v>
      </c>
      <c r="AA202" s="53" t="s">
        <v>1384</v>
      </c>
      <c r="AB202" s="53" t="s">
        <v>95</v>
      </c>
      <c r="AC202" s="53" t="s">
        <v>124</v>
      </c>
      <c r="AD202" s="53" t="s">
        <v>3</v>
      </c>
      <c r="AE202" s="53">
        <v>0</v>
      </c>
      <c r="AF202" s="53">
        <v>0</v>
      </c>
      <c r="AG202" s="53" t="s">
        <v>1252</v>
      </c>
      <c r="AH202" s="53" t="s">
        <v>1253</v>
      </c>
      <c r="AI202" s="53" t="s">
        <v>3</v>
      </c>
      <c r="AJ202" s="53">
        <v>0</v>
      </c>
      <c r="AK202" s="53" t="s">
        <v>3</v>
      </c>
      <c r="AL202" s="53" t="s">
        <v>1252</v>
      </c>
      <c r="AM202" s="53" t="s">
        <v>1253</v>
      </c>
      <c r="AN202" s="53" t="s">
        <v>3</v>
      </c>
      <c r="AO202" s="53">
        <v>0</v>
      </c>
      <c r="AP202" s="53" t="s">
        <v>3</v>
      </c>
      <c r="AQ202" s="53" t="s">
        <v>1252</v>
      </c>
      <c r="AR202" s="53" t="s">
        <v>1253</v>
      </c>
      <c r="AS202" s="53" t="s">
        <v>3</v>
      </c>
      <c r="AT202" s="53"/>
      <c r="AU202" s="53"/>
      <c r="AV202" s="53"/>
      <c r="AW202" s="53" t="s">
        <v>1761</v>
      </c>
    </row>
    <row r="203" spans="1:49" ht="30" customHeight="1" x14ac:dyDescent="0.3">
      <c r="A203" s="48" t="s">
        <v>1502</v>
      </c>
      <c r="B203" s="44" t="str">
        <f t="shared" si="6"/>
        <v>2</v>
      </c>
      <c r="C203" s="44" t="str">
        <f t="shared" si="7"/>
        <v>2</v>
      </c>
      <c r="D203" s="52" t="s">
        <v>2370</v>
      </c>
      <c r="E203" s="52" t="s">
        <v>2006</v>
      </c>
      <c r="F203" s="45">
        <v>45604</v>
      </c>
      <c r="G203" s="53" t="s">
        <v>1140</v>
      </c>
      <c r="H203" s="53" t="s">
        <v>2371</v>
      </c>
      <c r="I203" s="53" t="s">
        <v>1383</v>
      </c>
      <c r="J203" s="53" t="s">
        <v>2372</v>
      </c>
      <c r="K203" s="53" t="s">
        <v>2373</v>
      </c>
      <c r="L203" s="53" t="s">
        <v>2374</v>
      </c>
      <c r="M203" s="53" t="s">
        <v>3</v>
      </c>
      <c r="N203" s="53" t="s">
        <v>1141</v>
      </c>
      <c r="O203" s="53" t="s">
        <v>3</v>
      </c>
      <c r="P203" s="53" t="s">
        <v>3</v>
      </c>
      <c r="Q203" s="53" t="s">
        <v>2375</v>
      </c>
      <c r="R203" s="53" t="s">
        <v>2376</v>
      </c>
      <c r="S203" s="53" t="s">
        <v>3</v>
      </c>
      <c r="T203" s="53" t="s">
        <v>3</v>
      </c>
      <c r="U203" s="53" t="s">
        <v>2377</v>
      </c>
      <c r="V203" s="53">
        <v>2</v>
      </c>
      <c r="W203" s="53" t="s">
        <v>2522</v>
      </c>
      <c r="X203" s="53" t="s">
        <v>48</v>
      </c>
      <c r="Y203" s="53" t="s">
        <v>105</v>
      </c>
      <c r="Z203" s="53" t="s">
        <v>51</v>
      </c>
      <c r="AA203" s="53" t="s">
        <v>1384</v>
      </c>
      <c r="AB203" s="53" t="s">
        <v>95</v>
      </c>
      <c r="AC203" s="53" t="s">
        <v>124</v>
      </c>
      <c r="AD203" s="53" t="s">
        <v>3</v>
      </c>
      <c r="AE203" s="53">
        <v>0</v>
      </c>
      <c r="AF203" s="53" t="s">
        <v>3</v>
      </c>
      <c r="AG203" s="53" t="s">
        <v>1252</v>
      </c>
      <c r="AH203" s="53" t="s">
        <v>1253</v>
      </c>
      <c r="AI203" s="53" t="s">
        <v>3</v>
      </c>
      <c r="AJ203" s="53">
        <v>0</v>
      </c>
      <c r="AK203" s="53" t="s">
        <v>3</v>
      </c>
      <c r="AL203" s="53" t="s">
        <v>1252</v>
      </c>
      <c r="AM203" s="53" t="s">
        <v>1253</v>
      </c>
      <c r="AN203" s="53" t="s">
        <v>3</v>
      </c>
      <c r="AO203" s="53">
        <v>0</v>
      </c>
      <c r="AP203" s="53" t="s">
        <v>3</v>
      </c>
      <c r="AQ203" s="53" t="s">
        <v>1252</v>
      </c>
      <c r="AR203" s="53" t="s">
        <v>1253</v>
      </c>
      <c r="AS203" s="53" t="s">
        <v>3</v>
      </c>
      <c r="AT203" s="53"/>
      <c r="AU203" s="53"/>
      <c r="AV203" s="53"/>
      <c r="AW203" s="53" t="s">
        <v>1761</v>
      </c>
    </row>
    <row r="204" spans="1:49" ht="30" customHeight="1" x14ac:dyDescent="0.3">
      <c r="A204" s="48" t="s">
        <v>1661</v>
      </c>
      <c r="B204" s="44" t="str">
        <f t="shared" si="6"/>
        <v>2</v>
      </c>
      <c r="C204" s="44" t="str">
        <f t="shared" si="7"/>
        <v>2</v>
      </c>
      <c r="D204" s="52" t="s">
        <v>2378</v>
      </c>
      <c r="E204" s="52" t="s">
        <v>2379</v>
      </c>
      <c r="F204" s="45">
        <v>45021</v>
      </c>
      <c r="G204" s="53" t="s">
        <v>1388</v>
      </c>
      <c r="H204" s="53" t="s">
        <v>1521</v>
      </c>
      <c r="I204" s="53" t="s">
        <v>1146</v>
      </c>
      <c r="J204" s="53" t="s">
        <v>2380</v>
      </c>
      <c r="K204" s="53" t="s">
        <v>1394</v>
      </c>
      <c r="L204" s="53" t="s">
        <v>1476</v>
      </c>
      <c r="M204" s="53" t="s">
        <v>1395</v>
      </c>
      <c r="N204" s="53" t="s">
        <v>3</v>
      </c>
      <c r="O204" s="53" t="s">
        <v>2108</v>
      </c>
      <c r="P204" s="53" t="s">
        <v>3</v>
      </c>
      <c r="Q204" s="53" t="s">
        <v>1466</v>
      </c>
      <c r="R204" s="53" t="s">
        <v>1486</v>
      </c>
      <c r="S204" s="53" t="s">
        <v>3</v>
      </c>
      <c r="T204" s="53" t="s">
        <v>3</v>
      </c>
      <c r="U204" s="53" t="s">
        <v>2381</v>
      </c>
      <c r="V204" s="53">
        <v>1</v>
      </c>
      <c r="W204" s="53" t="s">
        <v>2519</v>
      </c>
      <c r="X204" s="53" t="s">
        <v>86</v>
      </c>
      <c r="Y204" s="53" t="s">
        <v>152</v>
      </c>
      <c r="Z204" s="53" t="s">
        <v>1419</v>
      </c>
      <c r="AA204" s="53" t="s">
        <v>2528</v>
      </c>
      <c r="AB204" s="53" t="s">
        <v>96</v>
      </c>
      <c r="AC204" s="53" t="s">
        <v>148</v>
      </c>
      <c r="AD204" s="53" t="s">
        <v>2382</v>
      </c>
      <c r="AE204" s="53" t="s">
        <v>2383</v>
      </c>
      <c r="AF204" s="53" t="s">
        <v>1928</v>
      </c>
      <c r="AG204" s="53" t="s">
        <v>1464</v>
      </c>
      <c r="AH204" s="53" t="s">
        <v>1465</v>
      </c>
      <c r="AI204" s="53" t="s">
        <v>2382</v>
      </c>
      <c r="AJ204" s="53" t="s">
        <v>2383</v>
      </c>
      <c r="AK204" s="53" t="s">
        <v>1417</v>
      </c>
      <c r="AL204" s="53" t="s">
        <v>1444</v>
      </c>
      <c r="AM204" s="53" t="s">
        <v>1445</v>
      </c>
      <c r="AN204" s="53" t="s">
        <v>2382</v>
      </c>
      <c r="AO204" s="53" t="s">
        <v>2384</v>
      </c>
      <c r="AP204" s="53" t="s">
        <v>1251</v>
      </c>
      <c r="AQ204" s="53" t="s">
        <v>1398</v>
      </c>
      <c r="AR204" s="53" t="s">
        <v>1399</v>
      </c>
      <c r="AS204" s="53" t="s">
        <v>3</v>
      </c>
      <c r="AT204" s="53"/>
      <c r="AU204" s="53"/>
      <c r="AV204" s="53"/>
      <c r="AW204" s="53" t="s">
        <v>1761</v>
      </c>
    </row>
    <row r="205" spans="1:49" ht="30" customHeight="1" x14ac:dyDescent="0.3">
      <c r="A205" s="48" t="s">
        <v>1662</v>
      </c>
      <c r="B205" s="44" t="str">
        <f t="shared" si="6"/>
        <v>2</v>
      </c>
      <c r="C205" s="44" t="str">
        <f t="shared" si="7"/>
        <v>2</v>
      </c>
      <c r="D205" s="52" t="s">
        <v>2385</v>
      </c>
      <c r="E205" s="52" t="s">
        <v>2379</v>
      </c>
      <c r="F205" s="45">
        <v>45265</v>
      </c>
      <c r="G205" s="53" t="s">
        <v>1388</v>
      </c>
      <c r="H205" s="53" t="s">
        <v>1456</v>
      </c>
      <c r="I205" s="53" t="s">
        <v>1146</v>
      </c>
      <c r="J205" s="53" t="s">
        <v>2386</v>
      </c>
      <c r="K205" s="53" t="s">
        <v>1400</v>
      </c>
      <c r="L205" s="53" t="s">
        <v>3</v>
      </c>
      <c r="M205" s="53" t="s">
        <v>1428</v>
      </c>
      <c r="N205" s="53" t="s">
        <v>3</v>
      </c>
      <c r="O205" s="53" t="s">
        <v>1830</v>
      </c>
      <c r="P205" s="53" t="s">
        <v>3</v>
      </c>
      <c r="Q205" s="53" t="s">
        <v>1401</v>
      </c>
      <c r="R205" s="53" t="s">
        <v>2387</v>
      </c>
      <c r="S205" s="53" t="s">
        <v>3</v>
      </c>
      <c r="T205" s="53" t="s">
        <v>3</v>
      </c>
      <c r="U205" s="53" t="s">
        <v>2388</v>
      </c>
      <c r="V205" s="53">
        <v>1</v>
      </c>
      <c r="W205" s="53" t="s">
        <v>2521</v>
      </c>
      <c r="X205" s="53" t="s">
        <v>48</v>
      </c>
      <c r="Y205" s="53" t="s">
        <v>105</v>
      </c>
      <c r="Z205" s="53" t="s">
        <v>51</v>
      </c>
      <c r="AA205" s="53" t="s">
        <v>1384</v>
      </c>
      <c r="AB205" s="53" t="s">
        <v>95</v>
      </c>
      <c r="AC205" s="53" t="s">
        <v>124</v>
      </c>
      <c r="AD205" s="53" t="s">
        <v>3</v>
      </c>
      <c r="AE205" s="53">
        <v>0</v>
      </c>
      <c r="AF205" s="53" t="s">
        <v>3</v>
      </c>
      <c r="AG205" s="53" t="s">
        <v>1252</v>
      </c>
      <c r="AH205" s="53" t="s">
        <v>1253</v>
      </c>
      <c r="AI205" s="53" t="s">
        <v>3</v>
      </c>
      <c r="AJ205" s="53">
        <v>0</v>
      </c>
      <c r="AK205" s="53" t="s">
        <v>3</v>
      </c>
      <c r="AL205" s="53" t="s">
        <v>1252</v>
      </c>
      <c r="AM205" s="53" t="s">
        <v>1253</v>
      </c>
      <c r="AN205" s="53" t="s">
        <v>3</v>
      </c>
      <c r="AO205" s="53">
        <v>0</v>
      </c>
      <c r="AP205" s="53" t="s">
        <v>3</v>
      </c>
      <c r="AQ205" s="53" t="s">
        <v>1252</v>
      </c>
      <c r="AR205" s="53" t="s">
        <v>1253</v>
      </c>
      <c r="AS205" s="53" t="s">
        <v>3</v>
      </c>
      <c r="AT205" s="53"/>
      <c r="AU205" s="53"/>
      <c r="AV205" s="53"/>
      <c r="AW205" s="53" t="s">
        <v>1761</v>
      </c>
    </row>
    <row r="206" spans="1:49" ht="30" customHeight="1" x14ac:dyDescent="0.3">
      <c r="A206" s="48" t="s">
        <v>1663</v>
      </c>
      <c r="B206" s="44" t="str">
        <f t="shared" si="6"/>
        <v>2</v>
      </c>
      <c r="C206" s="44" t="str">
        <f t="shared" si="7"/>
        <v>2</v>
      </c>
      <c r="D206" s="52" t="s">
        <v>2389</v>
      </c>
      <c r="E206" s="52" t="s">
        <v>2379</v>
      </c>
      <c r="F206" s="45">
        <v>44782</v>
      </c>
      <c r="G206" s="53" t="s">
        <v>1140</v>
      </c>
      <c r="H206" s="53" t="s">
        <v>2390</v>
      </c>
      <c r="I206" s="53" t="s">
        <v>1146</v>
      </c>
      <c r="J206" s="53" t="s">
        <v>2391</v>
      </c>
      <c r="K206" s="53" t="s">
        <v>1489</v>
      </c>
      <c r="L206" s="53" t="s">
        <v>3</v>
      </c>
      <c r="M206" s="53" t="s">
        <v>2392</v>
      </c>
      <c r="N206" s="53" t="s">
        <v>1413</v>
      </c>
      <c r="O206" s="53" t="s">
        <v>3</v>
      </c>
      <c r="P206" s="53" t="s">
        <v>3</v>
      </c>
      <c r="Q206" s="53" t="s">
        <v>2281</v>
      </c>
      <c r="R206" s="53" t="s">
        <v>2393</v>
      </c>
      <c r="S206" s="53" t="s">
        <v>3</v>
      </c>
      <c r="T206" s="53" t="s">
        <v>1143</v>
      </c>
      <c r="U206" s="53" t="s">
        <v>2394</v>
      </c>
      <c r="V206" s="53">
        <v>2</v>
      </c>
      <c r="W206" s="53" t="s">
        <v>2520</v>
      </c>
      <c r="X206" s="53" t="s">
        <v>53</v>
      </c>
      <c r="Y206" s="53" t="s">
        <v>127</v>
      </c>
      <c r="Z206" s="53" t="s">
        <v>51</v>
      </c>
      <c r="AA206" s="53" t="s">
        <v>1384</v>
      </c>
      <c r="AB206" s="53" t="s">
        <v>95</v>
      </c>
      <c r="AC206" s="53" t="s">
        <v>124</v>
      </c>
      <c r="AD206" s="53" t="s">
        <v>3</v>
      </c>
      <c r="AE206" s="53">
        <v>0</v>
      </c>
      <c r="AF206" s="53" t="s">
        <v>3</v>
      </c>
      <c r="AG206" s="53" t="s">
        <v>1252</v>
      </c>
      <c r="AH206" s="53" t="s">
        <v>1253</v>
      </c>
      <c r="AI206" s="53" t="s">
        <v>3</v>
      </c>
      <c r="AJ206" s="53">
        <v>0</v>
      </c>
      <c r="AK206" s="53" t="s">
        <v>3</v>
      </c>
      <c r="AL206" s="53" t="s">
        <v>1252</v>
      </c>
      <c r="AM206" s="53" t="s">
        <v>1253</v>
      </c>
      <c r="AN206" s="53" t="s">
        <v>3</v>
      </c>
      <c r="AO206" s="53">
        <v>0</v>
      </c>
      <c r="AP206" s="53" t="s">
        <v>3</v>
      </c>
      <c r="AQ206" s="53" t="s">
        <v>1252</v>
      </c>
      <c r="AR206" s="53" t="s">
        <v>1253</v>
      </c>
      <c r="AS206" s="53" t="s">
        <v>3</v>
      </c>
      <c r="AT206" s="53"/>
      <c r="AU206" s="53"/>
      <c r="AV206" s="53"/>
      <c r="AW206" s="53" t="s">
        <v>1761</v>
      </c>
    </row>
    <row r="207" spans="1:49" ht="30" customHeight="1" x14ac:dyDescent="0.3">
      <c r="A207" s="48" t="s">
        <v>1664</v>
      </c>
      <c r="B207" s="44" t="str">
        <f t="shared" si="6"/>
        <v>2</v>
      </c>
      <c r="C207" s="44" t="str">
        <f t="shared" si="7"/>
        <v>2</v>
      </c>
      <c r="D207" s="52" t="s">
        <v>2395</v>
      </c>
      <c r="E207" s="52" t="s">
        <v>2379</v>
      </c>
      <c r="F207" s="45">
        <v>45083</v>
      </c>
      <c r="G207" s="53" t="s">
        <v>1140</v>
      </c>
      <c r="H207" s="53" t="s">
        <v>1390</v>
      </c>
      <c r="I207" s="53" t="s">
        <v>1146</v>
      </c>
      <c r="J207" s="53" t="s">
        <v>2396</v>
      </c>
      <c r="K207" s="53" t="s">
        <v>1389</v>
      </c>
      <c r="L207" s="53" t="s">
        <v>3</v>
      </c>
      <c r="M207" s="53" t="s">
        <v>3</v>
      </c>
      <c r="N207" s="53" t="s">
        <v>3</v>
      </c>
      <c r="O207" s="53" t="s">
        <v>3</v>
      </c>
      <c r="P207" s="53" t="s">
        <v>3</v>
      </c>
      <c r="Q207" s="53" t="s">
        <v>3</v>
      </c>
      <c r="R207" s="53" t="s">
        <v>3</v>
      </c>
      <c r="S207" s="53" t="s">
        <v>3</v>
      </c>
      <c r="T207" s="53" t="s">
        <v>3</v>
      </c>
      <c r="U207" s="53" t="s">
        <v>3</v>
      </c>
      <c r="V207" s="53">
        <v>1</v>
      </c>
      <c r="W207" s="53" t="s">
        <v>2518</v>
      </c>
      <c r="X207" s="53" t="s">
        <v>48</v>
      </c>
      <c r="Y207" s="53" t="s">
        <v>105</v>
      </c>
      <c r="Z207" s="53" t="s">
        <v>51</v>
      </c>
      <c r="AA207" s="53" t="s">
        <v>1384</v>
      </c>
      <c r="AB207" s="53" t="s">
        <v>95</v>
      </c>
      <c r="AC207" s="53" t="s">
        <v>124</v>
      </c>
      <c r="AD207" s="53" t="s">
        <v>3</v>
      </c>
      <c r="AE207" s="53">
        <v>0</v>
      </c>
      <c r="AF207" s="53" t="s">
        <v>3</v>
      </c>
      <c r="AG207" s="53" t="s">
        <v>1252</v>
      </c>
      <c r="AH207" s="53" t="s">
        <v>1253</v>
      </c>
      <c r="AI207" s="53" t="s">
        <v>3</v>
      </c>
      <c r="AJ207" s="53">
        <v>0</v>
      </c>
      <c r="AK207" s="53" t="s">
        <v>3</v>
      </c>
      <c r="AL207" s="53" t="s">
        <v>1252</v>
      </c>
      <c r="AM207" s="53" t="s">
        <v>1253</v>
      </c>
      <c r="AN207" s="53" t="s">
        <v>3</v>
      </c>
      <c r="AO207" s="53">
        <v>0</v>
      </c>
      <c r="AP207" s="53" t="s">
        <v>3</v>
      </c>
      <c r="AQ207" s="53" t="s">
        <v>1252</v>
      </c>
      <c r="AR207" s="53" t="s">
        <v>1253</v>
      </c>
      <c r="AS207" s="53" t="s">
        <v>3</v>
      </c>
      <c r="AT207" s="53"/>
      <c r="AU207" s="53"/>
      <c r="AV207" s="53"/>
      <c r="AW207" s="53" t="s">
        <v>1761</v>
      </c>
    </row>
    <row r="208" spans="1:49" ht="30" customHeight="1" x14ac:dyDescent="0.3">
      <c r="A208" s="48" t="s">
        <v>1665</v>
      </c>
      <c r="B208" s="44" t="str">
        <f t="shared" si="6"/>
        <v>2</v>
      </c>
      <c r="C208" s="44" t="str">
        <f t="shared" si="7"/>
        <v>2</v>
      </c>
      <c r="D208" s="52" t="s">
        <v>2397</v>
      </c>
      <c r="E208" s="52" t="s">
        <v>2318</v>
      </c>
      <c r="F208" s="45">
        <v>45644</v>
      </c>
      <c r="G208" s="53" t="s">
        <v>1388</v>
      </c>
      <c r="H208" s="53" t="s">
        <v>2398</v>
      </c>
      <c r="I208" s="53" t="s">
        <v>1146</v>
      </c>
      <c r="J208" s="53" t="s">
        <v>2399</v>
      </c>
      <c r="K208" s="53" t="s">
        <v>2269</v>
      </c>
      <c r="L208" s="53" t="s">
        <v>1504</v>
      </c>
      <c r="M208" s="53" t="s">
        <v>2400</v>
      </c>
      <c r="N208" s="53" t="s">
        <v>1141</v>
      </c>
      <c r="O208" s="53" t="s">
        <v>3</v>
      </c>
      <c r="P208" s="53" t="s">
        <v>3</v>
      </c>
      <c r="Q208" s="53" t="s">
        <v>2401</v>
      </c>
      <c r="R208" s="53" t="s">
        <v>1766</v>
      </c>
      <c r="S208" s="53" t="s">
        <v>1142</v>
      </c>
      <c r="T208" s="53" t="s">
        <v>3</v>
      </c>
      <c r="U208" s="53" t="s">
        <v>2402</v>
      </c>
      <c r="V208" s="53">
        <v>3</v>
      </c>
      <c r="W208" s="53" t="s">
        <v>2519</v>
      </c>
      <c r="X208" s="53" t="s">
        <v>1385</v>
      </c>
      <c r="Y208" s="53" t="s">
        <v>1799</v>
      </c>
      <c r="Z208" s="53" t="s">
        <v>1419</v>
      </c>
      <c r="AA208" s="53" t="s">
        <v>2528</v>
      </c>
      <c r="AB208" s="53" t="s">
        <v>1385</v>
      </c>
      <c r="AC208" s="53" t="s">
        <v>1799</v>
      </c>
      <c r="AD208" s="53" t="s">
        <v>2402</v>
      </c>
      <c r="AE208" s="53" t="s">
        <v>2403</v>
      </c>
      <c r="AF208" s="53" t="s">
        <v>1928</v>
      </c>
      <c r="AG208" s="53" t="s">
        <v>1894</v>
      </c>
      <c r="AH208" s="53" t="s">
        <v>1895</v>
      </c>
      <c r="AI208" s="53" t="s">
        <v>2402</v>
      </c>
      <c r="AJ208" s="53" t="s">
        <v>2403</v>
      </c>
      <c r="AK208" s="53" t="s">
        <v>1928</v>
      </c>
      <c r="AL208" s="53" t="s">
        <v>1482</v>
      </c>
      <c r="AM208" s="53" t="s">
        <v>1483</v>
      </c>
      <c r="AN208" s="53" t="s">
        <v>2402</v>
      </c>
      <c r="AO208" s="53" t="s">
        <v>2403</v>
      </c>
      <c r="AP208" s="53" t="s">
        <v>1928</v>
      </c>
      <c r="AQ208" s="53" t="s">
        <v>1421</v>
      </c>
      <c r="AR208" s="53" t="s">
        <v>1422</v>
      </c>
      <c r="AS208" s="53" t="s">
        <v>3</v>
      </c>
      <c r="AT208" s="53"/>
      <c r="AU208" s="53"/>
      <c r="AV208" s="53"/>
      <c r="AW208" s="53" t="s">
        <v>1761</v>
      </c>
    </row>
    <row r="209" spans="1:49" ht="30" customHeight="1" x14ac:dyDescent="0.3">
      <c r="A209" s="48" t="s">
        <v>1666</v>
      </c>
      <c r="B209" s="44" t="str">
        <f t="shared" si="6"/>
        <v>2</v>
      </c>
      <c r="C209" s="44" t="str">
        <f t="shared" si="7"/>
        <v>2</v>
      </c>
      <c r="D209" s="52" t="s">
        <v>2404</v>
      </c>
      <c r="E209" s="52" t="s">
        <v>2405</v>
      </c>
      <c r="F209" s="45">
        <v>43656</v>
      </c>
      <c r="G209" s="53" t="s">
        <v>1455</v>
      </c>
      <c r="H209" s="53" t="s">
        <v>1390</v>
      </c>
      <c r="I209" s="53" t="s">
        <v>1146</v>
      </c>
      <c r="J209" s="53" t="s">
        <v>2406</v>
      </c>
      <c r="K209" s="53" t="s">
        <v>1763</v>
      </c>
      <c r="L209" s="53" t="s">
        <v>3</v>
      </c>
      <c r="M209" s="53" t="s">
        <v>1781</v>
      </c>
      <c r="N209" s="53" t="s">
        <v>3</v>
      </c>
      <c r="O209" s="53" t="s">
        <v>3</v>
      </c>
      <c r="P209" s="53" t="s">
        <v>3</v>
      </c>
      <c r="Q209" s="53" t="s">
        <v>2407</v>
      </c>
      <c r="R209" s="53" t="s">
        <v>1798</v>
      </c>
      <c r="S209" s="53" t="s">
        <v>1142</v>
      </c>
      <c r="T209" s="53" t="s">
        <v>3</v>
      </c>
      <c r="U209" s="53" t="s">
        <v>3</v>
      </c>
      <c r="V209" s="53">
        <v>1</v>
      </c>
      <c r="W209" s="53" t="s">
        <v>2520</v>
      </c>
      <c r="X209" s="53" t="s">
        <v>53</v>
      </c>
      <c r="Y209" s="53" t="s">
        <v>127</v>
      </c>
      <c r="Z209" s="53" t="s">
        <v>84</v>
      </c>
      <c r="AA209" s="53" t="s">
        <v>147</v>
      </c>
      <c r="AB209" s="53" t="s">
        <v>95</v>
      </c>
      <c r="AC209" s="53" t="s">
        <v>124</v>
      </c>
      <c r="AD209" s="53" t="s">
        <v>3</v>
      </c>
      <c r="AE209" s="53">
        <v>0</v>
      </c>
      <c r="AF209" s="53" t="s">
        <v>3</v>
      </c>
      <c r="AG209" s="53" t="s">
        <v>1252</v>
      </c>
      <c r="AH209" s="53" t="s">
        <v>1253</v>
      </c>
      <c r="AI209" s="53" t="s">
        <v>3</v>
      </c>
      <c r="AJ209" s="53">
        <v>0</v>
      </c>
      <c r="AK209" s="53" t="s">
        <v>3</v>
      </c>
      <c r="AL209" s="53" t="s">
        <v>1252</v>
      </c>
      <c r="AM209" s="53" t="s">
        <v>1253</v>
      </c>
      <c r="AN209" s="53">
        <v>0</v>
      </c>
      <c r="AO209" s="53">
        <v>0</v>
      </c>
      <c r="AP209" s="53">
        <v>0</v>
      </c>
      <c r="AQ209" s="53">
        <v>0</v>
      </c>
      <c r="AR209" s="53" t="e">
        <v>#N/A</v>
      </c>
      <c r="AS209" s="53" t="s">
        <v>3</v>
      </c>
      <c r="AT209" s="53"/>
      <c r="AU209" s="53"/>
      <c r="AV209" s="53"/>
      <c r="AW209" s="53" t="s">
        <v>1761</v>
      </c>
    </row>
    <row r="210" spans="1:49" ht="30" customHeight="1" x14ac:dyDescent="0.3">
      <c r="A210" s="48" t="s">
        <v>1667</v>
      </c>
      <c r="B210" s="44" t="str">
        <f t="shared" si="6"/>
        <v>2</v>
      </c>
      <c r="C210" s="44" t="str">
        <f t="shared" si="7"/>
        <v>2</v>
      </c>
      <c r="D210" s="52" t="s">
        <v>2408</v>
      </c>
      <c r="E210" s="52" t="s">
        <v>2409</v>
      </c>
      <c r="F210" s="45">
        <v>44348</v>
      </c>
      <c r="G210" s="53" t="s">
        <v>1388</v>
      </c>
      <c r="H210" s="53" t="s">
        <v>1173</v>
      </c>
      <c r="I210" s="53" t="s">
        <v>1146</v>
      </c>
      <c r="J210" s="53" t="s">
        <v>2410</v>
      </c>
      <c r="K210" s="53" t="s">
        <v>1389</v>
      </c>
      <c r="L210" s="53" t="s">
        <v>3</v>
      </c>
      <c r="M210" s="53" t="s">
        <v>3</v>
      </c>
      <c r="N210" s="53" t="s">
        <v>3</v>
      </c>
      <c r="O210" s="53" t="s">
        <v>3</v>
      </c>
      <c r="P210" s="53" t="s">
        <v>3</v>
      </c>
      <c r="Q210" s="53" t="s">
        <v>3</v>
      </c>
      <c r="R210" s="53" t="s">
        <v>3</v>
      </c>
      <c r="S210" s="53" t="s">
        <v>3</v>
      </c>
      <c r="T210" s="53" t="s">
        <v>3</v>
      </c>
      <c r="U210" s="53" t="s">
        <v>2411</v>
      </c>
      <c r="V210" s="53">
        <v>3</v>
      </c>
      <c r="W210" s="53" t="s">
        <v>2518</v>
      </c>
      <c r="X210" s="53" t="s">
        <v>48</v>
      </c>
      <c r="Y210" s="53" t="s">
        <v>105</v>
      </c>
      <c r="Z210" s="53" t="s">
        <v>51</v>
      </c>
      <c r="AA210" s="53" t="s">
        <v>1384</v>
      </c>
      <c r="AB210" s="53" t="s">
        <v>95</v>
      </c>
      <c r="AC210" s="53" t="s">
        <v>124</v>
      </c>
      <c r="AD210" s="53" t="s">
        <v>3</v>
      </c>
      <c r="AE210" s="53">
        <v>0</v>
      </c>
      <c r="AF210" s="53" t="s">
        <v>3</v>
      </c>
      <c r="AG210" s="53" t="s">
        <v>1252</v>
      </c>
      <c r="AH210" s="53" t="s">
        <v>1253</v>
      </c>
      <c r="AI210" s="53" t="s">
        <v>3</v>
      </c>
      <c r="AJ210" s="53">
        <v>0</v>
      </c>
      <c r="AK210" s="53" t="s">
        <v>3</v>
      </c>
      <c r="AL210" s="53" t="s">
        <v>1252</v>
      </c>
      <c r="AM210" s="53" t="s">
        <v>1253</v>
      </c>
      <c r="AN210" s="53">
        <v>0</v>
      </c>
      <c r="AO210" s="53">
        <v>0</v>
      </c>
      <c r="AP210" s="53">
        <v>0</v>
      </c>
      <c r="AQ210" s="53">
        <v>0</v>
      </c>
      <c r="AR210" s="53" t="e">
        <v>#N/A</v>
      </c>
      <c r="AS210" s="53">
        <v>95</v>
      </c>
      <c r="AT210" s="53"/>
      <c r="AU210" s="53"/>
      <c r="AV210" s="53"/>
      <c r="AW210" s="53" t="s">
        <v>1761</v>
      </c>
    </row>
    <row r="211" spans="1:49" ht="30" customHeight="1" x14ac:dyDescent="0.3">
      <c r="A211" s="48" t="s">
        <v>1668</v>
      </c>
      <c r="B211" s="44" t="str">
        <f t="shared" si="6"/>
        <v>2</v>
      </c>
      <c r="C211" s="44" t="str">
        <f t="shared" si="7"/>
        <v>2</v>
      </c>
      <c r="D211" s="52" t="s">
        <v>2412</v>
      </c>
      <c r="E211" s="52" t="s">
        <v>2409</v>
      </c>
      <c r="F211" s="45">
        <v>44348</v>
      </c>
      <c r="G211" s="53" t="s">
        <v>2413</v>
      </c>
      <c r="H211" s="53" t="s">
        <v>2414</v>
      </c>
      <c r="I211" s="53" t="s">
        <v>1146</v>
      </c>
      <c r="J211" s="53" t="s">
        <v>2410</v>
      </c>
      <c r="K211" s="53" t="s">
        <v>2415</v>
      </c>
      <c r="L211" s="53" t="s">
        <v>2280</v>
      </c>
      <c r="M211" s="53" t="s">
        <v>2416</v>
      </c>
      <c r="N211" s="53" t="s">
        <v>3</v>
      </c>
      <c r="O211" s="53" t="s">
        <v>3</v>
      </c>
      <c r="P211" s="53" t="s">
        <v>3</v>
      </c>
      <c r="Q211" s="53" t="s">
        <v>1466</v>
      </c>
      <c r="R211" s="53" t="s">
        <v>1475</v>
      </c>
      <c r="S211" s="53" t="s">
        <v>3</v>
      </c>
      <c r="T211" s="53" t="s">
        <v>3</v>
      </c>
      <c r="U211" s="53" t="s">
        <v>2417</v>
      </c>
      <c r="V211" s="53">
        <v>1</v>
      </c>
      <c r="W211" s="53" t="s">
        <v>2522</v>
      </c>
      <c r="X211" s="53" t="s">
        <v>1385</v>
      </c>
      <c r="Y211" s="53" t="s">
        <v>1799</v>
      </c>
      <c r="Z211" s="53" t="s">
        <v>1419</v>
      </c>
      <c r="AA211" s="53" t="s">
        <v>2528</v>
      </c>
      <c r="AB211" s="53" t="s">
        <v>1385</v>
      </c>
      <c r="AC211" s="53" t="s">
        <v>1799</v>
      </c>
      <c r="AD211" s="53" t="s">
        <v>3</v>
      </c>
      <c r="AE211" s="53">
        <v>0</v>
      </c>
      <c r="AF211" s="53" t="s">
        <v>3</v>
      </c>
      <c r="AG211" s="53" t="s">
        <v>1252</v>
      </c>
      <c r="AH211" s="53" t="s">
        <v>1253</v>
      </c>
      <c r="AI211" s="53" t="s">
        <v>3</v>
      </c>
      <c r="AJ211" s="53">
        <v>0</v>
      </c>
      <c r="AK211" s="53" t="s">
        <v>3</v>
      </c>
      <c r="AL211" s="53" t="s">
        <v>1252</v>
      </c>
      <c r="AM211" s="53" t="s">
        <v>1253</v>
      </c>
      <c r="AN211" s="53">
        <v>0</v>
      </c>
      <c r="AO211" s="53">
        <v>0</v>
      </c>
      <c r="AP211" s="53">
        <v>0</v>
      </c>
      <c r="AQ211" s="53">
        <v>0</v>
      </c>
      <c r="AR211" s="53" t="e">
        <v>#N/A</v>
      </c>
      <c r="AS211" s="53" t="s">
        <v>3</v>
      </c>
      <c r="AT211" s="53"/>
      <c r="AU211" s="53"/>
      <c r="AV211" s="53"/>
      <c r="AW211" s="53" t="s">
        <v>1761</v>
      </c>
    </row>
    <row r="212" spans="1:49" ht="30" customHeight="1" x14ac:dyDescent="0.3">
      <c r="A212" s="48" t="s">
        <v>1669</v>
      </c>
      <c r="B212" s="44" t="str">
        <f t="shared" si="6"/>
        <v>2</v>
      </c>
      <c r="C212" s="44" t="str">
        <f t="shared" si="7"/>
        <v>2</v>
      </c>
      <c r="D212" s="52" t="s">
        <v>2418</v>
      </c>
      <c r="E212" s="52" t="s">
        <v>2409</v>
      </c>
      <c r="F212" s="45">
        <v>43257</v>
      </c>
      <c r="G212" s="53" t="s">
        <v>2413</v>
      </c>
      <c r="H212" s="53" t="s">
        <v>2419</v>
      </c>
      <c r="I212" s="53" t="s">
        <v>1146</v>
      </c>
      <c r="J212" s="53" t="s">
        <v>2410</v>
      </c>
      <c r="K212" s="53" t="s">
        <v>2420</v>
      </c>
      <c r="L212" s="53" t="s">
        <v>1504</v>
      </c>
      <c r="M212" s="53" t="s">
        <v>2421</v>
      </c>
      <c r="N212" s="53" t="s">
        <v>1141</v>
      </c>
      <c r="O212" s="53" t="s">
        <v>1453</v>
      </c>
      <c r="P212" s="53">
        <v>0</v>
      </c>
      <c r="Q212" s="53" t="s">
        <v>2091</v>
      </c>
      <c r="R212" s="53" t="s">
        <v>2422</v>
      </c>
      <c r="S212" s="53" t="s">
        <v>1142</v>
      </c>
      <c r="T212" s="53" t="s">
        <v>3</v>
      </c>
      <c r="U212" s="53" t="s">
        <v>2423</v>
      </c>
      <c r="V212" s="53">
        <v>2</v>
      </c>
      <c r="W212" s="53" t="s">
        <v>2522</v>
      </c>
      <c r="X212" s="53" t="s">
        <v>1385</v>
      </c>
      <c r="Y212" s="53" t="s">
        <v>1799</v>
      </c>
      <c r="Z212" s="53" t="s">
        <v>1419</v>
      </c>
      <c r="AA212" s="53" t="s">
        <v>2528</v>
      </c>
      <c r="AB212" s="53" t="s">
        <v>1385</v>
      </c>
      <c r="AC212" s="53" t="s">
        <v>1799</v>
      </c>
      <c r="AD212" s="53" t="s">
        <v>2424</v>
      </c>
      <c r="AE212" s="53" t="s">
        <v>2425</v>
      </c>
      <c r="AF212" s="53" t="s">
        <v>1417</v>
      </c>
      <c r="AG212" s="53" t="s">
        <v>1423</v>
      </c>
      <c r="AH212" s="53" t="s">
        <v>1424</v>
      </c>
      <c r="AI212" s="53" t="s">
        <v>3</v>
      </c>
      <c r="AJ212" s="53">
        <v>0</v>
      </c>
      <c r="AK212" s="53" t="s">
        <v>3</v>
      </c>
      <c r="AL212" s="53" t="s">
        <v>1252</v>
      </c>
      <c r="AM212" s="53" t="s">
        <v>1253</v>
      </c>
      <c r="AN212" s="53">
        <v>0</v>
      </c>
      <c r="AO212" s="53">
        <v>0</v>
      </c>
      <c r="AP212" s="53">
        <v>0</v>
      </c>
      <c r="AQ212" s="53">
        <v>0</v>
      </c>
      <c r="AR212" s="53" t="e">
        <v>#N/A</v>
      </c>
      <c r="AS212" s="53" t="s">
        <v>3</v>
      </c>
      <c r="AT212" s="53"/>
      <c r="AU212" s="53"/>
      <c r="AV212" s="53"/>
      <c r="AW212" s="53" t="s">
        <v>1761</v>
      </c>
    </row>
    <row r="213" spans="1:49" ht="30" customHeight="1" x14ac:dyDescent="0.3">
      <c r="A213" s="48" t="s">
        <v>1670</v>
      </c>
      <c r="B213" s="44" t="str">
        <f t="shared" si="6"/>
        <v>2</v>
      </c>
      <c r="C213" s="44" t="str">
        <f t="shared" si="7"/>
        <v>2</v>
      </c>
      <c r="D213" s="52" t="s">
        <v>2426</v>
      </c>
      <c r="E213" s="52" t="s">
        <v>2409</v>
      </c>
      <c r="F213" s="45">
        <v>43311</v>
      </c>
      <c r="G213" s="53" t="s">
        <v>2413</v>
      </c>
      <c r="H213" s="53" t="s">
        <v>1425</v>
      </c>
      <c r="I213" s="53" t="s">
        <v>1146</v>
      </c>
      <c r="J213" s="53" t="s">
        <v>2410</v>
      </c>
      <c r="K213" s="53" t="s">
        <v>1389</v>
      </c>
      <c r="L213" s="53" t="s">
        <v>3</v>
      </c>
      <c r="M213" s="53" t="s">
        <v>2427</v>
      </c>
      <c r="N213" s="53" t="s">
        <v>3</v>
      </c>
      <c r="O213" s="53" t="s">
        <v>3</v>
      </c>
      <c r="P213" s="53" t="s">
        <v>3</v>
      </c>
      <c r="Q213" s="53" t="s">
        <v>3</v>
      </c>
      <c r="R213" s="53" t="s">
        <v>3</v>
      </c>
      <c r="S213" s="53" t="s">
        <v>3</v>
      </c>
      <c r="T213" s="53" t="s">
        <v>3</v>
      </c>
      <c r="U213" s="53" t="s">
        <v>2428</v>
      </c>
      <c r="V213" s="53">
        <v>3</v>
      </c>
      <c r="W213" s="53" t="s">
        <v>2518</v>
      </c>
      <c r="X213" s="53" t="s">
        <v>48</v>
      </c>
      <c r="Y213" s="53" t="s">
        <v>105</v>
      </c>
      <c r="Z213" s="53" t="s">
        <v>51</v>
      </c>
      <c r="AA213" s="53" t="s">
        <v>1384</v>
      </c>
      <c r="AB213" s="53" t="s">
        <v>95</v>
      </c>
      <c r="AC213" s="53" t="s">
        <v>124</v>
      </c>
      <c r="AD213" s="53" t="s">
        <v>3</v>
      </c>
      <c r="AE213" s="53">
        <v>0</v>
      </c>
      <c r="AF213" s="53" t="s">
        <v>3</v>
      </c>
      <c r="AG213" s="53" t="s">
        <v>1252</v>
      </c>
      <c r="AH213" s="53" t="s">
        <v>1253</v>
      </c>
      <c r="AI213" s="53" t="s">
        <v>3</v>
      </c>
      <c r="AJ213" s="53">
        <v>0</v>
      </c>
      <c r="AK213" s="53" t="s">
        <v>3</v>
      </c>
      <c r="AL213" s="53" t="s">
        <v>1252</v>
      </c>
      <c r="AM213" s="53" t="s">
        <v>1253</v>
      </c>
      <c r="AN213" s="53">
        <v>0</v>
      </c>
      <c r="AO213" s="53">
        <v>0</v>
      </c>
      <c r="AP213" s="53">
        <v>0</v>
      </c>
      <c r="AQ213" s="53">
        <v>0</v>
      </c>
      <c r="AR213" s="53" t="e">
        <v>#N/A</v>
      </c>
      <c r="AS213" s="53" t="s">
        <v>3</v>
      </c>
      <c r="AT213" s="53"/>
      <c r="AU213" s="53"/>
      <c r="AV213" s="53"/>
      <c r="AW213" s="53" t="s">
        <v>1761</v>
      </c>
    </row>
    <row r="214" spans="1:49" ht="30" customHeight="1" x14ac:dyDescent="0.3">
      <c r="A214" s="48" t="s">
        <v>1671</v>
      </c>
      <c r="B214" s="44" t="str">
        <f t="shared" si="6"/>
        <v>2</v>
      </c>
      <c r="C214" s="44" t="str">
        <f t="shared" si="7"/>
        <v>2</v>
      </c>
      <c r="D214" s="52" t="s">
        <v>2429</v>
      </c>
      <c r="E214" s="52" t="s">
        <v>2409</v>
      </c>
      <c r="F214" s="45">
        <v>44179</v>
      </c>
      <c r="G214" s="53" t="s">
        <v>1388</v>
      </c>
      <c r="H214" s="53" t="s">
        <v>2430</v>
      </c>
      <c r="I214" s="53" t="s">
        <v>1146</v>
      </c>
      <c r="J214" s="53" t="s">
        <v>2410</v>
      </c>
      <c r="K214" s="53" t="s">
        <v>1436</v>
      </c>
      <c r="L214" s="53" t="s">
        <v>1517</v>
      </c>
      <c r="M214" s="53" t="s">
        <v>2431</v>
      </c>
      <c r="N214" s="53" t="s">
        <v>3</v>
      </c>
      <c r="O214" s="53" t="s">
        <v>3</v>
      </c>
      <c r="P214" s="53" t="s">
        <v>3</v>
      </c>
      <c r="Q214" s="53" t="s">
        <v>1466</v>
      </c>
      <c r="R214" s="53" t="s">
        <v>1475</v>
      </c>
      <c r="S214" s="53" t="s">
        <v>3</v>
      </c>
      <c r="T214" s="53" t="s">
        <v>3</v>
      </c>
      <c r="U214" s="53" t="s">
        <v>2432</v>
      </c>
      <c r="V214" s="53">
        <v>1</v>
      </c>
      <c r="W214" s="53" t="s">
        <v>2522</v>
      </c>
      <c r="X214" s="53" t="s">
        <v>53</v>
      </c>
      <c r="Y214" s="53" t="s">
        <v>127</v>
      </c>
      <c r="Z214" s="53" t="s">
        <v>84</v>
      </c>
      <c r="AA214" s="53" t="s">
        <v>147</v>
      </c>
      <c r="AB214" s="53" t="s">
        <v>95</v>
      </c>
      <c r="AC214" s="53" t="s">
        <v>124</v>
      </c>
      <c r="AD214" s="53" t="s">
        <v>3</v>
      </c>
      <c r="AE214" s="53">
        <v>0</v>
      </c>
      <c r="AF214" s="53" t="s">
        <v>3</v>
      </c>
      <c r="AG214" s="53" t="s">
        <v>1252</v>
      </c>
      <c r="AH214" s="53" t="s">
        <v>1253</v>
      </c>
      <c r="AI214" s="53" t="s">
        <v>3</v>
      </c>
      <c r="AJ214" s="53">
        <v>0</v>
      </c>
      <c r="AK214" s="53" t="s">
        <v>3</v>
      </c>
      <c r="AL214" s="53" t="s">
        <v>1252</v>
      </c>
      <c r="AM214" s="53" t="s">
        <v>1253</v>
      </c>
      <c r="AN214" s="53">
        <v>0</v>
      </c>
      <c r="AO214" s="53">
        <v>0</v>
      </c>
      <c r="AP214" s="53">
        <v>0</v>
      </c>
      <c r="AQ214" s="53">
        <v>0</v>
      </c>
      <c r="AR214" s="53" t="e">
        <v>#N/A</v>
      </c>
      <c r="AS214" s="53" t="s">
        <v>3</v>
      </c>
      <c r="AT214" s="53"/>
      <c r="AU214" s="53"/>
      <c r="AV214" s="53"/>
      <c r="AW214" s="53" t="s">
        <v>1761</v>
      </c>
    </row>
    <row r="215" spans="1:49" ht="30" customHeight="1" x14ac:dyDescent="0.3">
      <c r="A215" s="48" t="s">
        <v>1672</v>
      </c>
      <c r="B215" s="44" t="str">
        <f t="shared" si="6"/>
        <v>2</v>
      </c>
      <c r="C215" s="44" t="str">
        <f t="shared" si="7"/>
        <v>2</v>
      </c>
      <c r="D215" s="52" t="s">
        <v>2433</v>
      </c>
      <c r="E215" s="52" t="s">
        <v>2434</v>
      </c>
      <c r="F215" s="45">
        <v>43090</v>
      </c>
      <c r="G215" s="53" t="s">
        <v>1412</v>
      </c>
      <c r="H215" s="53" t="s">
        <v>1492</v>
      </c>
      <c r="I215" s="53" t="s">
        <v>1146</v>
      </c>
      <c r="J215" s="53" t="s">
        <v>2435</v>
      </c>
      <c r="K215" s="53" t="s">
        <v>1434</v>
      </c>
      <c r="L215" s="53" t="s">
        <v>1431</v>
      </c>
      <c r="M215" s="53" t="s">
        <v>1435</v>
      </c>
      <c r="N215" s="53" t="s">
        <v>1393</v>
      </c>
      <c r="O215" s="53" t="s">
        <v>2436</v>
      </c>
      <c r="P215" s="53" t="s">
        <v>3</v>
      </c>
      <c r="Q215" s="53" t="s">
        <v>2437</v>
      </c>
      <c r="R215" s="53" t="s">
        <v>3</v>
      </c>
      <c r="S215" s="53" t="s">
        <v>3</v>
      </c>
      <c r="T215" s="53" t="s">
        <v>3</v>
      </c>
      <c r="U215" s="53" t="s">
        <v>2438</v>
      </c>
      <c r="V215" s="53">
        <v>2</v>
      </c>
      <c r="W215" s="53" t="s">
        <v>2521</v>
      </c>
      <c r="X215" s="53" t="s">
        <v>48</v>
      </c>
      <c r="Y215" s="53" t="s">
        <v>105</v>
      </c>
      <c r="Z215" s="53" t="s">
        <v>51</v>
      </c>
      <c r="AA215" s="53" t="s">
        <v>1384</v>
      </c>
      <c r="AB215" s="53" t="s">
        <v>95</v>
      </c>
      <c r="AC215" s="53" t="s">
        <v>124</v>
      </c>
      <c r="AD215" s="53" t="s">
        <v>3</v>
      </c>
      <c r="AE215" s="53">
        <v>0</v>
      </c>
      <c r="AF215" s="53" t="s">
        <v>3</v>
      </c>
      <c r="AG215" s="53" t="s">
        <v>1252</v>
      </c>
      <c r="AH215" s="53" t="s">
        <v>1253</v>
      </c>
      <c r="AI215" s="53" t="s">
        <v>3</v>
      </c>
      <c r="AJ215" s="53">
        <v>0</v>
      </c>
      <c r="AK215" s="53" t="s">
        <v>3</v>
      </c>
      <c r="AL215" s="53" t="s">
        <v>1252</v>
      </c>
      <c r="AM215" s="53" t="s">
        <v>1253</v>
      </c>
      <c r="AN215" s="53">
        <v>0</v>
      </c>
      <c r="AO215" s="53">
        <v>0</v>
      </c>
      <c r="AP215" s="53">
        <v>0</v>
      </c>
      <c r="AQ215" s="53">
        <v>0</v>
      </c>
      <c r="AR215" s="53" t="e">
        <v>#N/A</v>
      </c>
      <c r="AS215" s="53" t="s">
        <v>3</v>
      </c>
      <c r="AT215" s="53"/>
      <c r="AU215" s="53"/>
      <c r="AV215" s="53"/>
      <c r="AW215" s="53" t="s">
        <v>1761</v>
      </c>
    </row>
    <row r="216" spans="1:49" ht="30" customHeight="1" x14ac:dyDescent="0.3">
      <c r="A216" s="48" t="s">
        <v>1673</v>
      </c>
      <c r="B216" s="44" t="str">
        <f t="shared" si="6"/>
        <v>2</v>
      </c>
      <c r="C216" s="44" t="str">
        <f t="shared" si="7"/>
        <v>2</v>
      </c>
      <c r="D216" s="52" t="s">
        <v>2439</v>
      </c>
      <c r="E216" s="52" t="s">
        <v>2440</v>
      </c>
      <c r="F216" s="45">
        <v>41744</v>
      </c>
      <c r="G216" s="53" t="s">
        <v>1388</v>
      </c>
      <c r="H216" s="53" t="s">
        <v>2441</v>
      </c>
      <c r="I216" s="53" t="s">
        <v>1146</v>
      </c>
      <c r="J216" s="53" t="s">
        <v>2442</v>
      </c>
      <c r="K216" s="53" t="s">
        <v>1405</v>
      </c>
      <c r="L216" s="53" t="s">
        <v>3</v>
      </c>
      <c r="M216" s="53" t="s">
        <v>1406</v>
      </c>
      <c r="N216" s="53" t="s">
        <v>3</v>
      </c>
      <c r="O216" s="53" t="s">
        <v>3</v>
      </c>
      <c r="P216" s="53" t="s">
        <v>3</v>
      </c>
      <c r="Q216" s="53" t="s">
        <v>1404</v>
      </c>
      <c r="R216" s="53" t="s">
        <v>2443</v>
      </c>
      <c r="S216" s="53" t="s">
        <v>3</v>
      </c>
      <c r="T216" s="53" t="s">
        <v>3</v>
      </c>
      <c r="U216" s="53" t="s">
        <v>2444</v>
      </c>
      <c r="V216" s="53">
        <v>2</v>
      </c>
      <c r="W216" s="53" t="s">
        <v>2521</v>
      </c>
      <c r="X216" s="53" t="s">
        <v>48</v>
      </c>
      <c r="Y216" s="53" t="s">
        <v>105</v>
      </c>
      <c r="Z216" s="53" t="s">
        <v>51</v>
      </c>
      <c r="AA216" s="53" t="s">
        <v>1384</v>
      </c>
      <c r="AB216" s="53" t="s">
        <v>95</v>
      </c>
      <c r="AC216" s="53" t="s">
        <v>124</v>
      </c>
      <c r="AD216" s="53" t="s">
        <v>3</v>
      </c>
      <c r="AE216" s="53">
        <v>0</v>
      </c>
      <c r="AF216" s="53" t="s">
        <v>3</v>
      </c>
      <c r="AG216" s="53" t="s">
        <v>1252</v>
      </c>
      <c r="AH216" s="53" t="s">
        <v>1253</v>
      </c>
      <c r="AI216" s="53" t="s">
        <v>3</v>
      </c>
      <c r="AJ216" s="53">
        <v>0</v>
      </c>
      <c r="AK216" s="53" t="s">
        <v>3</v>
      </c>
      <c r="AL216" s="53" t="s">
        <v>1252</v>
      </c>
      <c r="AM216" s="53" t="s">
        <v>1253</v>
      </c>
      <c r="AN216" s="53">
        <v>0</v>
      </c>
      <c r="AO216" s="53">
        <v>0</v>
      </c>
      <c r="AP216" s="53">
        <v>0</v>
      </c>
      <c r="AQ216" s="53">
        <v>0</v>
      </c>
      <c r="AR216" s="53" t="e">
        <v>#N/A</v>
      </c>
      <c r="AS216" s="53" t="s">
        <v>3</v>
      </c>
      <c r="AT216" s="53"/>
      <c r="AU216" s="53"/>
      <c r="AV216" s="53"/>
      <c r="AW216" s="53" t="s">
        <v>1761</v>
      </c>
    </row>
    <row r="217" spans="1:49" ht="30" customHeight="1" x14ac:dyDescent="0.3">
      <c r="A217" s="48" t="s">
        <v>1674</v>
      </c>
      <c r="B217" s="44" t="str">
        <f t="shared" si="6"/>
        <v>2</v>
      </c>
      <c r="C217" s="44" t="str">
        <f t="shared" si="7"/>
        <v>2</v>
      </c>
      <c r="D217" s="52" t="s">
        <v>1552</v>
      </c>
      <c r="E217" s="52" t="s">
        <v>1921</v>
      </c>
      <c r="F217" s="45">
        <v>44893</v>
      </c>
      <c r="G217" s="53" t="s">
        <v>1455</v>
      </c>
      <c r="H217" s="53" t="s">
        <v>1390</v>
      </c>
      <c r="I217" s="53" t="s">
        <v>1383</v>
      </c>
      <c r="J217" s="53" t="s">
        <v>2445</v>
      </c>
      <c r="K217" s="53" t="s">
        <v>1405</v>
      </c>
      <c r="L217" s="53" t="s">
        <v>1476</v>
      </c>
      <c r="M217" s="53" t="s">
        <v>1477</v>
      </c>
      <c r="N217" s="53" t="s">
        <v>3</v>
      </c>
      <c r="O217" s="53" t="s">
        <v>3</v>
      </c>
      <c r="P217" s="53" t="s">
        <v>3</v>
      </c>
      <c r="Q217" s="53" t="s">
        <v>1490</v>
      </c>
      <c r="R217" s="53" t="s">
        <v>1475</v>
      </c>
      <c r="S217" s="53" t="s">
        <v>3</v>
      </c>
      <c r="T217" s="53" t="s">
        <v>3</v>
      </c>
      <c r="U217" s="53" t="s">
        <v>3</v>
      </c>
      <c r="V217" s="53">
        <v>1</v>
      </c>
      <c r="W217" s="53" t="s">
        <v>2519</v>
      </c>
      <c r="X217" s="53" t="s">
        <v>53</v>
      </c>
      <c r="Y217" s="53" t="s">
        <v>127</v>
      </c>
      <c r="Z217" s="53" t="s">
        <v>84</v>
      </c>
      <c r="AA217" s="53" t="s">
        <v>147</v>
      </c>
      <c r="AB217" s="53" t="s">
        <v>95</v>
      </c>
      <c r="AC217" s="53" t="s">
        <v>124</v>
      </c>
      <c r="AD217" s="53" t="s">
        <v>3</v>
      </c>
      <c r="AE217" s="53">
        <v>0</v>
      </c>
      <c r="AF217" s="53" t="s">
        <v>3</v>
      </c>
      <c r="AG217" s="53" t="s">
        <v>1252</v>
      </c>
      <c r="AH217" s="53" t="s">
        <v>1253</v>
      </c>
      <c r="AI217" s="53" t="s">
        <v>3</v>
      </c>
      <c r="AJ217" s="53">
        <v>0</v>
      </c>
      <c r="AK217" s="53" t="s">
        <v>3</v>
      </c>
      <c r="AL217" s="53" t="s">
        <v>1252</v>
      </c>
      <c r="AM217" s="53" t="s">
        <v>1253</v>
      </c>
      <c r="AN217" s="53">
        <v>0</v>
      </c>
      <c r="AO217" s="53">
        <v>0</v>
      </c>
      <c r="AP217" s="53">
        <v>0</v>
      </c>
      <c r="AQ217" s="53">
        <v>0</v>
      </c>
      <c r="AR217" s="53" t="e">
        <v>#N/A</v>
      </c>
      <c r="AS217" s="53" t="s">
        <v>3</v>
      </c>
      <c r="AT217" s="53"/>
      <c r="AU217" s="53"/>
      <c r="AV217" s="53"/>
      <c r="AW217" s="53" t="s">
        <v>1761</v>
      </c>
    </row>
    <row r="218" spans="1:49" ht="30" customHeight="1" x14ac:dyDescent="0.3">
      <c r="A218" s="48" t="s">
        <v>1675</v>
      </c>
      <c r="B218" s="44" t="str">
        <f t="shared" si="6"/>
        <v>2</v>
      </c>
      <c r="C218" s="44" t="str">
        <f t="shared" si="7"/>
        <v>2</v>
      </c>
      <c r="D218" s="52" t="s">
        <v>2446</v>
      </c>
      <c r="E218" s="52" t="s">
        <v>2318</v>
      </c>
      <c r="F218" s="45">
        <v>45236</v>
      </c>
      <c r="G218" s="53" t="s">
        <v>1388</v>
      </c>
      <c r="H218" s="53" t="s">
        <v>1457</v>
      </c>
      <c r="I218" s="53" t="s">
        <v>1146</v>
      </c>
      <c r="J218" s="53" t="s">
        <v>1848</v>
      </c>
      <c r="K218" s="53" t="s">
        <v>1407</v>
      </c>
      <c r="L218" s="53" t="s">
        <v>3</v>
      </c>
      <c r="M218" s="53" t="s">
        <v>1423</v>
      </c>
      <c r="N218" s="53" t="s">
        <v>3</v>
      </c>
      <c r="O218" s="53" t="s">
        <v>3</v>
      </c>
      <c r="P218" s="53" t="s">
        <v>3</v>
      </c>
      <c r="Q218" s="53" t="s">
        <v>1500</v>
      </c>
      <c r="R218" s="53" t="s">
        <v>1473</v>
      </c>
      <c r="S218" s="53" t="s">
        <v>3</v>
      </c>
      <c r="T218" s="53" t="s">
        <v>1143</v>
      </c>
      <c r="U218" s="53" t="s">
        <v>1420</v>
      </c>
      <c r="V218" s="53" t="s">
        <v>1231</v>
      </c>
      <c r="W218" s="53" t="s">
        <v>2522</v>
      </c>
      <c r="X218" s="53" t="s">
        <v>1385</v>
      </c>
      <c r="Y218" s="53" t="s">
        <v>1799</v>
      </c>
      <c r="Z218" s="53" t="s">
        <v>1419</v>
      </c>
      <c r="AA218" s="53" t="s">
        <v>2528</v>
      </c>
      <c r="AB218" s="53" t="s">
        <v>95</v>
      </c>
      <c r="AC218" s="53" t="s">
        <v>124</v>
      </c>
      <c r="AD218" s="53" t="s">
        <v>1420</v>
      </c>
      <c r="AE218" s="53" t="s">
        <v>2447</v>
      </c>
      <c r="AF218" s="53" t="s">
        <v>1417</v>
      </c>
      <c r="AG218" s="53" t="s">
        <v>1423</v>
      </c>
      <c r="AH218" s="53" t="s">
        <v>1424</v>
      </c>
      <c r="AI218" s="53" t="s">
        <v>3</v>
      </c>
      <c r="AJ218" s="53">
        <v>0</v>
      </c>
      <c r="AK218" s="53" t="s">
        <v>3</v>
      </c>
      <c r="AL218" s="53" t="s">
        <v>1252</v>
      </c>
      <c r="AM218" s="53" t="s">
        <v>1253</v>
      </c>
      <c r="AN218" s="53">
        <v>0</v>
      </c>
      <c r="AO218" s="53">
        <v>0</v>
      </c>
      <c r="AP218" s="53">
        <v>0</v>
      </c>
      <c r="AQ218" s="53">
        <v>0</v>
      </c>
      <c r="AR218" s="53" t="e">
        <v>#N/A</v>
      </c>
      <c r="AS218" s="53" t="s">
        <v>3</v>
      </c>
      <c r="AT218" s="53"/>
      <c r="AU218" s="53"/>
      <c r="AV218" s="53"/>
      <c r="AW218" s="53" t="s">
        <v>1761</v>
      </c>
    </row>
    <row r="219" spans="1:49" ht="30" customHeight="1" x14ac:dyDescent="0.3">
      <c r="A219" s="48" t="s">
        <v>1676</v>
      </c>
      <c r="B219" s="44" t="str">
        <f t="shared" si="6"/>
        <v>2</v>
      </c>
      <c r="C219" s="44" t="str">
        <f t="shared" si="7"/>
        <v>2</v>
      </c>
      <c r="D219" s="52" t="s">
        <v>2448</v>
      </c>
      <c r="E219" s="52" t="s">
        <v>2235</v>
      </c>
      <c r="F219" s="45">
        <v>43640</v>
      </c>
      <c r="G219" s="53" t="s">
        <v>1388</v>
      </c>
      <c r="H219" s="53" t="s">
        <v>1550</v>
      </c>
      <c r="I219" s="53" t="s">
        <v>1146</v>
      </c>
      <c r="J219" s="53" t="s">
        <v>2449</v>
      </c>
      <c r="K219" s="53" t="s">
        <v>2242</v>
      </c>
      <c r="L219" s="53" t="s">
        <v>1476</v>
      </c>
      <c r="M219" s="53" t="s">
        <v>2450</v>
      </c>
      <c r="N219" s="53" t="s">
        <v>1393</v>
      </c>
      <c r="O219" s="53" t="s">
        <v>1468</v>
      </c>
      <c r="P219" s="53" t="s">
        <v>3</v>
      </c>
      <c r="Q219" s="53" t="s">
        <v>3</v>
      </c>
      <c r="R219" s="53" t="s">
        <v>1475</v>
      </c>
      <c r="S219" s="53" t="s">
        <v>1142</v>
      </c>
      <c r="T219" s="53" t="s">
        <v>1143</v>
      </c>
      <c r="U219" s="53" t="s">
        <v>2451</v>
      </c>
      <c r="V219" s="53">
        <v>3</v>
      </c>
      <c r="W219" s="53" t="s">
        <v>2520</v>
      </c>
      <c r="X219" s="53" t="s">
        <v>1385</v>
      </c>
      <c r="Y219" s="53" t="s">
        <v>1799</v>
      </c>
      <c r="Z219" s="53" t="s">
        <v>1419</v>
      </c>
      <c r="AA219" s="53" t="s">
        <v>2528</v>
      </c>
      <c r="AB219" s="53" t="s">
        <v>95</v>
      </c>
      <c r="AC219" s="53" t="s">
        <v>124</v>
      </c>
      <c r="AD219" s="53">
        <v>0</v>
      </c>
      <c r="AE219" s="53">
        <v>0</v>
      </c>
      <c r="AF219" s="53">
        <v>0</v>
      </c>
      <c r="AG219" s="53">
        <v>0</v>
      </c>
      <c r="AH219" s="53" t="e">
        <v>#N/A</v>
      </c>
      <c r="AI219" s="53" t="s">
        <v>3</v>
      </c>
      <c r="AJ219" s="53">
        <v>0</v>
      </c>
      <c r="AK219" s="53" t="s">
        <v>3</v>
      </c>
      <c r="AL219" s="53" t="s">
        <v>1252</v>
      </c>
      <c r="AM219" s="53" t="s">
        <v>1253</v>
      </c>
      <c r="AN219" s="53">
        <v>0</v>
      </c>
      <c r="AO219" s="53">
        <v>0</v>
      </c>
      <c r="AP219" s="53">
        <v>0</v>
      </c>
      <c r="AQ219" s="53">
        <v>0</v>
      </c>
      <c r="AR219" s="53" t="e">
        <v>#N/A</v>
      </c>
      <c r="AS219" s="53" t="s">
        <v>3</v>
      </c>
      <c r="AT219" s="53"/>
      <c r="AU219" s="53"/>
      <c r="AV219" s="53"/>
      <c r="AW219" s="53" t="s">
        <v>1761</v>
      </c>
    </row>
    <row r="220" spans="1:49" ht="30" customHeight="1" x14ac:dyDescent="0.3">
      <c r="A220" s="48" t="s">
        <v>1677</v>
      </c>
      <c r="B220" s="44" t="str">
        <f t="shared" si="6"/>
        <v>2</v>
      </c>
      <c r="C220" s="44" t="str">
        <f t="shared" si="7"/>
        <v>2</v>
      </c>
      <c r="D220" s="52" t="s">
        <v>2452</v>
      </c>
      <c r="E220" s="52" t="s">
        <v>2235</v>
      </c>
      <c r="F220" s="45">
        <v>44211</v>
      </c>
      <c r="G220" s="53" t="s">
        <v>1388</v>
      </c>
      <c r="H220" s="53" t="s">
        <v>1958</v>
      </c>
      <c r="I220" s="53" t="s">
        <v>1146</v>
      </c>
      <c r="J220" s="53" t="s">
        <v>2449</v>
      </c>
      <c r="K220" s="53" t="s">
        <v>1801</v>
      </c>
      <c r="L220" s="53" t="s">
        <v>3</v>
      </c>
      <c r="M220" s="53" t="s">
        <v>2453</v>
      </c>
      <c r="N220" s="53" t="s">
        <v>1141</v>
      </c>
      <c r="O220" s="53" t="s">
        <v>3</v>
      </c>
      <c r="P220" s="53" t="s">
        <v>3</v>
      </c>
      <c r="Q220" s="53" t="s">
        <v>2193</v>
      </c>
      <c r="R220" s="53" t="s">
        <v>1437</v>
      </c>
      <c r="S220" s="53" t="s">
        <v>1142</v>
      </c>
      <c r="T220" s="53" t="s">
        <v>1143</v>
      </c>
      <c r="U220" s="53" t="s">
        <v>2454</v>
      </c>
      <c r="V220" s="53">
        <v>3</v>
      </c>
      <c r="W220" s="53" t="s">
        <v>2520</v>
      </c>
      <c r="X220" s="53" t="s">
        <v>1385</v>
      </c>
      <c r="Y220" s="53" t="s">
        <v>1799</v>
      </c>
      <c r="Z220" s="53" t="s">
        <v>1419</v>
      </c>
      <c r="AA220" s="53" t="s">
        <v>2528</v>
      </c>
      <c r="AB220" s="53" t="s">
        <v>95</v>
      </c>
      <c r="AC220" s="53" t="s">
        <v>124</v>
      </c>
      <c r="AD220" s="53">
        <v>0</v>
      </c>
      <c r="AE220" s="53">
        <v>0</v>
      </c>
      <c r="AF220" s="53">
        <v>0</v>
      </c>
      <c r="AG220" s="53">
        <v>0</v>
      </c>
      <c r="AH220" s="53" t="e">
        <v>#N/A</v>
      </c>
      <c r="AI220" s="53" t="s">
        <v>3</v>
      </c>
      <c r="AJ220" s="53">
        <v>0</v>
      </c>
      <c r="AK220" s="53" t="s">
        <v>3</v>
      </c>
      <c r="AL220" s="53" t="s">
        <v>1252</v>
      </c>
      <c r="AM220" s="53" t="s">
        <v>1253</v>
      </c>
      <c r="AN220" s="53">
        <v>0</v>
      </c>
      <c r="AO220" s="53">
        <v>0</v>
      </c>
      <c r="AP220" s="53">
        <v>0</v>
      </c>
      <c r="AQ220" s="53">
        <v>0</v>
      </c>
      <c r="AR220" s="53" t="e">
        <v>#N/A</v>
      </c>
      <c r="AS220" s="53" t="s">
        <v>3</v>
      </c>
      <c r="AT220" s="53"/>
      <c r="AU220" s="53"/>
      <c r="AV220" s="53"/>
      <c r="AW220" s="53" t="s">
        <v>1761</v>
      </c>
    </row>
    <row r="221" spans="1:49" ht="30" customHeight="1" x14ac:dyDescent="0.3">
      <c r="A221" s="48" t="s">
        <v>1678</v>
      </c>
      <c r="B221" s="44" t="str">
        <f t="shared" si="6"/>
        <v>2</v>
      </c>
      <c r="C221" s="44" t="str">
        <f t="shared" si="7"/>
        <v>2</v>
      </c>
      <c r="D221" s="52" t="s">
        <v>2455</v>
      </c>
      <c r="E221" s="52" t="s">
        <v>2456</v>
      </c>
      <c r="F221" s="45">
        <v>44732</v>
      </c>
      <c r="G221" s="53" t="s">
        <v>1388</v>
      </c>
      <c r="H221" s="53" t="s">
        <v>1425</v>
      </c>
      <c r="I221" s="53" t="s">
        <v>1146</v>
      </c>
      <c r="J221" s="53" t="s">
        <v>2457</v>
      </c>
      <c r="K221" s="53" t="s">
        <v>1407</v>
      </c>
      <c r="L221" s="53" t="s">
        <v>3</v>
      </c>
      <c r="M221" s="53" t="s">
        <v>2458</v>
      </c>
      <c r="N221" s="53" t="s">
        <v>3</v>
      </c>
      <c r="O221" s="53" t="s">
        <v>3</v>
      </c>
      <c r="P221" s="53" t="s">
        <v>3</v>
      </c>
      <c r="Q221" s="53" t="s">
        <v>2459</v>
      </c>
      <c r="R221" s="53" t="s">
        <v>1454</v>
      </c>
      <c r="S221" s="53" t="s">
        <v>3</v>
      </c>
      <c r="T221" s="53" t="s">
        <v>1143</v>
      </c>
      <c r="U221" s="53" t="s">
        <v>3</v>
      </c>
      <c r="V221" s="53">
        <v>3</v>
      </c>
      <c r="W221" s="53" t="s">
        <v>2522</v>
      </c>
      <c r="X221" s="53" t="s">
        <v>86</v>
      </c>
      <c r="Y221" s="53" t="s">
        <v>152</v>
      </c>
      <c r="Z221" s="53" t="s">
        <v>84</v>
      </c>
      <c r="AA221" s="53" t="s">
        <v>147</v>
      </c>
      <c r="AB221" s="53" t="s">
        <v>95</v>
      </c>
      <c r="AC221" s="53" t="s">
        <v>124</v>
      </c>
      <c r="AD221" s="53" t="s">
        <v>3</v>
      </c>
      <c r="AE221" s="53">
        <v>0</v>
      </c>
      <c r="AF221" s="53" t="s">
        <v>3</v>
      </c>
      <c r="AG221" s="53" t="s">
        <v>1252</v>
      </c>
      <c r="AH221" s="53" t="s">
        <v>1253</v>
      </c>
      <c r="AI221" s="53" t="s">
        <v>3</v>
      </c>
      <c r="AJ221" s="53">
        <v>0</v>
      </c>
      <c r="AK221" s="53" t="s">
        <v>3</v>
      </c>
      <c r="AL221" s="53" t="s">
        <v>1252</v>
      </c>
      <c r="AM221" s="53" t="s">
        <v>1253</v>
      </c>
      <c r="AN221" s="53">
        <v>0</v>
      </c>
      <c r="AO221" s="53">
        <v>0</v>
      </c>
      <c r="AP221" s="53">
        <v>0</v>
      </c>
      <c r="AQ221" s="53">
        <v>0</v>
      </c>
      <c r="AR221" s="53" t="e">
        <v>#N/A</v>
      </c>
      <c r="AS221" s="53" t="s">
        <v>3</v>
      </c>
      <c r="AT221" s="53"/>
      <c r="AU221" s="53"/>
      <c r="AV221" s="53"/>
      <c r="AW221" s="53" t="s">
        <v>1761</v>
      </c>
    </row>
    <row r="222" spans="1:49" ht="30" customHeight="1" x14ac:dyDescent="0.3">
      <c r="A222" s="48" t="s">
        <v>1679</v>
      </c>
      <c r="B222" s="44" t="str">
        <f t="shared" si="6"/>
        <v>2</v>
      </c>
      <c r="C222" s="44" t="str">
        <f t="shared" si="7"/>
        <v>2</v>
      </c>
      <c r="D222" s="52" t="s">
        <v>2460</v>
      </c>
      <c r="E222" s="52" t="s">
        <v>2456</v>
      </c>
      <c r="F222" s="45">
        <v>44525</v>
      </c>
      <c r="G222" s="53" t="s">
        <v>1388</v>
      </c>
      <c r="H222" s="53" t="s">
        <v>1425</v>
      </c>
      <c r="I222" s="53" t="s">
        <v>1146</v>
      </c>
      <c r="J222" s="53" t="s">
        <v>2457</v>
      </c>
      <c r="K222" s="53" t="s">
        <v>1535</v>
      </c>
      <c r="L222" s="53" t="s">
        <v>1476</v>
      </c>
      <c r="M222" s="53" t="s">
        <v>1411</v>
      </c>
      <c r="N222" s="53" t="s">
        <v>3</v>
      </c>
      <c r="O222" s="53" t="s">
        <v>3</v>
      </c>
      <c r="P222" s="53" t="s">
        <v>3</v>
      </c>
      <c r="Q222" s="53" t="s">
        <v>3</v>
      </c>
      <c r="R222" s="53" t="s">
        <v>1948</v>
      </c>
      <c r="S222" s="53" t="s">
        <v>3</v>
      </c>
      <c r="T222" s="53" t="s">
        <v>3</v>
      </c>
      <c r="U222" s="53" t="s">
        <v>1543</v>
      </c>
      <c r="V222" s="53">
        <v>1</v>
      </c>
      <c r="W222" s="53" t="s">
        <v>2522</v>
      </c>
      <c r="X222" s="53" t="s">
        <v>48</v>
      </c>
      <c r="Y222" s="53" t="s">
        <v>105</v>
      </c>
      <c r="Z222" s="53" t="s">
        <v>51</v>
      </c>
      <c r="AA222" s="53" t="s">
        <v>1384</v>
      </c>
      <c r="AB222" s="53" t="s">
        <v>95</v>
      </c>
      <c r="AC222" s="53" t="s">
        <v>124</v>
      </c>
      <c r="AD222" s="53" t="s">
        <v>3</v>
      </c>
      <c r="AE222" s="53">
        <v>0</v>
      </c>
      <c r="AF222" s="53" t="s">
        <v>3</v>
      </c>
      <c r="AG222" s="53" t="s">
        <v>1252</v>
      </c>
      <c r="AH222" s="53" t="s">
        <v>1253</v>
      </c>
      <c r="AI222" s="53" t="s">
        <v>3</v>
      </c>
      <c r="AJ222" s="53">
        <v>0</v>
      </c>
      <c r="AK222" s="53" t="s">
        <v>3</v>
      </c>
      <c r="AL222" s="53" t="s">
        <v>1252</v>
      </c>
      <c r="AM222" s="53" t="s">
        <v>1253</v>
      </c>
      <c r="AN222" s="53">
        <v>0</v>
      </c>
      <c r="AO222" s="53">
        <v>0</v>
      </c>
      <c r="AP222" s="53">
        <v>0</v>
      </c>
      <c r="AQ222" s="53">
        <v>0</v>
      </c>
      <c r="AR222" s="53" t="e">
        <v>#N/A</v>
      </c>
      <c r="AS222" s="53" t="s">
        <v>3</v>
      </c>
      <c r="AT222" s="53"/>
      <c r="AU222" s="53"/>
      <c r="AV222" s="53"/>
      <c r="AW222" s="53" t="s">
        <v>1761</v>
      </c>
    </row>
    <row r="223" spans="1:49" ht="30" customHeight="1" x14ac:dyDescent="0.3">
      <c r="A223" s="48" t="s">
        <v>1520</v>
      </c>
      <c r="B223" s="44" t="str">
        <f t="shared" si="6"/>
        <v>2</v>
      </c>
      <c r="C223" s="44" t="str">
        <f t="shared" si="7"/>
        <v>2</v>
      </c>
      <c r="D223" s="52" t="s">
        <v>2461</v>
      </c>
      <c r="E223" s="52" t="s">
        <v>2456</v>
      </c>
      <c r="F223" s="45">
        <v>44543</v>
      </c>
      <c r="G223" s="53" t="s">
        <v>1388</v>
      </c>
      <c r="H223" s="53" t="s">
        <v>1425</v>
      </c>
      <c r="I223" s="53" t="s">
        <v>1146</v>
      </c>
      <c r="J223" s="53" t="s">
        <v>2457</v>
      </c>
      <c r="K223" s="53" t="s">
        <v>1405</v>
      </c>
      <c r="L223" s="53" t="s">
        <v>1476</v>
      </c>
      <c r="M223" s="53" t="s">
        <v>1477</v>
      </c>
      <c r="N223" s="53" t="s">
        <v>3</v>
      </c>
      <c r="O223" s="53" t="s">
        <v>3</v>
      </c>
      <c r="P223" s="53" t="s">
        <v>3</v>
      </c>
      <c r="Q223" s="53" t="s">
        <v>1404</v>
      </c>
      <c r="R223" s="53" t="s">
        <v>2462</v>
      </c>
      <c r="S223" s="53" t="s">
        <v>3</v>
      </c>
      <c r="T223" s="53" t="s">
        <v>3</v>
      </c>
      <c r="U223" s="53" t="s">
        <v>3</v>
      </c>
      <c r="V223" s="53">
        <v>1</v>
      </c>
      <c r="W223" s="53" t="s">
        <v>2522</v>
      </c>
      <c r="X223" s="53" t="s">
        <v>53</v>
      </c>
      <c r="Y223" s="53" t="s">
        <v>127</v>
      </c>
      <c r="Z223" s="53" t="s">
        <v>1419</v>
      </c>
      <c r="AA223" s="53" t="s">
        <v>2528</v>
      </c>
      <c r="AB223" s="53" t="s">
        <v>95</v>
      </c>
      <c r="AC223" s="53" t="s">
        <v>124</v>
      </c>
      <c r="AD223" s="53" t="s">
        <v>3</v>
      </c>
      <c r="AE223" s="53">
        <v>0</v>
      </c>
      <c r="AF223" s="53" t="s">
        <v>3</v>
      </c>
      <c r="AG223" s="53" t="s">
        <v>1252</v>
      </c>
      <c r="AH223" s="53" t="s">
        <v>1253</v>
      </c>
      <c r="AI223" s="53" t="s">
        <v>3</v>
      </c>
      <c r="AJ223" s="53">
        <v>0</v>
      </c>
      <c r="AK223" s="53" t="s">
        <v>3</v>
      </c>
      <c r="AL223" s="53" t="s">
        <v>1252</v>
      </c>
      <c r="AM223" s="53" t="s">
        <v>1253</v>
      </c>
      <c r="AN223" s="53">
        <v>0</v>
      </c>
      <c r="AO223" s="53">
        <v>0</v>
      </c>
      <c r="AP223" s="53">
        <v>0</v>
      </c>
      <c r="AQ223" s="53">
        <v>0</v>
      </c>
      <c r="AR223" s="53" t="e">
        <v>#N/A</v>
      </c>
      <c r="AS223" s="53" t="s">
        <v>3</v>
      </c>
      <c r="AT223" s="53"/>
      <c r="AU223" s="53"/>
      <c r="AV223" s="53"/>
      <c r="AW223" s="53" t="s">
        <v>1761</v>
      </c>
    </row>
    <row r="224" spans="1:49" ht="30" customHeight="1" x14ac:dyDescent="0.3">
      <c r="A224" s="48" t="s">
        <v>1680</v>
      </c>
      <c r="B224" s="44" t="str">
        <f t="shared" si="6"/>
        <v>2</v>
      </c>
      <c r="C224" s="44" t="str">
        <f t="shared" si="7"/>
        <v>2</v>
      </c>
      <c r="D224" s="52" t="s">
        <v>2463</v>
      </c>
      <c r="E224" s="52" t="s">
        <v>2456</v>
      </c>
      <c r="F224" s="45">
        <v>44621</v>
      </c>
      <c r="G224" s="53" t="s">
        <v>1388</v>
      </c>
      <c r="H224" s="53" t="s">
        <v>1425</v>
      </c>
      <c r="I224" s="53" t="s">
        <v>1146</v>
      </c>
      <c r="J224" s="53" t="s">
        <v>2457</v>
      </c>
      <c r="K224" s="53" t="s">
        <v>1452</v>
      </c>
      <c r="L224" s="53" t="s">
        <v>1476</v>
      </c>
      <c r="M224" s="53" t="s">
        <v>1463</v>
      </c>
      <c r="N224" s="53" t="s">
        <v>2464</v>
      </c>
      <c r="O224" s="53" t="s">
        <v>3</v>
      </c>
      <c r="P224" s="53" t="s">
        <v>3</v>
      </c>
      <c r="Q224" s="53" t="s">
        <v>1466</v>
      </c>
      <c r="R224" s="53" t="s">
        <v>1475</v>
      </c>
      <c r="S224" s="53" t="s">
        <v>3</v>
      </c>
      <c r="T224" s="53" t="s">
        <v>3</v>
      </c>
      <c r="U224" s="53" t="s">
        <v>2465</v>
      </c>
      <c r="V224" s="53">
        <v>2</v>
      </c>
      <c r="W224" s="53" t="s">
        <v>2522</v>
      </c>
      <c r="X224" s="53" t="s">
        <v>53</v>
      </c>
      <c r="Y224" s="53" t="s">
        <v>127</v>
      </c>
      <c r="Z224" s="53" t="s">
        <v>84</v>
      </c>
      <c r="AA224" s="53" t="s">
        <v>147</v>
      </c>
      <c r="AB224" s="53" t="s">
        <v>95</v>
      </c>
      <c r="AC224" s="53" t="s">
        <v>124</v>
      </c>
      <c r="AD224" s="53" t="s">
        <v>3</v>
      </c>
      <c r="AE224" s="53">
        <v>0</v>
      </c>
      <c r="AF224" s="53" t="s">
        <v>3</v>
      </c>
      <c r="AG224" s="53" t="s">
        <v>1252</v>
      </c>
      <c r="AH224" s="53" t="s">
        <v>1253</v>
      </c>
      <c r="AI224" s="53" t="s">
        <v>3</v>
      </c>
      <c r="AJ224" s="53">
        <v>0</v>
      </c>
      <c r="AK224" s="53" t="s">
        <v>3</v>
      </c>
      <c r="AL224" s="53" t="s">
        <v>1252</v>
      </c>
      <c r="AM224" s="53" t="s">
        <v>1253</v>
      </c>
      <c r="AN224" s="53">
        <v>0</v>
      </c>
      <c r="AO224" s="53">
        <v>0</v>
      </c>
      <c r="AP224" s="53">
        <v>0</v>
      </c>
      <c r="AQ224" s="53">
        <v>0</v>
      </c>
      <c r="AR224" s="53" t="e">
        <v>#N/A</v>
      </c>
      <c r="AS224" s="53" t="s">
        <v>3</v>
      </c>
      <c r="AT224" s="53"/>
      <c r="AU224" s="53"/>
      <c r="AV224" s="53"/>
      <c r="AW224" s="53" t="s">
        <v>1761</v>
      </c>
    </row>
    <row r="225" spans="1:49" ht="30" customHeight="1" x14ac:dyDescent="0.3">
      <c r="A225" s="48" t="s">
        <v>1681</v>
      </c>
      <c r="B225" s="44" t="str">
        <f t="shared" si="6"/>
        <v>2</v>
      </c>
      <c r="C225" s="44" t="str">
        <f t="shared" si="7"/>
        <v>2</v>
      </c>
      <c r="D225" s="52" t="s">
        <v>2466</v>
      </c>
      <c r="E225" s="52" t="s">
        <v>2456</v>
      </c>
      <c r="F225" s="45">
        <v>44708</v>
      </c>
      <c r="G225" s="53" t="s">
        <v>1388</v>
      </c>
      <c r="H225" s="53" t="s">
        <v>1425</v>
      </c>
      <c r="I225" s="53" t="s">
        <v>1383</v>
      </c>
      <c r="J225" s="53" t="s">
        <v>2457</v>
      </c>
      <c r="K225" s="53" t="s">
        <v>2467</v>
      </c>
      <c r="L225" s="53" t="s">
        <v>1504</v>
      </c>
      <c r="M225" s="53" t="s">
        <v>2343</v>
      </c>
      <c r="N225" s="53" t="s">
        <v>3</v>
      </c>
      <c r="O225" s="53" t="s">
        <v>3</v>
      </c>
      <c r="P225" s="53" t="s">
        <v>3</v>
      </c>
      <c r="Q225" s="53" t="s">
        <v>2468</v>
      </c>
      <c r="R225" s="53" t="s">
        <v>2469</v>
      </c>
      <c r="S225" s="53" t="s">
        <v>3</v>
      </c>
      <c r="T225" s="53" t="s">
        <v>3</v>
      </c>
      <c r="U225" s="53" t="s">
        <v>3</v>
      </c>
      <c r="V225" s="53">
        <v>1</v>
      </c>
      <c r="W225" s="53" t="s">
        <v>2522</v>
      </c>
      <c r="X225" s="53" t="s">
        <v>53</v>
      </c>
      <c r="Y225" s="53" t="s">
        <v>127</v>
      </c>
      <c r="Z225" s="53" t="s">
        <v>51</v>
      </c>
      <c r="AA225" s="53" t="s">
        <v>1384</v>
      </c>
      <c r="AB225" s="53" t="s">
        <v>1385</v>
      </c>
      <c r="AC225" s="53" t="s">
        <v>1799</v>
      </c>
      <c r="AD225" s="53" t="s">
        <v>3</v>
      </c>
      <c r="AE225" s="53">
        <v>0</v>
      </c>
      <c r="AF225" s="53" t="s">
        <v>3</v>
      </c>
      <c r="AG225" s="53" t="s">
        <v>1252</v>
      </c>
      <c r="AH225" s="53" t="s">
        <v>1253</v>
      </c>
      <c r="AI225" s="53" t="s">
        <v>3</v>
      </c>
      <c r="AJ225" s="53">
        <v>0</v>
      </c>
      <c r="AK225" s="53" t="s">
        <v>3</v>
      </c>
      <c r="AL225" s="53" t="s">
        <v>1252</v>
      </c>
      <c r="AM225" s="53" t="s">
        <v>1253</v>
      </c>
      <c r="AN225" s="53">
        <v>0</v>
      </c>
      <c r="AO225" s="53">
        <v>0</v>
      </c>
      <c r="AP225" s="53">
        <v>0</v>
      </c>
      <c r="AQ225" s="53">
        <v>0</v>
      </c>
      <c r="AR225" s="53" t="e">
        <v>#N/A</v>
      </c>
      <c r="AS225" s="53" t="s">
        <v>3</v>
      </c>
      <c r="AT225" s="53"/>
      <c r="AU225" s="53"/>
      <c r="AV225" s="53"/>
      <c r="AW225" s="53" t="s">
        <v>1761</v>
      </c>
    </row>
    <row r="226" spans="1:49" ht="30" customHeight="1" x14ac:dyDescent="0.3">
      <c r="A226" s="48" t="s">
        <v>1682</v>
      </c>
      <c r="B226" s="44" t="str">
        <f t="shared" si="6"/>
        <v>2</v>
      </c>
      <c r="C226" s="44" t="str">
        <f t="shared" si="7"/>
        <v>2</v>
      </c>
      <c r="D226" s="52" t="s">
        <v>2470</v>
      </c>
      <c r="E226" s="52" t="s">
        <v>2456</v>
      </c>
      <c r="F226" s="45">
        <v>44572</v>
      </c>
      <c r="G226" s="53" t="s">
        <v>1388</v>
      </c>
      <c r="H226" s="53" t="s">
        <v>1425</v>
      </c>
      <c r="I226" s="53" t="s">
        <v>1146</v>
      </c>
      <c r="J226" s="53" t="s">
        <v>2457</v>
      </c>
      <c r="K226" s="53" t="s">
        <v>1394</v>
      </c>
      <c r="L226" s="53" t="s">
        <v>3</v>
      </c>
      <c r="M226" s="53" t="s">
        <v>2471</v>
      </c>
      <c r="N226" s="53" t="s">
        <v>3</v>
      </c>
      <c r="O226" s="53" t="s">
        <v>3</v>
      </c>
      <c r="P226" s="53" t="s">
        <v>3</v>
      </c>
      <c r="Q226" s="53" t="s">
        <v>1404</v>
      </c>
      <c r="R226" s="53" t="s">
        <v>1529</v>
      </c>
      <c r="S226" s="53" t="s">
        <v>3</v>
      </c>
      <c r="T226" s="53" t="s">
        <v>3</v>
      </c>
      <c r="U226" s="53" t="s">
        <v>3</v>
      </c>
      <c r="V226" s="53">
        <v>1</v>
      </c>
      <c r="W226" s="53" t="s">
        <v>2522</v>
      </c>
      <c r="X226" s="53" t="s">
        <v>48</v>
      </c>
      <c r="Y226" s="53" t="s">
        <v>105</v>
      </c>
      <c r="Z226" s="53" t="s">
        <v>51</v>
      </c>
      <c r="AA226" s="53" t="s">
        <v>1384</v>
      </c>
      <c r="AB226" s="53" t="s">
        <v>95</v>
      </c>
      <c r="AC226" s="53" t="s">
        <v>124</v>
      </c>
      <c r="AD226" s="53" t="s">
        <v>3</v>
      </c>
      <c r="AE226" s="53">
        <v>0</v>
      </c>
      <c r="AF226" s="53" t="s">
        <v>3</v>
      </c>
      <c r="AG226" s="53" t="s">
        <v>1252</v>
      </c>
      <c r="AH226" s="53" t="s">
        <v>1253</v>
      </c>
      <c r="AI226" s="53" t="s">
        <v>3</v>
      </c>
      <c r="AJ226" s="53">
        <v>0</v>
      </c>
      <c r="AK226" s="53" t="s">
        <v>3</v>
      </c>
      <c r="AL226" s="53" t="s">
        <v>1252</v>
      </c>
      <c r="AM226" s="53" t="s">
        <v>1253</v>
      </c>
      <c r="AN226" s="53">
        <v>0</v>
      </c>
      <c r="AO226" s="53">
        <v>0</v>
      </c>
      <c r="AP226" s="53">
        <v>0</v>
      </c>
      <c r="AQ226" s="53">
        <v>0</v>
      </c>
      <c r="AR226" s="53" t="e">
        <v>#N/A</v>
      </c>
      <c r="AS226" s="53" t="s">
        <v>3</v>
      </c>
      <c r="AT226" s="53"/>
      <c r="AU226" s="53"/>
      <c r="AV226" s="53"/>
      <c r="AW226" s="53" t="s">
        <v>1761</v>
      </c>
    </row>
    <row r="227" spans="1:49" ht="30" customHeight="1" x14ac:dyDescent="0.3">
      <c r="A227" s="48" t="s">
        <v>1683</v>
      </c>
      <c r="B227" s="44" t="str">
        <f t="shared" si="6"/>
        <v>2</v>
      </c>
      <c r="C227" s="44" t="str">
        <f t="shared" si="7"/>
        <v>2</v>
      </c>
      <c r="D227" s="52" t="s">
        <v>2472</v>
      </c>
      <c r="E227" s="52" t="s">
        <v>2456</v>
      </c>
      <c r="F227" s="45">
        <v>44412</v>
      </c>
      <c r="G227" s="53" t="s">
        <v>1455</v>
      </c>
      <c r="H227" s="53" t="s">
        <v>1390</v>
      </c>
      <c r="I227" s="53" t="s">
        <v>1383</v>
      </c>
      <c r="J227" s="53" t="s">
        <v>2457</v>
      </c>
      <c r="K227" s="53" t="s">
        <v>1763</v>
      </c>
      <c r="L227" s="53" t="s">
        <v>3</v>
      </c>
      <c r="M227" s="53" t="s">
        <v>1477</v>
      </c>
      <c r="N227" s="53" t="s">
        <v>3</v>
      </c>
      <c r="O227" s="53" t="s">
        <v>3</v>
      </c>
      <c r="P227" s="53" t="s">
        <v>3</v>
      </c>
      <c r="Q227" s="53" t="s">
        <v>1466</v>
      </c>
      <c r="R227" s="53" t="s">
        <v>1475</v>
      </c>
      <c r="S227" s="53" t="s">
        <v>3</v>
      </c>
      <c r="T227" s="53" t="s">
        <v>3</v>
      </c>
      <c r="U227" s="53" t="s">
        <v>2473</v>
      </c>
      <c r="V227" s="53">
        <v>1</v>
      </c>
      <c r="W227" s="53" t="s">
        <v>2522</v>
      </c>
      <c r="X227" s="53" t="s">
        <v>48</v>
      </c>
      <c r="Y227" s="53" t="s">
        <v>105</v>
      </c>
      <c r="Z227" s="53" t="s">
        <v>84</v>
      </c>
      <c r="AA227" s="53" t="s">
        <v>147</v>
      </c>
      <c r="AB227" s="53" t="s">
        <v>95</v>
      </c>
      <c r="AC227" s="53" t="s">
        <v>124</v>
      </c>
      <c r="AD227" s="53" t="s">
        <v>3</v>
      </c>
      <c r="AE227" s="53">
        <v>0</v>
      </c>
      <c r="AF227" s="53" t="s">
        <v>3</v>
      </c>
      <c r="AG227" s="53" t="s">
        <v>1252</v>
      </c>
      <c r="AH227" s="53" t="s">
        <v>1253</v>
      </c>
      <c r="AI227" s="53" t="s">
        <v>3</v>
      </c>
      <c r="AJ227" s="53">
        <v>0</v>
      </c>
      <c r="AK227" s="53" t="s">
        <v>3</v>
      </c>
      <c r="AL227" s="53" t="s">
        <v>1252</v>
      </c>
      <c r="AM227" s="53" t="s">
        <v>1253</v>
      </c>
      <c r="AN227" s="53">
        <v>0</v>
      </c>
      <c r="AO227" s="53">
        <v>0</v>
      </c>
      <c r="AP227" s="53">
        <v>0</v>
      </c>
      <c r="AQ227" s="53">
        <v>0</v>
      </c>
      <c r="AR227" s="53" t="e">
        <v>#N/A</v>
      </c>
      <c r="AS227" s="53" t="s">
        <v>3</v>
      </c>
      <c r="AT227" s="53"/>
      <c r="AU227" s="53"/>
      <c r="AV227" s="53"/>
      <c r="AW227" s="53" t="s">
        <v>1761</v>
      </c>
    </row>
    <row r="228" spans="1:49" ht="30" customHeight="1" x14ac:dyDescent="0.3">
      <c r="A228" s="48" t="s">
        <v>1684</v>
      </c>
      <c r="B228" s="44" t="str">
        <f t="shared" si="6"/>
        <v>2</v>
      </c>
      <c r="C228" s="44" t="str">
        <f t="shared" si="7"/>
        <v>2</v>
      </c>
      <c r="D228" s="52" t="s">
        <v>2474</v>
      </c>
      <c r="E228" s="52" t="s">
        <v>2409</v>
      </c>
      <c r="F228" s="45">
        <v>43510</v>
      </c>
      <c r="G228" s="53" t="s">
        <v>1455</v>
      </c>
      <c r="H228" s="53" t="s">
        <v>1519</v>
      </c>
      <c r="I228" s="53" t="s">
        <v>1146</v>
      </c>
      <c r="J228" s="53" t="s">
        <v>1848</v>
      </c>
      <c r="K228" s="53" t="s">
        <v>1389</v>
      </c>
      <c r="L228" s="53" t="s">
        <v>3</v>
      </c>
      <c r="M228" s="53" t="s">
        <v>3</v>
      </c>
      <c r="N228" s="53" t="s">
        <v>3</v>
      </c>
      <c r="O228" s="53" t="s">
        <v>3</v>
      </c>
      <c r="P228" s="53" t="s">
        <v>3</v>
      </c>
      <c r="Q228" s="53" t="s">
        <v>3</v>
      </c>
      <c r="R228" s="53" t="s">
        <v>3</v>
      </c>
      <c r="S228" s="53" t="s">
        <v>3</v>
      </c>
      <c r="T228" s="53" t="s">
        <v>3</v>
      </c>
      <c r="U228" s="53" t="s">
        <v>2475</v>
      </c>
      <c r="V228" s="53" t="s">
        <v>1231</v>
      </c>
      <c r="W228" s="53" t="s">
        <v>2518</v>
      </c>
      <c r="X228" s="53" t="s">
        <v>48</v>
      </c>
      <c r="Y228" s="53" t="s">
        <v>105</v>
      </c>
      <c r="Z228" s="53" t="s">
        <v>51</v>
      </c>
      <c r="AA228" s="53" t="s">
        <v>1384</v>
      </c>
      <c r="AB228" s="53" t="s">
        <v>95</v>
      </c>
      <c r="AC228" s="53" t="s">
        <v>124</v>
      </c>
      <c r="AD228" s="53" t="s">
        <v>3</v>
      </c>
      <c r="AE228" s="53">
        <v>0</v>
      </c>
      <c r="AF228" s="53" t="s">
        <v>3</v>
      </c>
      <c r="AG228" s="53" t="s">
        <v>1252</v>
      </c>
      <c r="AH228" s="53" t="s">
        <v>1253</v>
      </c>
      <c r="AI228" s="53" t="s">
        <v>3</v>
      </c>
      <c r="AJ228" s="53">
        <v>0</v>
      </c>
      <c r="AK228" s="53" t="s">
        <v>3</v>
      </c>
      <c r="AL228" s="53" t="s">
        <v>1252</v>
      </c>
      <c r="AM228" s="53" t="s">
        <v>1253</v>
      </c>
      <c r="AN228" s="53">
        <v>0</v>
      </c>
      <c r="AO228" s="53">
        <v>0</v>
      </c>
      <c r="AP228" s="53">
        <v>0</v>
      </c>
      <c r="AQ228" s="53">
        <v>0</v>
      </c>
      <c r="AR228" s="53" t="e">
        <v>#N/A</v>
      </c>
      <c r="AS228" s="53" t="s">
        <v>3</v>
      </c>
      <c r="AT228" s="53"/>
      <c r="AU228" s="53"/>
      <c r="AV228" s="53"/>
      <c r="AW228" s="53" t="s">
        <v>1761</v>
      </c>
    </row>
    <row r="229" spans="1:49" ht="30" customHeight="1" x14ac:dyDescent="0.3">
      <c r="A229" s="48" t="s">
        <v>1685</v>
      </c>
      <c r="B229" s="44" t="str">
        <f t="shared" si="6"/>
        <v>2</v>
      </c>
      <c r="C229" s="44" t="str">
        <f t="shared" si="7"/>
        <v>2</v>
      </c>
      <c r="D229" s="52" t="s">
        <v>2476</v>
      </c>
      <c r="E229" s="52" t="s">
        <v>2409</v>
      </c>
      <c r="F229" s="45">
        <v>43510</v>
      </c>
      <c r="G229" s="53" t="s">
        <v>1455</v>
      </c>
      <c r="H229" s="53" t="s">
        <v>1519</v>
      </c>
      <c r="I229" s="53" t="s">
        <v>1146</v>
      </c>
      <c r="J229" s="53" t="s">
        <v>1848</v>
      </c>
      <c r="K229" s="53" t="s">
        <v>1389</v>
      </c>
      <c r="L229" s="53" t="s">
        <v>3</v>
      </c>
      <c r="M229" s="53" t="s">
        <v>3</v>
      </c>
      <c r="N229" s="53" t="s">
        <v>3</v>
      </c>
      <c r="O229" s="53" t="s">
        <v>3</v>
      </c>
      <c r="P229" s="53" t="s">
        <v>3</v>
      </c>
      <c r="Q229" s="53" t="s">
        <v>3</v>
      </c>
      <c r="R229" s="53" t="s">
        <v>3</v>
      </c>
      <c r="S229" s="53" t="s">
        <v>3</v>
      </c>
      <c r="T229" s="53" t="s">
        <v>3</v>
      </c>
      <c r="U229" s="53" t="s">
        <v>2475</v>
      </c>
      <c r="V229" s="53" t="s">
        <v>1231</v>
      </c>
      <c r="W229" s="53" t="s">
        <v>2518</v>
      </c>
      <c r="X229" s="53" t="s">
        <v>48</v>
      </c>
      <c r="Y229" s="53" t="s">
        <v>105</v>
      </c>
      <c r="Z229" s="53" t="s">
        <v>51</v>
      </c>
      <c r="AA229" s="53" t="s">
        <v>1384</v>
      </c>
      <c r="AB229" s="53" t="s">
        <v>95</v>
      </c>
      <c r="AC229" s="53" t="s">
        <v>124</v>
      </c>
      <c r="AD229" s="53" t="s">
        <v>3</v>
      </c>
      <c r="AE229" s="53">
        <v>0</v>
      </c>
      <c r="AF229" s="53" t="s">
        <v>3</v>
      </c>
      <c r="AG229" s="53" t="s">
        <v>1252</v>
      </c>
      <c r="AH229" s="53" t="s">
        <v>1253</v>
      </c>
      <c r="AI229" s="53" t="s">
        <v>3</v>
      </c>
      <c r="AJ229" s="53">
        <v>0</v>
      </c>
      <c r="AK229" s="53" t="s">
        <v>3</v>
      </c>
      <c r="AL229" s="53" t="s">
        <v>1252</v>
      </c>
      <c r="AM229" s="53" t="s">
        <v>1253</v>
      </c>
      <c r="AN229" s="53">
        <v>0</v>
      </c>
      <c r="AO229" s="53">
        <v>0</v>
      </c>
      <c r="AP229" s="53">
        <v>0</v>
      </c>
      <c r="AQ229" s="53">
        <v>0</v>
      </c>
      <c r="AR229" s="53" t="e">
        <v>#N/A</v>
      </c>
      <c r="AS229" s="53" t="s">
        <v>3</v>
      </c>
      <c r="AT229" s="53"/>
      <c r="AU229" s="53"/>
      <c r="AV229" s="53"/>
      <c r="AW229" s="53" t="s">
        <v>1761</v>
      </c>
    </row>
    <row r="230" spans="1:49" ht="30" customHeight="1" x14ac:dyDescent="0.3">
      <c r="A230" s="48" t="s">
        <v>1507</v>
      </c>
      <c r="B230" s="44" t="str">
        <f t="shared" si="6"/>
        <v>2</v>
      </c>
      <c r="C230" s="44" t="str">
        <f t="shared" si="7"/>
        <v>2</v>
      </c>
      <c r="D230" s="52" t="s">
        <v>2477</v>
      </c>
      <c r="E230" s="52" t="s">
        <v>2409</v>
      </c>
      <c r="F230" s="45">
        <v>44348</v>
      </c>
      <c r="G230" s="53" t="s">
        <v>1388</v>
      </c>
      <c r="H230" s="53" t="s">
        <v>1425</v>
      </c>
      <c r="I230" s="53" t="s">
        <v>1146</v>
      </c>
      <c r="J230" s="53" t="s">
        <v>1848</v>
      </c>
      <c r="K230" s="53" t="s">
        <v>1389</v>
      </c>
      <c r="L230" s="53" t="s">
        <v>3</v>
      </c>
      <c r="M230" s="53" t="s">
        <v>3</v>
      </c>
      <c r="N230" s="53" t="s">
        <v>3</v>
      </c>
      <c r="O230" s="53" t="s">
        <v>3</v>
      </c>
      <c r="P230" s="53" t="s">
        <v>3</v>
      </c>
      <c r="Q230" s="53" t="s">
        <v>3</v>
      </c>
      <c r="R230" s="53" t="s">
        <v>3</v>
      </c>
      <c r="S230" s="53" t="s">
        <v>3</v>
      </c>
      <c r="T230" s="53" t="s">
        <v>3</v>
      </c>
      <c r="U230" s="53" t="s">
        <v>2478</v>
      </c>
      <c r="V230" s="53">
        <v>3</v>
      </c>
      <c r="W230" s="53" t="s">
        <v>2518</v>
      </c>
      <c r="X230" s="53" t="s">
        <v>48</v>
      </c>
      <c r="Y230" s="53" t="s">
        <v>105</v>
      </c>
      <c r="Z230" s="53" t="s">
        <v>51</v>
      </c>
      <c r="AA230" s="53" t="s">
        <v>1384</v>
      </c>
      <c r="AB230" s="53" t="s">
        <v>95</v>
      </c>
      <c r="AC230" s="53" t="s">
        <v>124</v>
      </c>
      <c r="AD230" s="53" t="s">
        <v>3</v>
      </c>
      <c r="AE230" s="53">
        <v>0</v>
      </c>
      <c r="AF230" s="53" t="s">
        <v>3</v>
      </c>
      <c r="AG230" s="53" t="s">
        <v>1252</v>
      </c>
      <c r="AH230" s="53" t="s">
        <v>1253</v>
      </c>
      <c r="AI230" s="53" t="s">
        <v>3</v>
      </c>
      <c r="AJ230" s="53">
        <v>0</v>
      </c>
      <c r="AK230" s="53" t="s">
        <v>3</v>
      </c>
      <c r="AL230" s="53" t="s">
        <v>1252</v>
      </c>
      <c r="AM230" s="53" t="s">
        <v>1253</v>
      </c>
      <c r="AN230" s="53">
        <v>0</v>
      </c>
      <c r="AO230" s="53">
        <v>0</v>
      </c>
      <c r="AP230" s="53">
        <v>0</v>
      </c>
      <c r="AQ230" s="53">
        <v>0</v>
      </c>
      <c r="AR230" s="53" t="e">
        <v>#N/A</v>
      </c>
      <c r="AS230" s="53" t="s">
        <v>3</v>
      </c>
      <c r="AT230" s="53"/>
      <c r="AU230" s="53"/>
      <c r="AV230" s="53"/>
      <c r="AW230" s="53" t="s">
        <v>1761</v>
      </c>
    </row>
    <row r="231" spans="1:49" ht="30" customHeight="1" x14ac:dyDescent="0.3">
      <c r="A231" s="48" t="s">
        <v>1690</v>
      </c>
      <c r="B231" s="44" t="str">
        <f t="shared" si="6"/>
        <v>2</v>
      </c>
      <c r="C231" s="44" t="str">
        <f t="shared" si="7"/>
        <v>2</v>
      </c>
      <c r="D231" s="52" t="s">
        <v>2479</v>
      </c>
      <c r="E231" s="52" t="s">
        <v>2409</v>
      </c>
      <c r="F231" s="45">
        <v>44176</v>
      </c>
      <c r="G231" s="53" t="s">
        <v>1388</v>
      </c>
      <c r="H231" s="53" t="s">
        <v>2480</v>
      </c>
      <c r="I231" s="53" t="s">
        <v>1146</v>
      </c>
      <c r="J231" s="53" t="s">
        <v>1848</v>
      </c>
      <c r="K231" s="53" t="s">
        <v>2467</v>
      </c>
      <c r="L231" s="53" t="s">
        <v>2280</v>
      </c>
      <c r="M231" s="53" t="s">
        <v>2481</v>
      </c>
      <c r="N231" s="53" t="s">
        <v>3</v>
      </c>
      <c r="O231" s="53" t="s">
        <v>3</v>
      </c>
      <c r="P231" s="53" t="s">
        <v>3</v>
      </c>
      <c r="Q231" s="53" t="s">
        <v>2482</v>
      </c>
      <c r="R231" s="53" t="s">
        <v>2483</v>
      </c>
      <c r="S231" s="53" t="s">
        <v>3</v>
      </c>
      <c r="T231" s="53" t="s">
        <v>3</v>
      </c>
      <c r="U231" s="53" t="s">
        <v>2484</v>
      </c>
      <c r="V231" s="53">
        <v>1</v>
      </c>
      <c r="W231" s="53" t="s">
        <v>2522</v>
      </c>
      <c r="X231" s="53" t="s">
        <v>53</v>
      </c>
      <c r="Y231" s="53" t="s">
        <v>127</v>
      </c>
      <c r="Z231" s="53" t="s">
        <v>84</v>
      </c>
      <c r="AA231" s="53" t="s">
        <v>147</v>
      </c>
      <c r="AB231" s="53" t="s">
        <v>1385</v>
      </c>
      <c r="AC231" s="53" t="s">
        <v>1799</v>
      </c>
      <c r="AD231" s="53" t="s">
        <v>3</v>
      </c>
      <c r="AE231" s="53">
        <v>0</v>
      </c>
      <c r="AF231" s="53" t="s">
        <v>3</v>
      </c>
      <c r="AG231" s="53" t="s">
        <v>1252</v>
      </c>
      <c r="AH231" s="53" t="s">
        <v>1253</v>
      </c>
      <c r="AI231" s="53" t="s">
        <v>3</v>
      </c>
      <c r="AJ231" s="53">
        <v>0</v>
      </c>
      <c r="AK231" s="53" t="s">
        <v>3</v>
      </c>
      <c r="AL231" s="53" t="s">
        <v>1252</v>
      </c>
      <c r="AM231" s="53" t="s">
        <v>1253</v>
      </c>
      <c r="AN231" s="53">
        <v>0</v>
      </c>
      <c r="AO231" s="53">
        <v>0</v>
      </c>
      <c r="AP231" s="53">
        <v>0</v>
      </c>
      <c r="AQ231" s="53">
        <v>0</v>
      </c>
      <c r="AR231" s="53" t="e">
        <v>#N/A</v>
      </c>
      <c r="AS231" s="53" t="s">
        <v>3</v>
      </c>
      <c r="AT231" s="53"/>
      <c r="AU231" s="53"/>
      <c r="AV231" s="53"/>
      <c r="AW231" s="53" t="s">
        <v>1761</v>
      </c>
    </row>
    <row r="232" spans="1:49" ht="30" customHeight="1" x14ac:dyDescent="0.3">
      <c r="A232" s="48" t="s">
        <v>1691</v>
      </c>
      <c r="B232" s="44" t="str">
        <f t="shared" si="6"/>
        <v>2</v>
      </c>
      <c r="C232" s="44" t="str">
        <f t="shared" si="7"/>
        <v>2</v>
      </c>
      <c r="D232" s="52" t="s">
        <v>2485</v>
      </c>
      <c r="E232" s="52" t="s">
        <v>2409</v>
      </c>
      <c r="F232" s="45">
        <v>44348</v>
      </c>
      <c r="G232" s="53" t="s">
        <v>1388</v>
      </c>
      <c r="H232" s="53" t="s">
        <v>1425</v>
      </c>
      <c r="I232" s="53" t="s">
        <v>1146</v>
      </c>
      <c r="J232" s="53" t="s">
        <v>1848</v>
      </c>
      <c r="K232" s="53" t="s">
        <v>1389</v>
      </c>
      <c r="L232" s="53" t="s">
        <v>3</v>
      </c>
      <c r="M232" s="53" t="s">
        <v>3</v>
      </c>
      <c r="N232" s="53" t="s">
        <v>3</v>
      </c>
      <c r="O232" s="53" t="s">
        <v>3</v>
      </c>
      <c r="P232" s="53" t="s">
        <v>3</v>
      </c>
      <c r="Q232" s="53" t="s">
        <v>3</v>
      </c>
      <c r="R232" s="53" t="s">
        <v>3</v>
      </c>
      <c r="S232" s="53" t="s">
        <v>3</v>
      </c>
      <c r="T232" s="53" t="s">
        <v>3</v>
      </c>
      <c r="U232" s="53" t="s">
        <v>2486</v>
      </c>
      <c r="V232" s="53">
        <v>3</v>
      </c>
      <c r="W232" s="53" t="s">
        <v>2518</v>
      </c>
      <c r="X232" s="53" t="s">
        <v>48</v>
      </c>
      <c r="Y232" s="53" t="s">
        <v>105</v>
      </c>
      <c r="Z232" s="53" t="s">
        <v>51</v>
      </c>
      <c r="AA232" s="53" t="s">
        <v>1384</v>
      </c>
      <c r="AB232" s="53" t="s">
        <v>95</v>
      </c>
      <c r="AC232" s="53" t="s">
        <v>124</v>
      </c>
      <c r="AD232" s="53" t="s">
        <v>3</v>
      </c>
      <c r="AE232" s="53">
        <v>0</v>
      </c>
      <c r="AF232" s="53" t="s">
        <v>3</v>
      </c>
      <c r="AG232" s="53" t="s">
        <v>1252</v>
      </c>
      <c r="AH232" s="53" t="s">
        <v>1253</v>
      </c>
      <c r="AI232" s="53" t="s">
        <v>3</v>
      </c>
      <c r="AJ232" s="53">
        <v>0</v>
      </c>
      <c r="AK232" s="53" t="s">
        <v>3</v>
      </c>
      <c r="AL232" s="53" t="s">
        <v>1252</v>
      </c>
      <c r="AM232" s="53" t="s">
        <v>1253</v>
      </c>
      <c r="AN232" s="53">
        <v>0</v>
      </c>
      <c r="AO232" s="53">
        <v>0</v>
      </c>
      <c r="AP232" s="53">
        <v>0</v>
      </c>
      <c r="AQ232" s="53">
        <v>0</v>
      </c>
      <c r="AR232" s="53" t="e">
        <v>#N/A</v>
      </c>
      <c r="AS232" s="53" t="s">
        <v>3</v>
      </c>
      <c r="AT232" s="53"/>
      <c r="AU232" s="53"/>
      <c r="AV232" s="53"/>
      <c r="AW232" s="53" t="s">
        <v>1761</v>
      </c>
    </row>
    <row r="233" spans="1:49" ht="30" customHeight="1" x14ac:dyDescent="0.3">
      <c r="A233" s="48" t="s">
        <v>1509</v>
      </c>
      <c r="B233" s="44" t="str">
        <f t="shared" si="6"/>
        <v>2</v>
      </c>
      <c r="C233" s="44" t="str">
        <f t="shared" si="7"/>
        <v>2</v>
      </c>
      <c r="D233" s="52" t="s">
        <v>2487</v>
      </c>
      <c r="E233" s="52" t="s">
        <v>2409</v>
      </c>
      <c r="F233" s="45">
        <v>44176</v>
      </c>
      <c r="G233" s="53" t="s">
        <v>1388</v>
      </c>
      <c r="H233" s="53" t="s">
        <v>1425</v>
      </c>
      <c r="I233" s="53" t="s">
        <v>1146</v>
      </c>
      <c r="J233" s="53" t="s">
        <v>1848</v>
      </c>
      <c r="K233" s="53" t="s">
        <v>2488</v>
      </c>
      <c r="L233" s="53" t="s">
        <v>2280</v>
      </c>
      <c r="M233" s="53" t="s">
        <v>2481</v>
      </c>
      <c r="N233" s="53" t="s">
        <v>3</v>
      </c>
      <c r="O233" s="53" t="s">
        <v>3</v>
      </c>
      <c r="P233" s="53" t="s">
        <v>3</v>
      </c>
      <c r="Q233" s="53" t="s">
        <v>2489</v>
      </c>
      <c r="R233" s="53" t="s">
        <v>2490</v>
      </c>
      <c r="S233" s="53" t="s">
        <v>3</v>
      </c>
      <c r="T233" s="53" t="s">
        <v>3</v>
      </c>
      <c r="U233" s="53" t="s">
        <v>2491</v>
      </c>
      <c r="V233" s="53">
        <v>1</v>
      </c>
      <c r="W233" s="53" t="s">
        <v>2522</v>
      </c>
      <c r="X233" s="53" t="s">
        <v>53</v>
      </c>
      <c r="Y233" s="53" t="s">
        <v>127</v>
      </c>
      <c r="Z233" s="53" t="s">
        <v>84</v>
      </c>
      <c r="AA233" s="53" t="s">
        <v>147</v>
      </c>
      <c r="AB233" s="53" t="s">
        <v>1385</v>
      </c>
      <c r="AC233" s="53" t="s">
        <v>1799</v>
      </c>
      <c r="AD233" s="53" t="s">
        <v>3</v>
      </c>
      <c r="AE233" s="53">
        <v>0</v>
      </c>
      <c r="AF233" s="53" t="s">
        <v>3</v>
      </c>
      <c r="AG233" s="53" t="s">
        <v>1252</v>
      </c>
      <c r="AH233" s="53" t="s">
        <v>1253</v>
      </c>
      <c r="AI233" s="53" t="s">
        <v>3</v>
      </c>
      <c r="AJ233" s="53">
        <v>0</v>
      </c>
      <c r="AK233" s="53" t="s">
        <v>3</v>
      </c>
      <c r="AL233" s="53" t="s">
        <v>1252</v>
      </c>
      <c r="AM233" s="53" t="s">
        <v>1253</v>
      </c>
      <c r="AN233" s="53">
        <v>0</v>
      </c>
      <c r="AO233" s="53">
        <v>0</v>
      </c>
      <c r="AP233" s="53">
        <v>0</v>
      </c>
      <c r="AQ233" s="53">
        <v>0</v>
      </c>
      <c r="AR233" s="53" t="e">
        <v>#N/A</v>
      </c>
      <c r="AS233" s="53" t="s">
        <v>3</v>
      </c>
      <c r="AT233" s="53"/>
      <c r="AU233" s="53"/>
      <c r="AV233" s="53"/>
      <c r="AW233" s="53" t="s">
        <v>1761</v>
      </c>
    </row>
    <row r="234" spans="1:49" ht="30" customHeight="1" x14ac:dyDescent="0.3">
      <c r="A234" s="48" t="s">
        <v>1692</v>
      </c>
      <c r="B234" s="44" t="str">
        <f t="shared" si="6"/>
        <v>2</v>
      </c>
      <c r="C234" s="44" t="str">
        <f t="shared" ref="C234:C247" si="8">HYPERLINK("#"&amp;CONCATENATE(A234,"!B1"),"2")</f>
        <v>2</v>
      </c>
      <c r="D234" s="52" t="s">
        <v>2492</v>
      </c>
      <c r="E234" s="52" t="s">
        <v>2409</v>
      </c>
      <c r="F234" s="45">
        <v>44488</v>
      </c>
      <c r="G234" s="53" t="s">
        <v>1388</v>
      </c>
      <c r="H234" s="53" t="s">
        <v>1425</v>
      </c>
      <c r="I234" s="53" t="s">
        <v>1146</v>
      </c>
      <c r="J234" s="53" t="s">
        <v>1848</v>
      </c>
      <c r="K234" s="53" t="s">
        <v>1409</v>
      </c>
      <c r="L234" s="53" t="s">
        <v>3</v>
      </c>
      <c r="M234" s="53" t="s">
        <v>2493</v>
      </c>
      <c r="N234" s="53" t="s">
        <v>3</v>
      </c>
      <c r="O234" s="53" t="s">
        <v>2204</v>
      </c>
      <c r="P234" s="53" t="s">
        <v>3</v>
      </c>
      <c r="Q234" s="53" t="s">
        <v>1472</v>
      </c>
      <c r="R234" s="53" t="s">
        <v>1473</v>
      </c>
      <c r="S234" s="53" t="s">
        <v>1142</v>
      </c>
      <c r="T234" s="53" t="s">
        <v>3</v>
      </c>
      <c r="U234" s="53" t="s">
        <v>2494</v>
      </c>
      <c r="V234" s="53">
        <v>3</v>
      </c>
      <c r="W234" s="53" t="s">
        <v>2522</v>
      </c>
      <c r="X234" s="53" t="s">
        <v>1385</v>
      </c>
      <c r="Y234" s="53" t="s">
        <v>1799</v>
      </c>
      <c r="Z234" s="53" t="s">
        <v>1419</v>
      </c>
      <c r="AA234" s="53" t="s">
        <v>2528</v>
      </c>
      <c r="AB234" s="53" t="s">
        <v>95</v>
      </c>
      <c r="AC234" s="53" t="s">
        <v>124</v>
      </c>
      <c r="AD234" s="53" t="s">
        <v>2424</v>
      </c>
      <c r="AE234" s="53" t="s">
        <v>2495</v>
      </c>
      <c r="AF234" s="53" t="s">
        <v>1417</v>
      </c>
      <c r="AG234" s="53" t="s">
        <v>1423</v>
      </c>
      <c r="AH234" s="53" t="s">
        <v>1424</v>
      </c>
      <c r="AI234" s="53" t="s">
        <v>3</v>
      </c>
      <c r="AJ234" s="53">
        <v>0</v>
      </c>
      <c r="AK234" s="53" t="s">
        <v>3</v>
      </c>
      <c r="AL234" s="53" t="s">
        <v>1252</v>
      </c>
      <c r="AM234" s="53" t="s">
        <v>1253</v>
      </c>
      <c r="AN234" s="53">
        <v>0</v>
      </c>
      <c r="AO234" s="53">
        <v>0</v>
      </c>
      <c r="AP234" s="53">
        <v>0</v>
      </c>
      <c r="AQ234" s="53">
        <v>0</v>
      </c>
      <c r="AR234" s="53" t="e">
        <v>#N/A</v>
      </c>
      <c r="AS234" s="53">
        <v>870.6</v>
      </c>
      <c r="AT234" s="53"/>
      <c r="AU234" s="53"/>
      <c r="AV234" s="53"/>
      <c r="AW234" s="53" t="s">
        <v>1761</v>
      </c>
    </row>
    <row r="235" spans="1:49" ht="30" customHeight="1" x14ac:dyDescent="0.3">
      <c r="A235" s="48" t="s">
        <v>1693</v>
      </c>
      <c r="B235" s="44" t="str">
        <f t="shared" si="6"/>
        <v>2</v>
      </c>
      <c r="C235" s="44" t="str">
        <f t="shared" si="8"/>
        <v>2</v>
      </c>
      <c r="D235" s="52" t="s">
        <v>2496</v>
      </c>
      <c r="E235" s="52" t="s">
        <v>2497</v>
      </c>
      <c r="F235" s="45">
        <v>42991</v>
      </c>
      <c r="G235" s="53" t="s">
        <v>1388</v>
      </c>
      <c r="H235" s="53" t="s">
        <v>1425</v>
      </c>
      <c r="I235" s="53" t="s">
        <v>1146</v>
      </c>
      <c r="J235" s="53" t="s">
        <v>1848</v>
      </c>
      <c r="K235" s="53" t="s">
        <v>1405</v>
      </c>
      <c r="L235" s="53" t="s">
        <v>1476</v>
      </c>
      <c r="M235" s="53" t="s">
        <v>1525</v>
      </c>
      <c r="N235" s="53" t="s">
        <v>3</v>
      </c>
      <c r="O235" s="53" t="s">
        <v>3</v>
      </c>
      <c r="P235" s="53" t="s">
        <v>3</v>
      </c>
      <c r="Q235" s="53" t="s">
        <v>1523</v>
      </c>
      <c r="R235" s="53" t="s">
        <v>1840</v>
      </c>
      <c r="S235" s="53" t="s">
        <v>3</v>
      </c>
      <c r="T235" s="53" t="s">
        <v>1143</v>
      </c>
      <c r="U235" s="53" t="s">
        <v>1543</v>
      </c>
      <c r="V235" s="53">
        <v>1</v>
      </c>
      <c r="W235" s="53" t="s">
        <v>2522</v>
      </c>
      <c r="X235" s="53" t="s">
        <v>53</v>
      </c>
      <c r="Y235" s="53" t="s">
        <v>127</v>
      </c>
      <c r="Z235" s="53" t="s">
        <v>1419</v>
      </c>
      <c r="AA235" s="53" t="s">
        <v>2528</v>
      </c>
      <c r="AB235" s="53" t="s">
        <v>95</v>
      </c>
      <c r="AC235" s="53" t="s">
        <v>124</v>
      </c>
      <c r="AD235" s="53" t="s">
        <v>3</v>
      </c>
      <c r="AE235" s="53">
        <v>0</v>
      </c>
      <c r="AF235" s="53" t="s">
        <v>3</v>
      </c>
      <c r="AG235" s="53" t="s">
        <v>1252</v>
      </c>
      <c r="AH235" s="53" t="s">
        <v>1253</v>
      </c>
      <c r="AI235" s="53" t="s">
        <v>3</v>
      </c>
      <c r="AJ235" s="53">
        <v>0</v>
      </c>
      <c r="AK235" s="53" t="s">
        <v>3</v>
      </c>
      <c r="AL235" s="53" t="s">
        <v>1252</v>
      </c>
      <c r="AM235" s="53" t="s">
        <v>1253</v>
      </c>
      <c r="AN235" s="53">
        <v>0</v>
      </c>
      <c r="AO235" s="53">
        <v>0</v>
      </c>
      <c r="AP235" s="53">
        <v>0</v>
      </c>
      <c r="AQ235" s="53">
        <v>0</v>
      </c>
      <c r="AR235" s="53" t="e">
        <v>#N/A</v>
      </c>
      <c r="AS235" s="53" t="s">
        <v>3</v>
      </c>
      <c r="AT235" s="53"/>
      <c r="AU235" s="53"/>
      <c r="AV235" s="53"/>
      <c r="AW235" s="53" t="s">
        <v>1761</v>
      </c>
    </row>
    <row r="236" spans="1:49" ht="30" customHeight="1" x14ac:dyDescent="0.3">
      <c r="A236" s="48" t="s">
        <v>1694</v>
      </c>
      <c r="B236" s="44" t="str">
        <f t="shared" si="6"/>
        <v>2</v>
      </c>
      <c r="C236" s="44" t="str">
        <f t="shared" si="8"/>
        <v>2</v>
      </c>
      <c r="D236" s="52" t="s">
        <v>2498</v>
      </c>
      <c r="E236" s="52" t="s">
        <v>1515</v>
      </c>
      <c r="F236" s="45">
        <v>45265</v>
      </c>
      <c r="G236" s="53" t="s">
        <v>1455</v>
      </c>
      <c r="H236" s="53" t="s">
        <v>1390</v>
      </c>
      <c r="I236" s="53" t="s">
        <v>1383</v>
      </c>
      <c r="J236" s="53" t="s">
        <v>1848</v>
      </c>
      <c r="K236" s="53" t="s">
        <v>2467</v>
      </c>
      <c r="L236" s="53" t="s">
        <v>2499</v>
      </c>
      <c r="M236" s="53" t="s">
        <v>2343</v>
      </c>
      <c r="N236" s="53" t="s">
        <v>3</v>
      </c>
      <c r="O236" s="53" t="s">
        <v>3</v>
      </c>
      <c r="P236" s="53" t="s">
        <v>3</v>
      </c>
      <c r="Q236" s="53" t="s">
        <v>2500</v>
      </c>
      <c r="R236" s="53" t="s">
        <v>2501</v>
      </c>
      <c r="S236" s="53" t="s">
        <v>3</v>
      </c>
      <c r="T236" s="53" t="s">
        <v>3</v>
      </c>
      <c r="U236" s="53" t="s">
        <v>3</v>
      </c>
      <c r="V236" s="53">
        <v>1</v>
      </c>
      <c r="W236" s="53" t="s">
        <v>2522</v>
      </c>
      <c r="X236" s="53" t="s">
        <v>48</v>
      </c>
      <c r="Y236" s="53" t="s">
        <v>105</v>
      </c>
      <c r="Z236" s="53" t="s">
        <v>51</v>
      </c>
      <c r="AA236" s="53" t="s">
        <v>1384</v>
      </c>
      <c r="AB236" s="53" t="s">
        <v>1385</v>
      </c>
      <c r="AC236" s="53" t="s">
        <v>1799</v>
      </c>
      <c r="AD236" s="53" t="s">
        <v>3</v>
      </c>
      <c r="AE236" s="53">
        <v>0</v>
      </c>
      <c r="AF236" s="53" t="s">
        <v>3</v>
      </c>
      <c r="AG236" s="53" t="s">
        <v>1252</v>
      </c>
      <c r="AH236" s="53" t="s">
        <v>1253</v>
      </c>
      <c r="AI236" s="53" t="s">
        <v>3</v>
      </c>
      <c r="AJ236" s="53">
        <v>0</v>
      </c>
      <c r="AK236" s="53" t="s">
        <v>3</v>
      </c>
      <c r="AL236" s="53" t="s">
        <v>1252</v>
      </c>
      <c r="AM236" s="53" t="s">
        <v>1253</v>
      </c>
      <c r="AN236" s="53">
        <v>0</v>
      </c>
      <c r="AO236" s="53">
        <v>0</v>
      </c>
      <c r="AP236" s="53">
        <v>0</v>
      </c>
      <c r="AQ236" s="53">
        <v>0</v>
      </c>
      <c r="AR236" s="53" t="e">
        <v>#N/A</v>
      </c>
      <c r="AS236" s="53" t="s">
        <v>3</v>
      </c>
      <c r="AT236" s="53"/>
      <c r="AU236" s="53"/>
      <c r="AV236" s="53"/>
      <c r="AW236" s="53" t="s">
        <v>1761</v>
      </c>
    </row>
    <row r="237" spans="1:49" ht="30" customHeight="1" x14ac:dyDescent="0.3">
      <c r="A237" s="48" t="s">
        <v>1695</v>
      </c>
      <c r="B237" s="44" t="str">
        <f t="shared" si="6"/>
        <v>2</v>
      </c>
      <c r="C237" s="44" t="str">
        <f t="shared" si="8"/>
        <v>2</v>
      </c>
      <c r="D237" s="52" t="s">
        <v>2502</v>
      </c>
      <c r="E237" s="52" t="s">
        <v>1515</v>
      </c>
      <c r="F237" s="45">
        <v>45267</v>
      </c>
      <c r="G237" s="53" t="s">
        <v>1455</v>
      </c>
      <c r="H237" s="53" t="s">
        <v>1390</v>
      </c>
      <c r="I237" s="53" t="s">
        <v>1383</v>
      </c>
      <c r="J237" s="53" t="s">
        <v>1848</v>
      </c>
      <c r="K237" s="53" t="s">
        <v>1489</v>
      </c>
      <c r="L237" s="53" t="s">
        <v>3</v>
      </c>
      <c r="M237" s="53" t="s">
        <v>2503</v>
      </c>
      <c r="N237" s="53" t="s">
        <v>3</v>
      </c>
      <c r="O237" s="53" t="s">
        <v>3</v>
      </c>
      <c r="P237" s="53" t="s">
        <v>3</v>
      </c>
      <c r="Q237" s="53" t="s">
        <v>2504</v>
      </c>
      <c r="R237" s="53" t="s">
        <v>2505</v>
      </c>
      <c r="S237" s="53" t="s">
        <v>3</v>
      </c>
      <c r="T237" s="53" t="s">
        <v>1143</v>
      </c>
      <c r="U237" s="53" t="s">
        <v>3</v>
      </c>
      <c r="V237" s="53">
        <v>2</v>
      </c>
      <c r="W237" s="53" t="s">
        <v>2522</v>
      </c>
      <c r="X237" s="53" t="s">
        <v>48</v>
      </c>
      <c r="Y237" s="53" t="s">
        <v>105</v>
      </c>
      <c r="Z237" s="53" t="s">
        <v>51</v>
      </c>
      <c r="AA237" s="53" t="s">
        <v>1384</v>
      </c>
      <c r="AB237" s="53" t="s">
        <v>95</v>
      </c>
      <c r="AC237" s="53" t="s">
        <v>124</v>
      </c>
      <c r="AD237" s="53" t="s">
        <v>3</v>
      </c>
      <c r="AE237" s="53">
        <v>0</v>
      </c>
      <c r="AF237" s="53" t="s">
        <v>3</v>
      </c>
      <c r="AG237" s="53" t="s">
        <v>1252</v>
      </c>
      <c r="AH237" s="53" t="s">
        <v>1253</v>
      </c>
      <c r="AI237" s="53" t="s">
        <v>3</v>
      </c>
      <c r="AJ237" s="53">
        <v>0</v>
      </c>
      <c r="AK237" s="53" t="s">
        <v>3</v>
      </c>
      <c r="AL237" s="53" t="s">
        <v>1252</v>
      </c>
      <c r="AM237" s="53" t="s">
        <v>1253</v>
      </c>
      <c r="AN237" s="53">
        <v>0</v>
      </c>
      <c r="AO237" s="53">
        <v>0</v>
      </c>
      <c r="AP237" s="53">
        <v>0</v>
      </c>
      <c r="AQ237" s="53">
        <v>0</v>
      </c>
      <c r="AR237" s="53" t="e">
        <v>#N/A</v>
      </c>
      <c r="AS237" s="53" t="s">
        <v>3</v>
      </c>
      <c r="AT237" s="53"/>
      <c r="AU237" s="53"/>
      <c r="AV237" s="53"/>
      <c r="AW237" s="53" t="s">
        <v>1761</v>
      </c>
    </row>
    <row r="238" spans="1:49" ht="30" customHeight="1" x14ac:dyDescent="0.3">
      <c r="A238" s="48" t="s">
        <v>1696</v>
      </c>
      <c r="B238" s="44" t="str">
        <f t="shared" si="6"/>
        <v>2</v>
      </c>
      <c r="C238" s="44" t="str">
        <f t="shared" si="8"/>
        <v>2</v>
      </c>
      <c r="D238" s="52" t="s">
        <v>2506</v>
      </c>
      <c r="E238" s="52" t="s">
        <v>2318</v>
      </c>
      <c r="F238" s="45">
        <v>45616</v>
      </c>
      <c r="G238" s="53" t="s">
        <v>1455</v>
      </c>
      <c r="H238" s="53" t="s">
        <v>1390</v>
      </c>
      <c r="I238" s="53" t="s">
        <v>1383</v>
      </c>
      <c r="J238" s="53" t="s">
        <v>1848</v>
      </c>
      <c r="K238" s="53" t="s">
        <v>2342</v>
      </c>
      <c r="L238" s="53" t="s">
        <v>1504</v>
      </c>
      <c r="M238" s="53" t="s">
        <v>2343</v>
      </c>
      <c r="N238" s="53" t="s">
        <v>3</v>
      </c>
      <c r="O238" s="53" t="s">
        <v>3</v>
      </c>
      <c r="P238" s="53" t="s">
        <v>3</v>
      </c>
      <c r="Q238" s="53" t="s">
        <v>2507</v>
      </c>
      <c r="R238" s="53" t="s">
        <v>2508</v>
      </c>
      <c r="S238" s="53" t="s">
        <v>1142</v>
      </c>
      <c r="T238" s="53" t="s">
        <v>1143</v>
      </c>
      <c r="U238" s="53" t="s">
        <v>2509</v>
      </c>
      <c r="V238" s="53">
        <v>1</v>
      </c>
      <c r="W238" s="53" t="s">
        <v>2522</v>
      </c>
      <c r="X238" s="53" t="s">
        <v>48</v>
      </c>
      <c r="Y238" s="53" t="s">
        <v>105</v>
      </c>
      <c r="Z238" s="53" t="s">
        <v>51</v>
      </c>
      <c r="AA238" s="53" t="s">
        <v>1384</v>
      </c>
      <c r="AB238" s="53" t="s">
        <v>1385</v>
      </c>
      <c r="AC238" s="53" t="s">
        <v>1799</v>
      </c>
      <c r="AD238" s="53" t="s">
        <v>3</v>
      </c>
      <c r="AE238" s="53">
        <v>0</v>
      </c>
      <c r="AF238" s="53" t="s">
        <v>3</v>
      </c>
      <c r="AG238" s="53" t="s">
        <v>1252</v>
      </c>
      <c r="AH238" s="53" t="s">
        <v>1253</v>
      </c>
      <c r="AI238" s="53" t="s">
        <v>3</v>
      </c>
      <c r="AJ238" s="53">
        <v>0</v>
      </c>
      <c r="AK238" s="53" t="s">
        <v>3</v>
      </c>
      <c r="AL238" s="53" t="s">
        <v>1252</v>
      </c>
      <c r="AM238" s="53" t="s">
        <v>1253</v>
      </c>
      <c r="AN238" s="53">
        <v>0</v>
      </c>
      <c r="AO238" s="53">
        <v>0</v>
      </c>
      <c r="AP238" s="53">
        <v>0</v>
      </c>
      <c r="AQ238" s="53">
        <v>0</v>
      </c>
      <c r="AR238" s="53" t="e">
        <v>#N/A</v>
      </c>
      <c r="AS238" s="53" t="s">
        <v>3</v>
      </c>
      <c r="AT238" s="53"/>
      <c r="AU238" s="53"/>
      <c r="AV238" s="53"/>
      <c r="AW238" s="53" t="s">
        <v>1761</v>
      </c>
    </row>
    <row r="239" spans="1:49" ht="30" customHeight="1" x14ac:dyDescent="0.3">
      <c r="A239" s="48" t="s">
        <v>1697</v>
      </c>
      <c r="B239" s="44" t="str">
        <f t="shared" si="6"/>
        <v>2</v>
      </c>
      <c r="C239" s="44" t="str">
        <f t="shared" si="8"/>
        <v>2</v>
      </c>
      <c r="D239" s="52" t="s">
        <v>2510</v>
      </c>
      <c r="E239" s="52" t="s">
        <v>2318</v>
      </c>
      <c r="F239" s="45">
        <v>45544</v>
      </c>
      <c r="G239" s="53" t="s">
        <v>1388</v>
      </c>
      <c r="H239" s="53" t="s">
        <v>1460</v>
      </c>
      <c r="I239" s="53" t="s">
        <v>1146</v>
      </c>
      <c r="J239" s="53" t="s">
        <v>1848</v>
      </c>
      <c r="K239" s="53" t="s">
        <v>3</v>
      </c>
      <c r="L239" s="53" t="s">
        <v>3</v>
      </c>
      <c r="M239" s="53" t="s">
        <v>3</v>
      </c>
      <c r="N239" s="53" t="s">
        <v>3</v>
      </c>
      <c r="O239" s="53" t="s">
        <v>3</v>
      </c>
      <c r="P239" s="53" t="s">
        <v>3</v>
      </c>
      <c r="Q239" s="53" t="s">
        <v>3</v>
      </c>
      <c r="R239" s="53" t="s">
        <v>3</v>
      </c>
      <c r="S239" s="53" t="s">
        <v>3</v>
      </c>
      <c r="T239" s="53" t="s">
        <v>3</v>
      </c>
      <c r="U239" s="53" t="s">
        <v>3</v>
      </c>
      <c r="V239" s="53" t="s">
        <v>1231</v>
      </c>
      <c r="W239" s="53" t="s">
        <v>2522</v>
      </c>
      <c r="X239" s="53" t="s">
        <v>48</v>
      </c>
      <c r="Y239" s="53" t="s">
        <v>105</v>
      </c>
      <c r="Z239" s="53" t="s">
        <v>51</v>
      </c>
      <c r="AA239" s="53" t="s">
        <v>1384</v>
      </c>
      <c r="AB239" s="53" t="s">
        <v>95</v>
      </c>
      <c r="AC239" s="53" t="s">
        <v>124</v>
      </c>
      <c r="AD239" s="53" t="s">
        <v>3</v>
      </c>
      <c r="AE239" s="53">
        <v>0</v>
      </c>
      <c r="AF239" s="53" t="s">
        <v>3</v>
      </c>
      <c r="AG239" s="53" t="s">
        <v>1252</v>
      </c>
      <c r="AH239" s="53" t="s">
        <v>1253</v>
      </c>
      <c r="AI239" s="53" t="s">
        <v>3</v>
      </c>
      <c r="AJ239" s="53">
        <v>0</v>
      </c>
      <c r="AK239" s="53" t="s">
        <v>3</v>
      </c>
      <c r="AL239" s="53" t="s">
        <v>1252</v>
      </c>
      <c r="AM239" s="53" t="s">
        <v>1253</v>
      </c>
      <c r="AN239" s="53">
        <v>0</v>
      </c>
      <c r="AO239" s="53">
        <v>0</v>
      </c>
      <c r="AP239" s="53">
        <v>0</v>
      </c>
      <c r="AQ239" s="53">
        <v>0</v>
      </c>
      <c r="AR239" s="53" t="e">
        <v>#N/A</v>
      </c>
      <c r="AS239" s="53" t="s">
        <v>3</v>
      </c>
      <c r="AT239" s="53"/>
      <c r="AU239" s="53"/>
      <c r="AV239" s="53"/>
      <c r="AW239" s="53" t="s">
        <v>1761</v>
      </c>
    </row>
    <row r="240" spans="1:49" ht="30" customHeight="1" x14ac:dyDescent="0.3">
      <c r="A240" s="48" t="s">
        <v>1698</v>
      </c>
      <c r="B240" s="44" t="str">
        <f t="shared" si="6"/>
        <v>2</v>
      </c>
      <c r="C240" s="44" t="str">
        <f t="shared" si="8"/>
        <v>2</v>
      </c>
      <c r="D240" s="52" t="s">
        <v>2511</v>
      </c>
      <c r="E240" s="52" t="s">
        <v>2318</v>
      </c>
      <c r="F240" s="45">
        <v>45826</v>
      </c>
      <c r="G240" s="53" t="s">
        <v>1388</v>
      </c>
      <c r="H240" s="53" t="s">
        <v>1492</v>
      </c>
      <c r="I240" s="53" t="s">
        <v>1146</v>
      </c>
      <c r="J240" s="53" t="s">
        <v>1848</v>
      </c>
      <c r="K240" s="53" t="s">
        <v>3</v>
      </c>
      <c r="L240" s="53" t="s">
        <v>3</v>
      </c>
      <c r="M240" s="53" t="s">
        <v>3</v>
      </c>
      <c r="N240" s="53" t="s">
        <v>1413</v>
      </c>
      <c r="O240" s="53" t="s">
        <v>1453</v>
      </c>
      <c r="P240" s="53" t="s">
        <v>3</v>
      </c>
      <c r="Q240" s="53" t="s">
        <v>2512</v>
      </c>
      <c r="R240" s="53" t="s">
        <v>3</v>
      </c>
      <c r="S240" s="53" t="s">
        <v>3</v>
      </c>
      <c r="T240" s="53" t="s">
        <v>1143</v>
      </c>
      <c r="U240" s="53" t="s">
        <v>3</v>
      </c>
      <c r="V240" s="53">
        <v>2</v>
      </c>
      <c r="W240" s="53" t="s">
        <v>2522</v>
      </c>
      <c r="X240" s="53" t="s">
        <v>48</v>
      </c>
      <c r="Y240" s="53" t="s">
        <v>105</v>
      </c>
      <c r="Z240" s="53" t="s">
        <v>51</v>
      </c>
      <c r="AA240" s="53" t="s">
        <v>1384</v>
      </c>
      <c r="AB240" s="53" t="s">
        <v>95</v>
      </c>
      <c r="AC240" s="53" t="s">
        <v>124</v>
      </c>
      <c r="AD240" s="53" t="s">
        <v>3</v>
      </c>
      <c r="AE240" s="53">
        <v>0</v>
      </c>
      <c r="AF240" s="53" t="s">
        <v>3</v>
      </c>
      <c r="AG240" s="53" t="s">
        <v>1252</v>
      </c>
      <c r="AH240" s="53" t="s">
        <v>1253</v>
      </c>
      <c r="AI240" s="53" t="s">
        <v>3</v>
      </c>
      <c r="AJ240" s="53">
        <v>0</v>
      </c>
      <c r="AK240" s="53" t="s">
        <v>3</v>
      </c>
      <c r="AL240" s="53" t="s">
        <v>1252</v>
      </c>
      <c r="AM240" s="53" t="s">
        <v>1253</v>
      </c>
      <c r="AN240" s="53">
        <v>0</v>
      </c>
      <c r="AO240" s="53">
        <v>0</v>
      </c>
      <c r="AP240" s="53">
        <v>0</v>
      </c>
      <c r="AQ240" s="53">
        <v>0</v>
      </c>
      <c r="AR240" s="53" t="e">
        <v>#N/A</v>
      </c>
      <c r="AS240" s="53" t="s">
        <v>3</v>
      </c>
      <c r="AT240" s="53"/>
      <c r="AU240" s="53"/>
      <c r="AV240" s="53"/>
      <c r="AW240" s="53" t="s">
        <v>1761</v>
      </c>
    </row>
    <row r="241" spans="1:49" ht="30" customHeight="1" x14ac:dyDescent="0.3">
      <c r="A241" s="48" t="s">
        <v>1699</v>
      </c>
      <c r="B241" s="44" t="str">
        <f t="shared" si="6"/>
        <v>2</v>
      </c>
      <c r="C241" s="44" t="str">
        <f t="shared" si="8"/>
        <v>2</v>
      </c>
      <c r="D241" s="52" t="s">
        <v>2513</v>
      </c>
      <c r="E241" s="52" t="s">
        <v>1487</v>
      </c>
      <c r="F241" s="45">
        <v>45579</v>
      </c>
      <c r="G241" s="53" t="s">
        <v>1388</v>
      </c>
      <c r="H241" s="53" t="s">
        <v>1470</v>
      </c>
      <c r="I241" s="53" t="s">
        <v>1146</v>
      </c>
      <c r="J241" s="53" t="s">
        <v>1848</v>
      </c>
      <c r="K241" s="53" t="s">
        <v>1389</v>
      </c>
      <c r="L241" s="53" t="s">
        <v>3</v>
      </c>
      <c r="M241" s="53" t="s">
        <v>3</v>
      </c>
      <c r="N241" s="53" t="s">
        <v>3</v>
      </c>
      <c r="O241" s="53" t="s">
        <v>3</v>
      </c>
      <c r="P241" s="53" t="s">
        <v>3</v>
      </c>
      <c r="Q241" s="53" t="s">
        <v>3</v>
      </c>
      <c r="R241" s="53" t="s">
        <v>3</v>
      </c>
      <c r="S241" s="53" t="s">
        <v>3</v>
      </c>
      <c r="T241" s="53" t="s">
        <v>3</v>
      </c>
      <c r="U241" s="53" t="s">
        <v>3</v>
      </c>
      <c r="V241" s="53">
        <v>1</v>
      </c>
      <c r="W241" s="53" t="s">
        <v>2518</v>
      </c>
      <c r="X241" s="53" t="s">
        <v>48</v>
      </c>
      <c r="Y241" s="53" t="s">
        <v>105</v>
      </c>
      <c r="Z241" s="53" t="s">
        <v>51</v>
      </c>
      <c r="AA241" s="53" t="s">
        <v>1384</v>
      </c>
      <c r="AB241" s="53" t="s">
        <v>95</v>
      </c>
      <c r="AC241" s="53" t="s">
        <v>124</v>
      </c>
      <c r="AD241" s="53" t="s">
        <v>3</v>
      </c>
      <c r="AE241" s="53">
        <v>0</v>
      </c>
      <c r="AF241" s="53" t="s">
        <v>3</v>
      </c>
      <c r="AG241" s="53" t="s">
        <v>1252</v>
      </c>
      <c r="AH241" s="53" t="s">
        <v>1253</v>
      </c>
      <c r="AI241" s="53" t="s">
        <v>3</v>
      </c>
      <c r="AJ241" s="53">
        <v>0</v>
      </c>
      <c r="AK241" s="53" t="s">
        <v>3</v>
      </c>
      <c r="AL241" s="53" t="s">
        <v>1252</v>
      </c>
      <c r="AM241" s="53" t="s">
        <v>1253</v>
      </c>
      <c r="AN241" s="53" t="s">
        <v>3</v>
      </c>
      <c r="AO241" s="53">
        <v>0</v>
      </c>
      <c r="AP241" s="53" t="s">
        <v>3</v>
      </c>
      <c r="AQ241" s="53" t="s">
        <v>1252</v>
      </c>
      <c r="AR241" s="53" t="s">
        <v>1253</v>
      </c>
      <c r="AS241" s="53" t="s">
        <v>3</v>
      </c>
      <c r="AT241" s="53"/>
      <c r="AU241" s="53"/>
      <c r="AV241" s="53"/>
      <c r="AW241" s="53" t="s">
        <v>1761</v>
      </c>
    </row>
    <row r="242" spans="1:49" ht="30" customHeight="1" x14ac:dyDescent="0.3">
      <c r="A242" s="48" t="s">
        <v>1700</v>
      </c>
      <c r="B242" s="44" t="str">
        <f t="shared" si="6"/>
        <v>2</v>
      </c>
      <c r="C242" s="44" t="str">
        <f t="shared" si="8"/>
        <v>2</v>
      </c>
      <c r="D242" s="52" t="s">
        <v>2514</v>
      </c>
      <c r="E242" s="52" t="s">
        <v>2318</v>
      </c>
      <c r="F242" s="45">
        <v>45544</v>
      </c>
      <c r="G242" s="53" t="s">
        <v>1388</v>
      </c>
      <c r="H242" s="53" t="s">
        <v>1460</v>
      </c>
      <c r="I242" s="53" t="s">
        <v>1146</v>
      </c>
      <c r="J242" s="53" t="s">
        <v>1848</v>
      </c>
      <c r="K242" s="53" t="s">
        <v>1389</v>
      </c>
      <c r="L242" s="53" t="s">
        <v>3</v>
      </c>
      <c r="M242" s="53" t="s">
        <v>3</v>
      </c>
      <c r="N242" s="53" t="s">
        <v>3</v>
      </c>
      <c r="O242" s="53" t="s">
        <v>3</v>
      </c>
      <c r="P242" s="53" t="s">
        <v>3</v>
      </c>
      <c r="Q242" s="53" t="s">
        <v>3</v>
      </c>
      <c r="R242" s="53" t="s">
        <v>3</v>
      </c>
      <c r="S242" s="53" t="s">
        <v>3</v>
      </c>
      <c r="T242" s="53" t="s">
        <v>3</v>
      </c>
      <c r="U242" s="53" t="s">
        <v>3</v>
      </c>
      <c r="V242" s="53" t="s">
        <v>1231</v>
      </c>
      <c r="W242" s="53" t="s">
        <v>2518</v>
      </c>
      <c r="X242" s="53" t="s">
        <v>48</v>
      </c>
      <c r="Y242" s="53" t="s">
        <v>105</v>
      </c>
      <c r="Z242" s="53" t="s">
        <v>51</v>
      </c>
      <c r="AA242" s="53" t="s">
        <v>1384</v>
      </c>
      <c r="AB242" s="53" t="s">
        <v>95</v>
      </c>
      <c r="AC242" s="53" t="s">
        <v>124</v>
      </c>
      <c r="AD242" s="53" t="s">
        <v>3</v>
      </c>
      <c r="AE242" s="53">
        <v>0</v>
      </c>
      <c r="AF242" s="53" t="s">
        <v>3</v>
      </c>
      <c r="AG242" s="53" t="s">
        <v>1252</v>
      </c>
      <c r="AH242" s="53" t="s">
        <v>1253</v>
      </c>
      <c r="AI242" s="53" t="s">
        <v>3</v>
      </c>
      <c r="AJ242" s="53">
        <v>0</v>
      </c>
      <c r="AK242" s="53" t="s">
        <v>3</v>
      </c>
      <c r="AL242" s="53" t="s">
        <v>1252</v>
      </c>
      <c r="AM242" s="53" t="s">
        <v>1253</v>
      </c>
      <c r="AN242" s="53">
        <v>0</v>
      </c>
      <c r="AO242" s="53">
        <v>0</v>
      </c>
      <c r="AP242" s="53">
        <v>0</v>
      </c>
      <c r="AQ242" s="53">
        <v>0</v>
      </c>
      <c r="AR242" s="53" t="e">
        <v>#N/A</v>
      </c>
      <c r="AS242" s="53" t="s">
        <v>3</v>
      </c>
      <c r="AT242" s="53"/>
      <c r="AU242" s="53"/>
      <c r="AV242" s="53"/>
      <c r="AW242" s="53" t="s">
        <v>1761</v>
      </c>
    </row>
    <row r="243" spans="1:49" ht="30" customHeight="1" x14ac:dyDescent="0.3">
      <c r="A243" s="48" t="s">
        <v>1701</v>
      </c>
      <c r="B243" s="44" t="str">
        <f t="shared" si="6"/>
        <v>2</v>
      </c>
      <c r="C243" s="44" t="str">
        <f t="shared" si="8"/>
        <v>2</v>
      </c>
      <c r="D243" s="52">
        <v>0</v>
      </c>
      <c r="E243" s="52">
        <v>0</v>
      </c>
      <c r="F243" s="45">
        <v>0</v>
      </c>
      <c r="G243" s="53">
        <v>0</v>
      </c>
      <c r="H243" s="53">
        <v>0</v>
      </c>
      <c r="I243" s="53">
        <v>0</v>
      </c>
      <c r="J243" s="53">
        <v>0</v>
      </c>
      <c r="K243" s="53">
        <v>0</v>
      </c>
      <c r="L243" s="53">
        <v>0</v>
      </c>
      <c r="M243" s="53">
        <v>0</v>
      </c>
      <c r="N243" s="53">
        <v>0</v>
      </c>
      <c r="O243" s="53">
        <v>0</v>
      </c>
      <c r="P243" s="53">
        <v>0</v>
      </c>
      <c r="Q243" s="53">
        <v>0</v>
      </c>
      <c r="R243" s="53">
        <v>0</v>
      </c>
      <c r="S243" s="53">
        <v>0</v>
      </c>
      <c r="T243" s="53">
        <v>0</v>
      </c>
      <c r="U243" s="53">
        <v>0</v>
      </c>
      <c r="V243" s="53">
        <v>0</v>
      </c>
      <c r="W243" s="53"/>
      <c r="X243" s="53">
        <v>0</v>
      </c>
      <c r="Y243" s="53" t="s">
        <v>1391</v>
      </c>
      <c r="Z243" s="53" t="s">
        <v>1391</v>
      </c>
      <c r="AA243" s="53" t="s">
        <v>1391</v>
      </c>
      <c r="AB243" s="53">
        <v>0</v>
      </c>
      <c r="AC243" s="53" t="s">
        <v>1391</v>
      </c>
      <c r="AD243" s="53">
        <v>0</v>
      </c>
      <c r="AE243" s="53">
        <v>0</v>
      </c>
      <c r="AF243" s="53">
        <v>0</v>
      </c>
      <c r="AG243" s="53">
        <v>0</v>
      </c>
      <c r="AH243" s="53" t="e">
        <v>#N/A</v>
      </c>
      <c r="AI243" s="53" t="s">
        <v>3</v>
      </c>
      <c r="AJ243" s="53">
        <v>0</v>
      </c>
      <c r="AK243" s="53" t="s">
        <v>3</v>
      </c>
      <c r="AL243" s="53" t="s">
        <v>1252</v>
      </c>
      <c r="AM243" s="53" t="s">
        <v>1253</v>
      </c>
      <c r="AN243" s="53">
        <v>0</v>
      </c>
      <c r="AO243" s="53">
        <v>0</v>
      </c>
      <c r="AP243" s="53">
        <v>0</v>
      </c>
      <c r="AQ243" s="53">
        <v>0</v>
      </c>
      <c r="AR243" s="53" t="e">
        <v>#N/A</v>
      </c>
      <c r="AS243" s="53">
        <v>0</v>
      </c>
      <c r="AT243" s="53"/>
      <c r="AU243" s="53"/>
      <c r="AV243" s="53"/>
      <c r="AW243" s="53" t="s">
        <v>1761</v>
      </c>
    </row>
    <row r="244" spans="1:49" ht="30" customHeight="1" x14ac:dyDescent="0.3">
      <c r="A244" s="48" t="s">
        <v>1702</v>
      </c>
      <c r="B244" s="44" t="str">
        <f t="shared" si="6"/>
        <v>2</v>
      </c>
      <c r="C244" s="44" t="str">
        <f t="shared" si="8"/>
        <v>2</v>
      </c>
      <c r="D244" s="52">
        <v>0</v>
      </c>
      <c r="E244" s="52">
        <v>0</v>
      </c>
      <c r="F244" s="45">
        <v>0</v>
      </c>
      <c r="G244" s="53">
        <v>0</v>
      </c>
      <c r="H244" s="53">
        <v>0</v>
      </c>
      <c r="I244" s="53">
        <v>0</v>
      </c>
      <c r="J244" s="53">
        <v>0</v>
      </c>
      <c r="K244" s="53">
        <v>0</v>
      </c>
      <c r="L244" s="53">
        <v>0</v>
      </c>
      <c r="M244" s="53">
        <v>0</v>
      </c>
      <c r="N244" s="53">
        <v>0</v>
      </c>
      <c r="O244" s="53">
        <v>0</v>
      </c>
      <c r="P244" s="53">
        <v>0</v>
      </c>
      <c r="Q244" s="53">
        <v>0</v>
      </c>
      <c r="R244" s="53">
        <v>0</v>
      </c>
      <c r="S244" s="53">
        <v>0</v>
      </c>
      <c r="T244" s="53">
        <v>0</v>
      </c>
      <c r="U244" s="53">
        <v>0</v>
      </c>
      <c r="V244" s="53">
        <v>0</v>
      </c>
      <c r="W244" s="53"/>
      <c r="X244" s="53">
        <v>0</v>
      </c>
      <c r="Y244" s="53" t="s">
        <v>1391</v>
      </c>
      <c r="Z244" s="53" t="s">
        <v>1391</v>
      </c>
      <c r="AA244" s="53" t="s">
        <v>1391</v>
      </c>
      <c r="AB244" s="53">
        <v>0</v>
      </c>
      <c r="AC244" s="53" t="s">
        <v>1391</v>
      </c>
      <c r="AD244" s="53">
        <v>0</v>
      </c>
      <c r="AE244" s="53">
        <v>0</v>
      </c>
      <c r="AF244" s="53">
        <v>0</v>
      </c>
      <c r="AG244" s="53">
        <v>0</v>
      </c>
      <c r="AH244" s="53" t="e">
        <v>#N/A</v>
      </c>
      <c r="AI244" s="53" t="s">
        <v>3</v>
      </c>
      <c r="AJ244" s="53">
        <v>0</v>
      </c>
      <c r="AK244" s="53" t="s">
        <v>3</v>
      </c>
      <c r="AL244" s="53" t="s">
        <v>1252</v>
      </c>
      <c r="AM244" s="53" t="s">
        <v>1253</v>
      </c>
      <c r="AN244" s="53">
        <v>0</v>
      </c>
      <c r="AO244" s="53">
        <v>0</v>
      </c>
      <c r="AP244" s="53">
        <v>0</v>
      </c>
      <c r="AQ244" s="53">
        <v>0</v>
      </c>
      <c r="AR244" s="53" t="e">
        <v>#N/A</v>
      </c>
      <c r="AS244" s="53">
        <v>0</v>
      </c>
      <c r="AT244" s="53"/>
      <c r="AU244" s="53"/>
      <c r="AV244" s="53"/>
      <c r="AW244" s="53" t="s">
        <v>1761</v>
      </c>
    </row>
    <row r="245" spans="1:49" ht="30" customHeight="1" x14ac:dyDescent="0.3">
      <c r="A245" s="48" t="s">
        <v>1703</v>
      </c>
      <c r="B245" s="44" t="str">
        <f t="shared" si="6"/>
        <v>2</v>
      </c>
      <c r="C245" s="44" t="str">
        <f t="shared" si="8"/>
        <v>2</v>
      </c>
      <c r="D245" s="52">
        <v>0</v>
      </c>
      <c r="E245" s="52">
        <v>0</v>
      </c>
      <c r="F245" s="45">
        <v>0</v>
      </c>
      <c r="G245" s="53">
        <v>0</v>
      </c>
      <c r="H245" s="53">
        <v>0</v>
      </c>
      <c r="I245" s="53">
        <v>0</v>
      </c>
      <c r="J245" s="53">
        <v>0</v>
      </c>
      <c r="K245" s="53">
        <v>0</v>
      </c>
      <c r="L245" s="53">
        <v>0</v>
      </c>
      <c r="M245" s="53">
        <v>0</v>
      </c>
      <c r="N245" s="53">
        <v>0</v>
      </c>
      <c r="O245" s="53">
        <v>0</v>
      </c>
      <c r="P245" s="53">
        <v>0</v>
      </c>
      <c r="Q245" s="53">
        <v>0</v>
      </c>
      <c r="R245" s="53">
        <v>0</v>
      </c>
      <c r="S245" s="53">
        <v>0</v>
      </c>
      <c r="T245" s="53">
        <v>0</v>
      </c>
      <c r="U245" s="53">
        <v>0</v>
      </c>
      <c r="V245" s="53">
        <v>0</v>
      </c>
      <c r="W245" s="53"/>
      <c r="X245" s="53">
        <v>0</v>
      </c>
      <c r="Y245" s="53" t="s">
        <v>1391</v>
      </c>
      <c r="Z245" s="53" t="s">
        <v>1391</v>
      </c>
      <c r="AA245" s="53" t="s">
        <v>1391</v>
      </c>
      <c r="AB245" s="53">
        <v>0</v>
      </c>
      <c r="AC245" s="53" t="s">
        <v>1391</v>
      </c>
      <c r="AD245" s="53">
        <v>0</v>
      </c>
      <c r="AE245" s="53">
        <v>0</v>
      </c>
      <c r="AF245" s="53">
        <v>0</v>
      </c>
      <c r="AG245" s="53">
        <v>0</v>
      </c>
      <c r="AH245" s="53" t="e">
        <v>#N/A</v>
      </c>
      <c r="AI245" s="53" t="s">
        <v>3</v>
      </c>
      <c r="AJ245" s="53">
        <v>0</v>
      </c>
      <c r="AK245" s="53" t="s">
        <v>3</v>
      </c>
      <c r="AL245" s="53" t="s">
        <v>1252</v>
      </c>
      <c r="AM245" s="53" t="s">
        <v>1253</v>
      </c>
      <c r="AN245" s="53">
        <v>0</v>
      </c>
      <c r="AO245" s="53">
        <v>0</v>
      </c>
      <c r="AP245" s="53">
        <v>0</v>
      </c>
      <c r="AQ245" s="53">
        <v>0</v>
      </c>
      <c r="AR245" s="53" t="e">
        <v>#N/A</v>
      </c>
      <c r="AS245" s="53">
        <v>0</v>
      </c>
      <c r="AT245" s="53"/>
      <c r="AU245" s="53"/>
      <c r="AV245" s="53"/>
      <c r="AW245" s="53" t="s">
        <v>1761</v>
      </c>
    </row>
    <row r="246" spans="1:49" ht="30" customHeight="1" x14ac:dyDescent="0.3">
      <c r="A246" s="48" t="s">
        <v>1704</v>
      </c>
      <c r="B246" s="44" t="str">
        <f t="shared" si="6"/>
        <v>2</v>
      </c>
      <c r="C246" s="44" t="str">
        <f t="shared" si="8"/>
        <v>2</v>
      </c>
      <c r="D246" s="52">
        <v>0</v>
      </c>
      <c r="E246" s="52">
        <v>0</v>
      </c>
      <c r="F246" s="45">
        <v>0</v>
      </c>
      <c r="G246" s="53">
        <v>0</v>
      </c>
      <c r="H246" s="53">
        <v>0</v>
      </c>
      <c r="I246" s="53">
        <v>0</v>
      </c>
      <c r="J246" s="53">
        <v>0</v>
      </c>
      <c r="K246" s="53">
        <v>0</v>
      </c>
      <c r="L246" s="53">
        <v>0</v>
      </c>
      <c r="M246" s="53">
        <v>0</v>
      </c>
      <c r="N246" s="53">
        <v>0</v>
      </c>
      <c r="O246" s="53">
        <v>0</v>
      </c>
      <c r="P246" s="53">
        <v>0</v>
      </c>
      <c r="Q246" s="53">
        <v>0</v>
      </c>
      <c r="R246" s="53">
        <v>0</v>
      </c>
      <c r="S246" s="53">
        <v>0</v>
      </c>
      <c r="T246" s="53">
        <v>0</v>
      </c>
      <c r="U246" s="53">
        <v>0</v>
      </c>
      <c r="V246" s="53">
        <v>0</v>
      </c>
      <c r="W246" s="53"/>
      <c r="X246" s="53">
        <v>0</v>
      </c>
      <c r="Y246" s="53" t="s">
        <v>1391</v>
      </c>
      <c r="Z246" s="53" t="s">
        <v>1391</v>
      </c>
      <c r="AA246" s="53" t="s">
        <v>1391</v>
      </c>
      <c r="AB246" s="53">
        <v>0</v>
      </c>
      <c r="AC246" s="53" t="s">
        <v>1391</v>
      </c>
      <c r="AD246" s="53">
        <v>0</v>
      </c>
      <c r="AE246" s="53">
        <v>0</v>
      </c>
      <c r="AF246" s="53">
        <v>0</v>
      </c>
      <c r="AG246" s="53">
        <v>0</v>
      </c>
      <c r="AH246" s="53" t="e">
        <v>#N/A</v>
      </c>
      <c r="AI246" s="53" t="s">
        <v>3</v>
      </c>
      <c r="AJ246" s="53">
        <v>0</v>
      </c>
      <c r="AK246" s="53" t="s">
        <v>3</v>
      </c>
      <c r="AL246" s="53" t="s">
        <v>1252</v>
      </c>
      <c r="AM246" s="53" t="s">
        <v>1253</v>
      </c>
      <c r="AN246" s="53">
        <v>0</v>
      </c>
      <c r="AO246" s="53">
        <v>0</v>
      </c>
      <c r="AP246" s="53">
        <v>0</v>
      </c>
      <c r="AQ246" s="53">
        <v>0</v>
      </c>
      <c r="AR246" s="53" t="e">
        <v>#N/A</v>
      </c>
      <c r="AS246" s="53">
        <v>0</v>
      </c>
      <c r="AT246" s="53"/>
      <c r="AU246" s="53"/>
      <c r="AV246" s="53"/>
      <c r="AW246" s="53" t="s">
        <v>1761</v>
      </c>
    </row>
    <row r="247" spans="1:49" ht="30" customHeight="1" x14ac:dyDescent="0.3">
      <c r="A247" s="48" t="s">
        <v>1705</v>
      </c>
      <c r="B247" s="44" t="str">
        <f t="shared" si="6"/>
        <v>2</v>
      </c>
      <c r="C247" s="44" t="str">
        <f t="shared" si="8"/>
        <v>2</v>
      </c>
      <c r="D247" s="52">
        <v>0</v>
      </c>
      <c r="E247" s="52">
        <v>0</v>
      </c>
      <c r="F247" s="45">
        <v>0</v>
      </c>
      <c r="G247" s="53">
        <v>0</v>
      </c>
      <c r="H247" s="53">
        <v>0</v>
      </c>
      <c r="I247" s="53">
        <v>0</v>
      </c>
      <c r="J247" s="53">
        <v>0</v>
      </c>
      <c r="K247" s="53">
        <v>0</v>
      </c>
      <c r="L247" s="53">
        <v>0</v>
      </c>
      <c r="M247" s="53">
        <v>0</v>
      </c>
      <c r="N247" s="53">
        <v>0</v>
      </c>
      <c r="O247" s="53">
        <v>0</v>
      </c>
      <c r="P247" s="53">
        <v>0</v>
      </c>
      <c r="Q247" s="53">
        <v>0</v>
      </c>
      <c r="R247" s="53">
        <v>0</v>
      </c>
      <c r="S247" s="53">
        <v>0</v>
      </c>
      <c r="T247" s="53">
        <v>0</v>
      </c>
      <c r="U247" s="53">
        <v>0</v>
      </c>
      <c r="V247" s="53">
        <v>0</v>
      </c>
      <c r="W247" s="53"/>
      <c r="X247" s="53">
        <v>0</v>
      </c>
      <c r="Y247" s="53" t="s">
        <v>1391</v>
      </c>
      <c r="Z247" s="53" t="s">
        <v>1391</v>
      </c>
      <c r="AA247" s="53" t="s">
        <v>1391</v>
      </c>
      <c r="AB247" s="53">
        <v>0</v>
      </c>
      <c r="AC247" s="53" t="s">
        <v>1391</v>
      </c>
      <c r="AD247" s="53">
        <v>0</v>
      </c>
      <c r="AE247" s="53">
        <v>0</v>
      </c>
      <c r="AF247" s="53">
        <v>0</v>
      </c>
      <c r="AG247" s="53">
        <v>0</v>
      </c>
      <c r="AH247" s="53" t="e">
        <v>#N/A</v>
      </c>
      <c r="AI247" s="53" t="s">
        <v>3</v>
      </c>
      <c r="AJ247" s="53">
        <v>0</v>
      </c>
      <c r="AK247" s="53" t="s">
        <v>3</v>
      </c>
      <c r="AL247" s="53" t="s">
        <v>1252</v>
      </c>
      <c r="AM247" s="53" t="s">
        <v>1253</v>
      </c>
      <c r="AN247" s="53">
        <v>0</v>
      </c>
      <c r="AO247" s="53">
        <v>0</v>
      </c>
      <c r="AP247" s="53">
        <v>0</v>
      </c>
      <c r="AQ247" s="53">
        <v>0</v>
      </c>
      <c r="AR247" s="53" t="e">
        <v>#N/A</v>
      </c>
      <c r="AS247" s="53">
        <v>0</v>
      </c>
      <c r="AT247" s="53"/>
      <c r="AU247" s="53"/>
      <c r="AV247" s="53"/>
      <c r="AW247" s="53" t="s">
        <v>1761</v>
      </c>
    </row>
    <row r="248" spans="1:49" ht="30" customHeight="1" x14ac:dyDescent="0.3">
      <c r="A248" s="48" t="s">
        <v>1706</v>
      </c>
      <c r="B248" s="44" t="str">
        <f t="shared" ref="B248:B300" si="9">HYPERLINK(CONCATENATE("..\SDB\SDB_",A248,".pdf"),"2")</f>
        <v>2</v>
      </c>
      <c r="C248" s="44" t="str">
        <f t="shared" ref="C248:C300" si="10">HYPERLINK("#"&amp;CONCATENATE(A248,"!B1"),"2")</f>
        <v>2</v>
      </c>
      <c r="D248" s="52">
        <v>0</v>
      </c>
      <c r="E248" s="52">
        <v>0</v>
      </c>
      <c r="F248" s="45">
        <v>0</v>
      </c>
      <c r="G248" s="53">
        <v>0</v>
      </c>
      <c r="H248" s="53">
        <v>0</v>
      </c>
      <c r="I248" s="53">
        <v>0</v>
      </c>
      <c r="J248" s="53">
        <v>0</v>
      </c>
      <c r="K248" s="53">
        <v>0</v>
      </c>
      <c r="L248" s="53">
        <v>0</v>
      </c>
      <c r="M248" s="53">
        <v>0</v>
      </c>
      <c r="N248" s="53">
        <v>0</v>
      </c>
      <c r="O248" s="53">
        <v>0</v>
      </c>
      <c r="P248" s="53">
        <v>0</v>
      </c>
      <c r="Q248" s="53">
        <v>0</v>
      </c>
      <c r="R248" s="53">
        <v>0</v>
      </c>
      <c r="S248" s="53">
        <v>0</v>
      </c>
      <c r="T248" s="53">
        <v>0</v>
      </c>
      <c r="U248" s="53">
        <v>0</v>
      </c>
      <c r="V248" s="53">
        <v>0</v>
      </c>
      <c r="W248" s="53"/>
      <c r="X248" s="53">
        <v>0</v>
      </c>
      <c r="Y248" s="53" t="s">
        <v>1391</v>
      </c>
      <c r="Z248" s="53" t="s">
        <v>1391</v>
      </c>
      <c r="AA248" s="53" t="s">
        <v>1391</v>
      </c>
      <c r="AB248" s="53">
        <v>0</v>
      </c>
      <c r="AC248" s="53" t="s">
        <v>1391</v>
      </c>
      <c r="AD248" s="53">
        <v>0</v>
      </c>
      <c r="AE248" s="53">
        <v>0</v>
      </c>
      <c r="AF248" s="53">
        <v>0</v>
      </c>
      <c r="AG248" s="53">
        <v>0</v>
      </c>
      <c r="AH248" s="53" t="e">
        <v>#N/A</v>
      </c>
      <c r="AI248" s="53" t="s">
        <v>3</v>
      </c>
      <c r="AJ248" s="53">
        <v>0</v>
      </c>
      <c r="AK248" s="53" t="s">
        <v>3</v>
      </c>
      <c r="AL248" s="53" t="s">
        <v>1252</v>
      </c>
      <c r="AM248" s="53" t="s">
        <v>1253</v>
      </c>
      <c r="AN248" s="53">
        <v>0</v>
      </c>
      <c r="AO248" s="53">
        <v>0</v>
      </c>
      <c r="AP248" s="53">
        <v>0</v>
      </c>
      <c r="AQ248" s="53">
        <v>0</v>
      </c>
      <c r="AR248" s="53" t="e">
        <v>#N/A</v>
      </c>
      <c r="AS248" s="53">
        <v>0</v>
      </c>
      <c r="AT248" s="53"/>
      <c r="AU248" s="53"/>
      <c r="AV248" s="53"/>
      <c r="AW248" s="53" t="s">
        <v>1761</v>
      </c>
    </row>
    <row r="249" spans="1:49" ht="30" customHeight="1" x14ac:dyDescent="0.3">
      <c r="A249" s="48" t="s">
        <v>1707</v>
      </c>
      <c r="B249" s="44" t="str">
        <f t="shared" si="9"/>
        <v>2</v>
      </c>
      <c r="C249" s="44" t="str">
        <f t="shared" si="10"/>
        <v>2</v>
      </c>
      <c r="D249" s="52">
        <v>0</v>
      </c>
      <c r="E249" s="52">
        <v>0</v>
      </c>
      <c r="F249" s="45">
        <v>0</v>
      </c>
      <c r="G249" s="53">
        <v>0</v>
      </c>
      <c r="H249" s="53">
        <v>0</v>
      </c>
      <c r="I249" s="53">
        <v>0</v>
      </c>
      <c r="J249" s="53">
        <v>0</v>
      </c>
      <c r="K249" s="53">
        <v>0</v>
      </c>
      <c r="L249" s="53">
        <v>0</v>
      </c>
      <c r="M249" s="53">
        <v>0</v>
      </c>
      <c r="N249" s="53">
        <v>0</v>
      </c>
      <c r="O249" s="53">
        <v>0</v>
      </c>
      <c r="P249" s="53">
        <v>0</v>
      </c>
      <c r="Q249" s="53">
        <v>0</v>
      </c>
      <c r="R249" s="53">
        <v>0</v>
      </c>
      <c r="S249" s="53">
        <v>0</v>
      </c>
      <c r="T249" s="53">
        <v>0</v>
      </c>
      <c r="U249" s="53">
        <v>0</v>
      </c>
      <c r="V249" s="53">
        <v>0</v>
      </c>
      <c r="W249" s="53"/>
      <c r="X249" s="53">
        <v>0</v>
      </c>
      <c r="Y249" s="53" t="s">
        <v>1391</v>
      </c>
      <c r="Z249" s="53" t="s">
        <v>1391</v>
      </c>
      <c r="AA249" s="53" t="s">
        <v>1391</v>
      </c>
      <c r="AB249" s="53">
        <v>0</v>
      </c>
      <c r="AC249" s="53" t="s">
        <v>1391</v>
      </c>
      <c r="AD249" s="53">
        <v>0</v>
      </c>
      <c r="AE249" s="53">
        <v>0</v>
      </c>
      <c r="AF249" s="53">
        <v>0</v>
      </c>
      <c r="AG249" s="53">
        <v>0</v>
      </c>
      <c r="AH249" s="53" t="e">
        <v>#N/A</v>
      </c>
      <c r="AI249" s="53" t="s">
        <v>3</v>
      </c>
      <c r="AJ249" s="53">
        <v>0</v>
      </c>
      <c r="AK249" s="53" t="s">
        <v>3</v>
      </c>
      <c r="AL249" s="53" t="s">
        <v>1252</v>
      </c>
      <c r="AM249" s="53" t="s">
        <v>1253</v>
      </c>
      <c r="AN249" s="53">
        <v>0</v>
      </c>
      <c r="AO249" s="53">
        <v>0</v>
      </c>
      <c r="AP249" s="53">
        <v>0</v>
      </c>
      <c r="AQ249" s="53">
        <v>0</v>
      </c>
      <c r="AR249" s="53" t="e">
        <v>#N/A</v>
      </c>
      <c r="AS249" s="53">
        <v>0</v>
      </c>
      <c r="AT249" s="53"/>
      <c r="AU249" s="53"/>
      <c r="AV249" s="53"/>
      <c r="AW249" s="53" t="s">
        <v>1761</v>
      </c>
    </row>
    <row r="250" spans="1:49" ht="30" customHeight="1" x14ac:dyDescent="0.3">
      <c r="A250" s="48" t="s">
        <v>1708</v>
      </c>
      <c r="B250" s="44" t="str">
        <f t="shared" si="9"/>
        <v>2</v>
      </c>
      <c r="C250" s="44" t="str">
        <f t="shared" si="10"/>
        <v>2</v>
      </c>
      <c r="D250" s="52"/>
      <c r="E250" s="52"/>
      <c r="F250" s="45"/>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row>
    <row r="251" spans="1:49" ht="30" customHeight="1" x14ac:dyDescent="0.3">
      <c r="A251" s="48" t="s">
        <v>1709</v>
      </c>
      <c r="B251" s="44" t="str">
        <f t="shared" si="9"/>
        <v>2</v>
      </c>
      <c r="C251" s="44" t="str">
        <f t="shared" si="10"/>
        <v>2</v>
      </c>
      <c r="D251" s="52"/>
      <c r="E251" s="52"/>
      <c r="F251" s="45"/>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row>
    <row r="252" spans="1:49" ht="30" customHeight="1" x14ac:dyDescent="0.3">
      <c r="A252" s="48" t="s">
        <v>1710</v>
      </c>
      <c r="B252" s="44" t="str">
        <f t="shared" si="9"/>
        <v>2</v>
      </c>
      <c r="C252" s="44" t="str">
        <f t="shared" si="10"/>
        <v>2</v>
      </c>
      <c r="D252" s="52"/>
      <c r="E252" s="52"/>
      <c r="F252" s="45"/>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row>
    <row r="253" spans="1:49" ht="30" customHeight="1" x14ac:dyDescent="0.3">
      <c r="A253" s="48" t="s">
        <v>1540</v>
      </c>
      <c r="B253" s="44" t="str">
        <f t="shared" si="9"/>
        <v>2</v>
      </c>
      <c r="C253" s="44" t="str">
        <f t="shared" si="10"/>
        <v>2</v>
      </c>
      <c r="D253" s="52"/>
      <c r="E253" s="52"/>
      <c r="F253" s="45"/>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row>
    <row r="254" spans="1:49" ht="30" customHeight="1" x14ac:dyDescent="0.3">
      <c r="A254" s="48" t="s">
        <v>1711</v>
      </c>
      <c r="B254" s="44" t="str">
        <f t="shared" si="9"/>
        <v>2</v>
      </c>
      <c r="C254" s="44" t="str">
        <f t="shared" si="10"/>
        <v>2</v>
      </c>
      <c r="D254" s="52"/>
      <c r="E254" s="52"/>
      <c r="F254" s="45"/>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row>
    <row r="255" spans="1:49" ht="30" customHeight="1" x14ac:dyDescent="0.3">
      <c r="A255" s="48" t="s">
        <v>1712</v>
      </c>
      <c r="B255" s="44" t="str">
        <f t="shared" si="9"/>
        <v>2</v>
      </c>
      <c r="C255" s="44" t="str">
        <f t="shared" si="10"/>
        <v>2</v>
      </c>
      <c r="D255" s="52"/>
      <c r="E255" s="52"/>
      <c r="F255" s="45"/>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row>
    <row r="256" spans="1:49" ht="30" customHeight="1" x14ac:dyDescent="0.3">
      <c r="A256" s="48" t="s">
        <v>1713</v>
      </c>
      <c r="B256" s="44" t="str">
        <f t="shared" si="9"/>
        <v>2</v>
      </c>
      <c r="C256" s="44" t="str">
        <f t="shared" si="10"/>
        <v>2</v>
      </c>
      <c r="D256" s="52"/>
      <c r="E256" s="52"/>
      <c r="F256" s="45"/>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row>
    <row r="257" spans="1:49" ht="30" customHeight="1" x14ac:dyDescent="0.3">
      <c r="A257" s="48" t="s">
        <v>1714</v>
      </c>
      <c r="B257" s="44" t="str">
        <f t="shared" si="9"/>
        <v>2</v>
      </c>
      <c r="C257" s="44" t="str">
        <f t="shared" si="10"/>
        <v>2</v>
      </c>
      <c r="D257" s="52"/>
      <c r="E257" s="52"/>
      <c r="F257" s="45"/>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row>
    <row r="258" spans="1:49" ht="30" customHeight="1" x14ac:dyDescent="0.3">
      <c r="A258" s="48" t="s">
        <v>1715</v>
      </c>
      <c r="B258" s="44" t="str">
        <f t="shared" si="9"/>
        <v>2</v>
      </c>
      <c r="C258" s="44" t="str">
        <f t="shared" si="10"/>
        <v>2</v>
      </c>
      <c r="D258" s="52"/>
      <c r="E258" s="52"/>
      <c r="F258" s="45"/>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row>
    <row r="259" spans="1:49" ht="30" customHeight="1" x14ac:dyDescent="0.3">
      <c r="A259" s="48" t="s">
        <v>1716</v>
      </c>
      <c r="B259" s="44" t="str">
        <f t="shared" si="9"/>
        <v>2</v>
      </c>
      <c r="C259" s="44" t="str">
        <f t="shared" si="10"/>
        <v>2</v>
      </c>
      <c r="D259" s="52"/>
      <c r="E259" s="52"/>
      <c r="F259" s="45"/>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row>
    <row r="260" spans="1:49" ht="30" customHeight="1" x14ac:dyDescent="0.3">
      <c r="A260" s="48" t="s">
        <v>1717</v>
      </c>
      <c r="B260" s="44" t="str">
        <f t="shared" si="9"/>
        <v>2</v>
      </c>
      <c r="C260" s="44" t="str">
        <f t="shared" si="10"/>
        <v>2</v>
      </c>
      <c r="D260" s="52"/>
      <c r="E260" s="52"/>
      <c r="F260" s="45"/>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row>
    <row r="261" spans="1:49" ht="30" customHeight="1" x14ac:dyDescent="0.3">
      <c r="A261" s="48" t="s">
        <v>1718</v>
      </c>
      <c r="B261" s="44" t="str">
        <f t="shared" si="9"/>
        <v>2</v>
      </c>
      <c r="C261" s="44" t="str">
        <f t="shared" si="10"/>
        <v>2</v>
      </c>
      <c r="D261" s="52"/>
      <c r="E261" s="52"/>
      <c r="F261" s="45"/>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row>
    <row r="262" spans="1:49" ht="30" customHeight="1" x14ac:dyDescent="0.3">
      <c r="A262" s="48" t="s">
        <v>1719</v>
      </c>
      <c r="B262" s="44" t="str">
        <f t="shared" si="9"/>
        <v>2</v>
      </c>
      <c r="C262" s="44" t="str">
        <f t="shared" si="10"/>
        <v>2</v>
      </c>
      <c r="D262" s="52"/>
      <c r="E262" s="52"/>
      <c r="F262" s="45"/>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row>
    <row r="263" spans="1:49" ht="30" customHeight="1" x14ac:dyDescent="0.3">
      <c r="A263" s="48" t="s">
        <v>1720</v>
      </c>
      <c r="B263" s="44" t="str">
        <f t="shared" si="9"/>
        <v>2</v>
      </c>
      <c r="C263" s="44" t="str">
        <f t="shared" si="10"/>
        <v>2</v>
      </c>
      <c r="D263" s="52"/>
      <c r="E263" s="52"/>
      <c r="F263" s="45"/>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row>
    <row r="264" spans="1:49" ht="30" customHeight="1" x14ac:dyDescent="0.3">
      <c r="A264" s="48" t="s">
        <v>1721</v>
      </c>
      <c r="B264" s="44" t="str">
        <f t="shared" si="9"/>
        <v>2</v>
      </c>
      <c r="C264" s="44" t="str">
        <f t="shared" si="10"/>
        <v>2</v>
      </c>
      <c r="D264" s="52"/>
      <c r="E264" s="52"/>
      <c r="F264" s="45"/>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row>
    <row r="265" spans="1:49" ht="30" customHeight="1" x14ac:dyDescent="0.3">
      <c r="A265" s="48" t="s">
        <v>1722</v>
      </c>
      <c r="B265" s="44" t="str">
        <f t="shared" si="9"/>
        <v>2</v>
      </c>
      <c r="C265" s="44" t="str">
        <f t="shared" si="10"/>
        <v>2</v>
      </c>
      <c r="D265" s="52"/>
      <c r="E265" s="52"/>
      <c r="F265" s="45"/>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row>
    <row r="266" spans="1:49" ht="30" customHeight="1" x14ac:dyDescent="0.3">
      <c r="A266" s="48" t="s">
        <v>1723</v>
      </c>
      <c r="B266" s="44" t="str">
        <f t="shared" si="9"/>
        <v>2</v>
      </c>
      <c r="C266" s="44" t="str">
        <f t="shared" si="10"/>
        <v>2</v>
      </c>
      <c r="D266" s="52"/>
      <c r="E266" s="52"/>
      <c r="F266" s="45"/>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row>
    <row r="267" spans="1:49" ht="30" customHeight="1" x14ac:dyDescent="0.3">
      <c r="A267" s="48" t="s">
        <v>1724</v>
      </c>
      <c r="B267" s="44" t="str">
        <f t="shared" si="9"/>
        <v>2</v>
      </c>
      <c r="C267" s="44" t="str">
        <f t="shared" si="10"/>
        <v>2</v>
      </c>
      <c r="D267" s="52"/>
      <c r="E267" s="52"/>
      <c r="F267" s="45"/>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row>
    <row r="268" spans="1:49" ht="30" customHeight="1" x14ac:dyDescent="0.3">
      <c r="A268" s="48" t="s">
        <v>1725</v>
      </c>
      <c r="B268" s="44" t="str">
        <f t="shared" si="9"/>
        <v>2</v>
      </c>
      <c r="C268" s="44" t="str">
        <f t="shared" si="10"/>
        <v>2</v>
      </c>
      <c r="D268" s="52"/>
      <c r="E268" s="52"/>
      <c r="F268" s="45"/>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row>
    <row r="269" spans="1:49" ht="30" customHeight="1" x14ac:dyDescent="0.3">
      <c r="A269" s="48" t="s">
        <v>1726</v>
      </c>
      <c r="B269" s="44" t="str">
        <f t="shared" si="9"/>
        <v>2</v>
      </c>
      <c r="C269" s="44" t="str">
        <f t="shared" si="10"/>
        <v>2</v>
      </c>
      <c r="D269" s="52"/>
      <c r="E269" s="52"/>
      <c r="F269" s="45"/>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1:49" ht="30" customHeight="1" x14ac:dyDescent="0.3">
      <c r="A270" s="48" t="s">
        <v>1727</v>
      </c>
      <c r="B270" s="44" t="str">
        <f t="shared" si="9"/>
        <v>2</v>
      </c>
      <c r="C270" s="44" t="str">
        <f t="shared" si="10"/>
        <v>2</v>
      </c>
      <c r="D270" s="52"/>
      <c r="E270" s="52"/>
      <c r="F270" s="45"/>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1:49" ht="30" customHeight="1" x14ac:dyDescent="0.3">
      <c r="A271" s="48" t="s">
        <v>1728</v>
      </c>
      <c r="B271" s="44" t="str">
        <f t="shared" si="9"/>
        <v>2</v>
      </c>
      <c r="C271" s="44" t="str">
        <f t="shared" si="10"/>
        <v>2</v>
      </c>
      <c r="D271" s="52"/>
      <c r="E271" s="52"/>
      <c r="F271" s="45"/>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row>
    <row r="272" spans="1:49" ht="30" customHeight="1" x14ac:dyDescent="0.3">
      <c r="A272" s="48" t="s">
        <v>1729</v>
      </c>
      <c r="B272" s="44" t="str">
        <f t="shared" si="9"/>
        <v>2</v>
      </c>
      <c r="C272" s="44" t="str">
        <f t="shared" si="10"/>
        <v>2</v>
      </c>
      <c r="D272" s="52"/>
      <c r="E272" s="52"/>
      <c r="F272" s="45"/>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row>
    <row r="273" spans="1:49" ht="30" customHeight="1" x14ac:dyDescent="0.3">
      <c r="A273" s="48" t="s">
        <v>1730</v>
      </c>
      <c r="B273" s="44" t="str">
        <f t="shared" si="9"/>
        <v>2</v>
      </c>
      <c r="C273" s="44" t="str">
        <f t="shared" si="10"/>
        <v>2</v>
      </c>
      <c r="D273" s="52"/>
      <c r="E273" s="52"/>
      <c r="F273" s="45"/>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row>
    <row r="274" spans="1:49" ht="30" customHeight="1" x14ac:dyDescent="0.3">
      <c r="A274" s="48" t="s">
        <v>1731</v>
      </c>
      <c r="B274" s="44" t="str">
        <f t="shared" si="9"/>
        <v>2</v>
      </c>
      <c r="C274" s="44" t="str">
        <f t="shared" si="10"/>
        <v>2</v>
      </c>
      <c r="D274" s="52"/>
      <c r="E274" s="52"/>
      <c r="F274" s="45"/>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row>
    <row r="275" spans="1:49" ht="30" customHeight="1" x14ac:dyDescent="0.3">
      <c r="A275" s="48" t="s">
        <v>1732</v>
      </c>
      <c r="B275" s="44" t="str">
        <f t="shared" si="9"/>
        <v>2</v>
      </c>
      <c r="C275" s="44" t="str">
        <f t="shared" si="10"/>
        <v>2</v>
      </c>
      <c r="D275" s="52"/>
      <c r="E275" s="52"/>
      <c r="F275" s="45"/>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row>
    <row r="276" spans="1:49" ht="30" customHeight="1" x14ac:dyDescent="0.3">
      <c r="A276" s="48" t="s">
        <v>1733</v>
      </c>
      <c r="B276" s="44" t="str">
        <f t="shared" si="9"/>
        <v>2</v>
      </c>
      <c r="C276" s="44" t="str">
        <f t="shared" si="10"/>
        <v>2</v>
      </c>
      <c r="D276" s="52"/>
      <c r="E276" s="52"/>
      <c r="F276" s="45"/>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row>
    <row r="277" spans="1:49" ht="30" customHeight="1" x14ac:dyDescent="0.3">
      <c r="A277" s="48" t="s">
        <v>1734</v>
      </c>
      <c r="B277" s="44" t="str">
        <f t="shared" si="9"/>
        <v>2</v>
      </c>
      <c r="C277" s="44" t="str">
        <f t="shared" si="10"/>
        <v>2</v>
      </c>
      <c r="D277" s="52"/>
      <c r="E277" s="52"/>
      <c r="F277" s="45"/>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row>
    <row r="278" spans="1:49" ht="30" customHeight="1" x14ac:dyDescent="0.3">
      <c r="A278" s="48" t="s">
        <v>1735</v>
      </c>
      <c r="B278" s="44" t="str">
        <f t="shared" si="9"/>
        <v>2</v>
      </c>
      <c r="C278" s="44" t="str">
        <f t="shared" si="10"/>
        <v>2</v>
      </c>
      <c r="D278" s="52"/>
      <c r="E278" s="52"/>
      <c r="F278" s="45"/>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row>
    <row r="279" spans="1:49" ht="30" customHeight="1" x14ac:dyDescent="0.3">
      <c r="A279" s="48" t="s">
        <v>1736</v>
      </c>
      <c r="B279" s="44" t="str">
        <f t="shared" si="9"/>
        <v>2</v>
      </c>
      <c r="C279" s="44" t="str">
        <f t="shared" si="10"/>
        <v>2</v>
      </c>
      <c r="D279" s="52"/>
      <c r="E279" s="52"/>
      <c r="F279" s="45"/>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row>
    <row r="280" spans="1:49" ht="30" customHeight="1" x14ac:dyDescent="0.3">
      <c r="A280" s="48" t="s">
        <v>1737</v>
      </c>
      <c r="B280" s="44" t="str">
        <f t="shared" si="9"/>
        <v>2</v>
      </c>
      <c r="C280" s="44" t="str">
        <f t="shared" si="10"/>
        <v>2</v>
      </c>
      <c r="D280" s="52"/>
      <c r="E280" s="52"/>
      <c r="F280" s="45"/>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row>
    <row r="281" spans="1:49" ht="30" customHeight="1" x14ac:dyDescent="0.3">
      <c r="A281" s="48" t="s">
        <v>1738</v>
      </c>
      <c r="B281" s="44" t="str">
        <f t="shared" si="9"/>
        <v>2</v>
      </c>
      <c r="C281" s="44" t="str">
        <f t="shared" si="10"/>
        <v>2</v>
      </c>
      <c r="D281" s="52"/>
      <c r="E281" s="52"/>
      <c r="F281" s="45"/>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row>
    <row r="282" spans="1:49" ht="30" customHeight="1" x14ac:dyDescent="0.3">
      <c r="A282" s="48" t="s">
        <v>1739</v>
      </c>
      <c r="B282" s="44" t="str">
        <f t="shared" si="9"/>
        <v>2</v>
      </c>
      <c r="C282" s="44" t="str">
        <f t="shared" si="10"/>
        <v>2</v>
      </c>
      <c r="D282" s="52"/>
      <c r="E282" s="52"/>
      <c r="F282" s="45"/>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row>
    <row r="283" spans="1:49" ht="30" customHeight="1" x14ac:dyDescent="0.3">
      <c r="A283" s="48" t="s">
        <v>1740</v>
      </c>
      <c r="B283" s="44" t="str">
        <f t="shared" si="9"/>
        <v>2</v>
      </c>
      <c r="C283" s="44" t="str">
        <f t="shared" si="10"/>
        <v>2</v>
      </c>
      <c r="D283" s="52"/>
      <c r="E283" s="52"/>
      <c r="F283" s="45"/>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row>
    <row r="284" spans="1:49" ht="30" customHeight="1" x14ac:dyDescent="0.3">
      <c r="A284" s="48" t="s">
        <v>1741</v>
      </c>
      <c r="B284" s="44" t="str">
        <f t="shared" si="9"/>
        <v>2</v>
      </c>
      <c r="C284" s="44" t="str">
        <f t="shared" si="10"/>
        <v>2</v>
      </c>
      <c r="D284" s="52"/>
      <c r="E284" s="52"/>
      <c r="F284" s="45"/>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row>
    <row r="285" spans="1:49" ht="30" customHeight="1" x14ac:dyDescent="0.3">
      <c r="A285" s="48" t="s">
        <v>1742</v>
      </c>
      <c r="B285" s="44" t="str">
        <f t="shared" si="9"/>
        <v>2</v>
      </c>
      <c r="C285" s="44" t="str">
        <f t="shared" si="10"/>
        <v>2</v>
      </c>
      <c r="D285" s="52"/>
      <c r="E285" s="52"/>
      <c r="F285" s="45"/>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row>
    <row r="286" spans="1:49" ht="30" customHeight="1" x14ac:dyDescent="0.3">
      <c r="A286" s="48" t="s">
        <v>1743</v>
      </c>
      <c r="B286" s="44" t="str">
        <f t="shared" si="9"/>
        <v>2</v>
      </c>
      <c r="C286" s="44" t="str">
        <f t="shared" si="10"/>
        <v>2</v>
      </c>
      <c r="D286" s="52"/>
      <c r="E286" s="52"/>
      <c r="F286" s="45"/>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row>
    <row r="287" spans="1:49" ht="30" customHeight="1" x14ac:dyDescent="0.3">
      <c r="A287" s="48" t="s">
        <v>1744</v>
      </c>
      <c r="B287" s="44" t="str">
        <f t="shared" si="9"/>
        <v>2</v>
      </c>
      <c r="C287" s="44" t="str">
        <f t="shared" si="10"/>
        <v>2</v>
      </c>
      <c r="D287" s="52"/>
      <c r="E287" s="52"/>
      <c r="F287" s="45"/>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row>
    <row r="288" spans="1:49" ht="30" customHeight="1" x14ac:dyDescent="0.3">
      <c r="A288" s="48" t="s">
        <v>1745</v>
      </c>
      <c r="B288" s="44" t="str">
        <f t="shared" si="9"/>
        <v>2</v>
      </c>
      <c r="C288" s="44" t="str">
        <f t="shared" si="10"/>
        <v>2</v>
      </c>
      <c r="D288" s="52"/>
      <c r="E288" s="52"/>
      <c r="F288" s="45"/>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row>
    <row r="289" spans="1:49" ht="30" customHeight="1" x14ac:dyDescent="0.3">
      <c r="A289" s="48" t="s">
        <v>1746</v>
      </c>
      <c r="B289" s="44" t="str">
        <f t="shared" si="9"/>
        <v>2</v>
      </c>
      <c r="C289" s="44" t="str">
        <f t="shared" si="10"/>
        <v>2</v>
      </c>
      <c r="D289" s="52"/>
      <c r="E289" s="52"/>
      <c r="F289" s="45"/>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row>
    <row r="290" spans="1:49" ht="30" customHeight="1" x14ac:dyDescent="0.3">
      <c r="A290" s="48" t="s">
        <v>1747</v>
      </c>
      <c r="B290" s="44" t="str">
        <f t="shared" si="9"/>
        <v>2</v>
      </c>
      <c r="C290" s="44" t="str">
        <f t="shared" si="10"/>
        <v>2</v>
      </c>
      <c r="D290" s="52"/>
      <c r="E290" s="52"/>
      <c r="F290" s="45"/>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row>
    <row r="291" spans="1:49" ht="30" customHeight="1" x14ac:dyDescent="0.3">
      <c r="A291" s="48" t="s">
        <v>1748</v>
      </c>
      <c r="B291" s="44" t="str">
        <f t="shared" si="9"/>
        <v>2</v>
      </c>
      <c r="C291" s="44" t="str">
        <f t="shared" si="10"/>
        <v>2</v>
      </c>
      <c r="D291" s="52"/>
      <c r="E291" s="52"/>
      <c r="F291" s="45"/>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row>
    <row r="292" spans="1:49" ht="30" customHeight="1" x14ac:dyDescent="0.3">
      <c r="A292" s="48" t="s">
        <v>1749</v>
      </c>
      <c r="B292" s="44" t="str">
        <f t="shared" si="9"/>
        <v>2</v>
      </c>
      <c r="C292" s="44" t="str">
        <f t="shared" si="10"/>
        <v>2</v>
      </c>
      <c r="D292" s="52"/>
      <c r="E292" s="52"/>
      <c r="F292" s="45"/>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row>
    <row r="293" spans="1:49" ht="30" customHeight="1" x14ac:dyDescent="0.3">
      <c r="A293" s="48" t="s">
        <v>1750</v>
      </c>
      <c r="B293" s="44" t="str">
        <f t="shared" si="9"/>
        <v>2</v>
      </c>
      <c r="C293" s="44" t="str">
        <f t="shared" si="10"/>
        <v>2</v>
      </c>
      <c r="D293" s="52"/>
      <c r="E293" s="52"/>
      <c r="F293" s="45"/>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row>
    <row r="294" spans="1:49" ht="30" customHeight="1" x14ac:dyDescent="0.3">
      <c r="A294" s="48" t="s">
        <v>1751</v>
      </c>
      <c r="B294" s="44" t="str">
        <f t="shared" si="9"/>
        <v>2</v>
      </c>
      <c r="C294" s="44" t="str">
        <f t="shared" si="10"/>
        <v>2</v>
      </c>
      <c r="D294" s="52"/>
      <c r="E294" s="52"/>
      <c r="F294" s="45"/>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row>
    <row r="295" spans="1:49" ht="30" customHeight="1" x14ac:dyDescent="0.3">
      <c r="A295" s="48" t="s">
        <v>1752</v>
      </c>
      <c r="B295" s="44" t="str">
        <f t="shared" si="9"/>
        <v>2</v>
      </c>
      <c r="C295" s="44" t="str">
        <f t="shared" si="10"/>
        <v>2</v>
      </c>
      <c r="D295" s="52"/>
      <c r="E295" s="52"/>
      <c r="F295" s="45"/>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row>
    <row r="296" spans="1:49" ht="30" customHeight="1" x14ac:dyDescent="0.3">
      <c r="A296" s="48" t="s">
        <v>1753</v>
      </c>
      <c r="B296" s="44" t="str">
        <f t="shared" si="9"/>
        <v>2</v>
      </c>
      <c r="C296" s="44" t="str">
        <f t="shared" si="10"/>
        <v>2</v>
      </c>
      <c r="D296" s="52"/>
      <c r="E296" s="52"/>
      <c r="F296" s="45"/>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row>
    <row r="297" spans="1:49" ht="30" customHeight="1" x14ac:dyDescent="0.3">
      <c r="A297" s="48" t="s">
        <v>1754</v>
      </c>
      <c r="B297" s="44" t="str">
        <f t="shared" si="9"/>
        <v>2</v>
      </c>
      <c r="C297" s="44" t="str">
        <f t="shared" si="10"/>
        <v>2</v>
      </c>
      <c r="D297" s="52"/>
      <c r="E297" s="52"/>
      <c r="F297" s="45"/>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row>
    <row r="298" spans="1:49" ht="30" customHeight="1" x14ac:dyDescent="0.3">
      <c r="A298" s="48" t="s">
        <v>1755</v>
      </c>
      <c r="B298" s="44" t="str">
        <f t="shared" si="9"/>
        <v>2</v>
      </c>
      <c r="C298" s="44" t="str">
        <f t="shared" si="10"/>
        <v>2</v>
      </c>
      <c r="D298" s="52"/>
      <c r="E298" s="52"/>
      <c r="F298" s="45"/>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row>
    <row r="299" spans="1:49" ht="30" customHeight="1" x14ac:dyDescent="0.3">
      <c r="A299" s="48" t="s">
        <v>1756</v>
      </c>
      <c r="B299" s="44" t="str">
        <f t="shared" si="9"/>
        <v>2</v>
      </c>
      <c r="C299" s="44" t="str">
        <f t="shared" si="10"/>
        <v>2</v>
      </c>
      <c r="D299" s="52"/>
      <c r="E299" s="52"/>
      <c r="F299" s="45"/>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row>
    <row r="300" spans="1:49" ht="30" customHeight="1" x14ac:dyDescent="0.3">
      <c r="A300" s="48" t="s">
        <v>1757</v>
      </c>
      <c r="B300" s="44" t="str">
        <f t="shared" si="9"/>
        <v>2</v>
      </c>
      <c r="C300" s="44" t="str">
        <f t="shared" si="10"/>
        <v>2</v>
      </c>
      <c r="D300" s="52"/>
      <c r="E300" s="52"/>
      <c r="F300" s="45"/>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row>
  </sheetData>
  <autoFilter ref="A3:AV300" xr:uid="{5518678F-0D94-4195-8F9B-18BB7FE47B6A}"/>
  <phoneticPr fontId="16" type="noConversion"/>
  <conditionalFormatting sqref="A1:A1048576">
    <cfRule type="duplicateValues" dxfId="136" priority="5"/>
  </conditionalFormatting>
  <dataValidations count="1">
    <dataValidation allowBlank="1" sqref="D3:AW3" xr:uid="{CAB29770-74F2-41EF-99C9-DAF9EB6A9105}"/>
  </dataValidations>
  <pageMargins left="0.39370078740157483" right="0.39370078740157483" top="0.39370078740157483" bottom="0.59055118110236227" header="0.31496062992125984" footer="0.31496062992125984"/>
  <pageSetup paperSize="9" scale="22" fitToHeight="4" orientation="landscape" horizontalDpi="300" verticalDpi="1200" r:id="rId1"/>
  <headerFooter>
    <oddFooter>&amp;L&amp;G&amp;C&amp;"Arial,Standard"&amp;9Prüfkataster Übersicht&amp;R&amp;"Arial,Standard"&amp;9Seite &amp;P /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D37EB-7B7E-4A39-A1EC-B286CC922710}">
  <sheetPr codeName="Tabelle1"/>
  <dimension ref="A1:O56"/>
  <sheetViews>
    <sheetView showGridLines="0" workbookViewId="0">
      <selection activeCell="H2" sqref="H2"/>
    </sheetView>
  </sheetViews>
  <sheetFormatPr baseColWidth="10" defaultRowHeight="18.75" customHeight="1" x14ac:dyDescent="0.3"/>
  <cols>
    <col min="1" max="1" width="8.5546875" customWidth="1"/>
    <col min="2" max="2" width="22.6640625" customWidth="1"/>
    <col min="3" max="5" width="16.6640625" customWidth="1"/>
    <col min="6" max="6" width="4.33203125" customWidth="1"/>
    <col min="7" max="7" width="40.6640625" customWidth="1"/>
    <col min="8" max="8" width="35" customWidth="1"/>
    <col min="9" max="9" width="15.88671875" bestFit="1" customWidth="1"/>
    <col min="10" max="10" width="5.6640625" bestFit="1" customWidth="1"/>
    <col min="11" max="11" width="31" bestFit="1" customWidth="1"/>
    <col min="12" max="12" width="27.33203125" bestFit="1" customWidth="1"/>
    <col min="13" max="13" width="39.33203125" bestFit="1" customWidth="1"/>
    <col min="14" max="14" width="21.44140625" bestFit="1" customWidth="1"/>
    <col min="15" max="15" width="17.6640625" bestFit="1" customWidth="1"/>
  </cols>
  <sheetData>
    <row r="1" spans="1:15" ht="18.75" customHeight="1" x14ac:dyDescent="0.3">
      <c r="A1" s="23" t="s">
        <v>7</v>
      </c>
      <c r="B1" s="23"/>
      <c r="C1" s="56"/>
      <c r="D1" s="56"/>
      <c r="E1" s="56"/>
      <c r="F1" s="94"/>
      <c r="G1" s="23" t="s">
        <v>1129</v>
      </c>
      <c r="H1" s="23" t="s">
        <v>1130</v>
      </c>
      <c r="I1" s="21" t="s">
        <v>1151</v>
      </c>
      <c r="J1" s="109" t="s">
        <v>1229</v>
      </c>
      <c r="K1" s="110" t="s">
        <v>1230</v>
      </c>
      <c r="L1" s="105" t="s">
        <v>1257</v>
      </c>
      <c r="M1" s="105" t="s">
        <v>1258</v>
      </c>
      <c r="N1" s="105" t="s">
        <v>1259</v>
      </c>
      <c r="O1" s="105" t="s">
        <v>1260</v>
      </c>
    </row>
    <row r="2" spans="1:15" ht="18.75" customHeight="1" x14ac:dyDescent="0.3">
      <c r="A2" s="24" t="s">
        <v>9</v>
      </c>
      <c r="B2" s="25" t="s">
        <v>106</v>
      </c>
      <c r="C2" s="25" t="s">
        <v>107</v>
      </c>
      <c r="D2" s="26"/>
      <c r="E2" s="26"/>
      <c r="F2" s="95"/>
      <c r="G2" s="111" t="s">
        <v>1686</v>
      </c>
      <c r="H2" s="112" t="s">
        <v>1687</v>
      </c>
      <c r="I2" s="22" t="s">
        <v>1156</v>
      </c>
      <c r="J2" s="113" t="s">
        <v>1231</v>
      </c>
      <c r="K2" s="114" t="s">
        <v>1224</v>
      </c>
      <c r="L2" s="106" t="s">
        <v>1261</v>
      </c>
      <c r="M2" s="107" t="s">
        <v>1262</v>
      </c>
      <c r="N2" s="106" t="s">
        <v>1263</v>
      </c>
      <c r="O2" s="107" t="s">
        <v>1264</v>
      </c>
    </row>
    <row r="3" spans="1:15" ht="18.75" customHeight="1" x14ac:dyDescent="0.3">
      <c r="A3" s="33" t="s">
        <v>10</v>
      </c>
      <c r="B3" s="27" t="s">
        <v>48</v>
      </c>
      <c r="C3" s="27" t="s">
        <v>105</v>
      </c>
      <c r="D3" s="28"/>
      <c r="E3" s="28"/>
      <c r="F3" s="96">
        <f>HYPERLINK(CONCATENATE("Schutzleitfäden\",B3,".pdf"),2)</f>
        <v>2</v>
      </c>
      <c r="G3" s="1"/>
      <c r="H3" s="1"/>
      <c r="I3" s="22" t="s">
        <v>1158</v>
      </c>
      <c r="J3" s="113" t="s">
        <v>1232</v>
      </c>
      <c r="K3" s="114" t="s">
        <v>1225</v>
      </c>
      <c r="L3" s="106" t="s">
        <v>1265</v>
      </c>
      <c r="M3" s="108" t="s">
        <v>1265</v>
      </c>
      <c r="N3" s="106" t="s">
        <v>1266</v>
      </c>
      <c r="O3" s="107" t="s">
        <v>1267</v>
      </c>
    </row>
    <row r="4" spans="1:15" ht="18.75" customHeight="1" x14ac:dyDescent="0.3">
      <c r="A4" s="33" t="s">
        <v>12</v>
      </c>
      <c r="B4" s="27" t="s">
        <v>94</v>
      </c>
      <c r="C4" s="27" t="s">
        <v>117</v>
      </c>
      <c r="D4" s="28"/>
      <c r="E4" s="28"/>
      <c r="F4" s="96">
        <f>HYPERLINK(CONCATENATE("Schutzleitfäden\",B4,".pdf"),2)</f>
        <v>2</v>
      </c>
      <c r="G4" s="23" t="s">
        <v>1557</v>
      </c>
      <c r="H4" s="23" t="s">
        <v>1558</v>
      </c>
      <c r="I4" s="22" t="s">
        <v>1183</v>
      </c>
      <c r="J4" s="113">
        <v>1</v>
      </c>
      <c r="K4" s="114" t="s">
        <v>1226</v>
      </c>
      <c r="L4" s="106" t="s">
        <v>1268</v>
      </c>
      <c r="M4" s="108" t="s">
        <v>1268</v>
      </c>
      <c r="N4" s="106" t="s">
        <v>1269</v>
      </c>
      <c r="O4" s="108" t="s">
        <v>1265</v>
      </c>
    </row>
    <row r="5" spans="1:15" ht="18.75" customHeight="1" x14ac:dyDescent="0.3">
      <c r="A5" s="33" t="s">
        <v>13</v>
      </c>
      <c r="B5" s="27" t="s">
        <v>49</v>
      </c>
      <c r="C5" s="27" t="s">
        <v>125</v>
      </c>
      <c r="D5" s="28"/>
      <c r="E5" s="28"/>
      <c r="F5" s="96">
        <f>HYPERLINK(CONCATENATE("Schutzleitfäden\",B5,".pdf"),2)</f>
        <v>2</v>
      </c>
      <c r="G5" s="124" t="s">
        <v>1688</v>
      </c>
      <c r="H5" s="124" t="s">
        <v>1689</v>
      </c>
      <c r="I5" s="104"/>
      <c r="J5" s="113">
        <v>2</v>
      </c>
      <c r="K5" s="114" t="s">
        <v>1227</v>
      </c>
      <c r="L5" s="3"/>
      <c r="M5" s="1"/>
      <c r="N5" s="106" t="s">
        <v>1270</v>
      </c>
      <c r="O5" s="108" t="s">
        <v>1268</v>
      </c>
    </row>
    <row r="6" spans="1:15" ht="18.75" customHeight="1" x14ac:dyDescent="0.3">
      <c r="A6" s="33" t="s">
        <v>14</v>
      </c>
      <c r="B6" s="27" t="s">
        <v>50</v>
      </c>
      <c r="C6" s="27" t="s">
        <v>122</v>
      </c>
      <c r="D6" s="28"/>
      <c r="E6" s="28"/>
      <c r="F6" s="96">
        <f t="shared" ref="F6:F8" si="0">HYPERLINK(CONCATENATE("Schutzleitfäden\",B6,".pdf"),2)</f>
        <v>2</v>
      </c>
      <c r="G6" s="104"/>
      <c r="H6" s="104"/>
      <c r="I6" s="104"/>
      <c r="J6" s="113">
        <v>3</v>
      </c>
      <c r="K6" s="114" t="s">
        <v>1228</v>
      </c>
      <c r="L6" s="3"/>
      <c r="M6" s="1"/>
      <c r="N6" s="106" t="s">
        <v>1265</v>
      </c>
      <c r="O6" s="1"/>
    </row>
    <row r="7" spans="1:15" ht="18.75" customHeight="1" x14ac:dyDescent="0.3">
      <c r="A7" s="33" t="s">
        <v>15</v>
      </c>
      <c r="B7" s="27" t="s">
        <v>51</v>
      </c>
      <c r="C7" s="27" t="s">
        <v>123</v>
      </c>
      <c r="D7" s="28"/>
      <c r="E7" s="28"/>
      <c r="F7" s="96">
        <f t="shared" si="0"/>
        <v>2</v>
      </c>
      <c r="G7" s="104"/>
      <c r="H7" s="104"/>
      <c r="I7" s="104"/>
      <c r="J7" s="104"/>
      <c r="K7" s="104"/>
      <c r="L7" s="3"/>
      <c r="M7" s="1"/>
      <c r="N7" s="106" t="s">
        <v>1268</v>
      </c>
      <c r="O7" s="1"/>
    </row>
    <row r="8" spans="1:15" ht="18.75" customHeight="1" x14ac:dyDescent="0.3">
      <c r="A8" s="33" t="s">
        <v>16</v>
      </c>
      <c r="B8" s="27" t="s">
        <v>52</v>
      </c>
      <c r="C8" s="27" t="s">
        <v>126</v>
      </c>
      <c r="D8" s="28"/>
      <c r="E8" s="28"/>
      <c r="F8" s="96">
        <f t="shared" si="0"/>
        <v>2</v>
      </c>
      <c r="G8" s="104"/>
      <c r="H8" s="104"/>
      <c r="I8" s="104"/>
      <c r="J8" s="104"/>
      <c r="K8" s="104"/>
      <c r="L8" s="104"/>
      <c r="M8" s="104"/>
      <c r="N8" s="104"/>
      <c r="O8" s="104"/>
    </row>
    <row r="9" spans="1:15" ht="18.75" customHeight="1" x14ac:dyDescent="0.3">
      <c r="A9" s="34" t="s">
        <v>17</v>
      </c>
      <c r="B9" s="29" t="s">
        <v>110</v>
      </c>
      <c r="C9" s="29" t="s">
        <v>1080</v>
      </c>
      <c r="D9" s="28"/>
      <c r="E9" s="28"/>
      <c r="F9" s="97"/>
      <c r="G9" s="104"/>
      <c r="H9" s="55"/>
      <c r="I9" s="104"/>
      <c r="J9" s="104"/>
      <c r="K9" s="104"/>
      <c r="L9" s="104"/>
      <c r="M9" s="104"/>
      <c r="N9" s="104"/>
      <c r="O9" s="104"/>
    </row>
    <row r="10" spans="1:15" ht="18.75" customHeight="1" x14ac:dyDescent="0.3">
      <c r="A10" s="33" t="s">
        <v>18</v>
      </c>
      <c r="B10" s="27" t="s">
        <v>53</v>
      </c>
      <c r="C10" s="27" t="s">
        <v>127</v>
      </c>
      <c r="D10" s="28"/>
      <c r="E10" s="28"/>
      <c r="F10" s="96">
        <f t="shared" ref="F10:F56" si="1">HYPERLINK(CONCATENATE("Schutzleitfäden\",B10,".pdf"),2)</f>
        <v>2</v>
      </c>
      <c r="G10" s="104"/>
      <c r="H10" s="104"/>
      <c r="I10" s="104"/>
      <c r="J10" s="104"/>
      <c r="K10" s="104"/>
      <c r="L10" s="104"/>
      <c r="M10" s="104"/>
      <c r="N10" s="104"/>
      <c r="O10" s="104"/>
    </row>
    <row r="11" spans="1:15" ht="18.75" customHeight="1" x14ac:dyDescent="0.3">
      <c r="A11" s="33" t="s">
        <v>19</v>
      </c>
      <c r="B11" s="27" t="s">
        <v>54</v>
      </c>
      <c r="C11" s="27" t="s">
        <v>128</v>
      </c>
      <c r="D11" s="28"/>
      <c r="E11" s="28"/>
      <c r="F11" s="96">
        <f t="shared" si="1"/>
        <v>2</v>
      </c>
      <c r="G11" s="104"/>
      <c r="H11" s="104"/>
      <c r="I11" s="104"/>
      <c r="J11" s="104"/>
      <c r="K11" s="104"/>
      <c r="L11" s="104"/>
      <c r="M11" s="104"/>
      <c r="N11" s="104"/>
      <c r="O11" s="104"/>
    </row>
    <row r="12" spans="1:15" ht="18.75" customHeight="1" x14ac:dyDescent="0.3">
      <c r="A12" s="33" t="s">
        <v>20</v>
      </c>
      <c r="B12" s="27" t="s">
        <v>55</v>
      </c>
      <c r="C12" s="27" t="s">
        <v>129</v>
      </c>
      <c r="D12" s="28"/>
      <c r="E12" s="28"/>
      <c r="F12" s="96">
        <f t="shared" si="1"/>
        <v>2</v>
      </c>
      <c r="G12" s="104"/>
      <c r="H12" s="104"/>
      <c r="I12" s="104"/>
      <c r="J12" s="104"/>
      <c r="K12" s="104"/>
      <c r="L12" s="104"/>
      <c r="M12" s="104"/>
      <c r="N12" s="104"/>
      <c r="O12" s="104"/>
    </row>
    <row r="13" spans="1:15" ht="18.75" customHeight="1" x14ac:dyDescent="0.3">
      <c r="A13" s="33" t="s">
        <v>21</v>
      </c>
      <c r="B13" s="27" t="s">
        <v>56</v>
      </c>
      <c r="C13" s="27" t="s">
        <v>130</v>
      </c>
      <c r="D13" s="28"/>
      <c r="E13" s="28"/>
      <c r="F13" s="96">
        <f t="shared" si="1"/>
        <v>2</v>
      </c>
    </row>
    <row r="14" spans="1:15" ht="18.75" customHeight="1" x14ac:dyDescent="0.3">
      <c r="A14" s="33" t="s">
        <v>22</v>
      </c>
      <c r="B14" s="27" t="s">
        <v>57</v>
      </c>
      <c r="C14" s="27" t="s">
        <v>131</v>
      </c>
      <c r="D14" s="28"/>
      <c r="E14" s="28"/>
      <c r="F14" s="96">
        <f t="shared" si="1"/>
        <v>2</v>
      </c>
    </row>
    <row r="15" spans="1:15" ht="18.75" customHeight="1" x14ac:dyDescent="0.3">
      <c r="A15" s="33" t="s">
        <v>23</v>
      </c>
      <c r="B15" s="27" t="s">
        <v>70</v>
      </c>
      <c r="C15" s="27" t="s">
        <v>132</v>
      </c>
      <c r="D15" s="28"/>
      <c r="E15" s="28"/>
      <c r="F15" s="96">
        <f t="shared" si="1"/>
        <v>2</v>
      </c>
    </row>
    <row r="16" spans="1:15" ht="18.75" customHeight="1" x14ac:dyDescent="0.3">
      <c r="A16" s="33" t="s">
        <v>58</v>
      </c>
      <c r="B16" s="27" t="s">
        <v>71</v>
      </c>
      <c r="C16" s="27" t="s">
        <v>133</v>
      </c>
      <c r="D16" s="28"/>
      <c r="E16" s="28"/>
      <c r="F16" s="96">
        <f t="shared" si="1"/>
        <v>2</v>
      </c>
    </row>
    <row r="17" spans="1:6" ht="18.75" customHeight="1" x14ac:dyDescent="0.3">
      <c r="A17" s="33" t="s">
        <v>59</v>
      </c>
      <c r="B17" s="27" t="s">
        <v>72</v>
      </c>
      <c r="C17" s="27" t="s">
        <v>134</v>
      </c>
      <c r="D17" s="28"/>
      <c r="E17" s="28"/>
      <c r="F17" s="96">
        <f t="shared" si="1"/>
        <v>2</v>
      </c>
    </row>
    <row r="18" spans="1:6" ht="18.75" customHeight="1" x14ac:dyDescent="0.3">
      <c r="A18" s="33" t="s">
        <v>60</v>
      </c>
      <c r="B18" s="27" t="s">
        <v>73</v>
      </c>
      <c r="C18" s="27" t="s">
        <v>135</v>
      </c>
      <c r="D18" s="28"/>
      <c r="E18" s="28"/>
      <c r="F18" s="96">
        <f t="shared" si="1"/>
        <v>2</v>
      </c>
    </row>
    <row r="19" spans="1:6" ht="18.75" customHeight="1" x14ac:dyDescent="0.3">
      <c r="A19" s="33" t="s">
        <v>61</v>
      </c>
      <c r="B19" s="27" t="s">
        <v>74</v>
      </c>
      <c r="C19" s="27" t="s">
        <v>136</v>
      </c>
      <c r="D19" s="28"/>
      <c r="E19" s="28"/>
      <c r="F19" s="96">
        <f t="shared" si="1"/>
        <v>2</v>
      </c>
    </row>
    <row r="20" spans="1:6" ht="18.75" customHeight="1" x14ac:dyDescent="0.3">
      <c r="A20" s="33" t="s">
        <v>62</v>
      </c>
      <c r="B20" s="27" t="s">
        <v>75</v>
      </c>
      <c r="C20" s="27" t="s">
        <v>137</v>
      </c>
      <c r="D20" s="28"/>
      <c r="E20" s="28"/>
      <c r="F20" s="96">
        <f t="shared" si="1"/>
        <v>2</v>
      </c>
    </row>
    <row r="21" spans="1:6" ht="18.75" customHeight="1" x14ac:dyDescent="0.3">
      <c r="A21" s="33" t="s">
        <v>63</v>
      </c>
      <c r="B21" s="27" t="s">
        <v>76</v>
      </c>
      <c r="C21" s="27" t="s">
        <v>138</v>
      </c>
      <c r="D21" s="28"/>
      <c r="E21" s="28"/>
      <c r="F21" s="96">
        <f t="shared" si="1"/>
        <v>2</v>
      </c>
    </row>
    <row r="22" spans="1:6" ht="18.75" customHeight="1" x14ac:dyDescent="0.3">
      <c r="A22" s="33" t="s">
        <v>64</v>
      </c>
      <c r="B22" s="27" t="s">
        <v>77</v>
      </c>
      <c r="C22" s="27" t="s">
        <v>139</v>
      </c>
      <c r="D22" s="28"/>
      <c r="E22" s="28"/>
      <c r="F22" s="96">
        <f t="shared" si="1"/>
        <v>2</v>
      </c>
    </row>
    <row r="23" spans="1:6" ht="18.75" customHeight="1" x14ac:dyDescent="0.3">
      <c r="A23" s="33" t="s">
        <v>65</v>
      </c>
      <c r="B23" s="27" t="s">
        <v>78</v>
      </c>
      <c r="C23" s="27" t="s">
        <v>140</v>
      </c>
      <c r="D23" s="28"/>
      <c r="E23" s="28"/>
      <c r="F23" s="96">
        <f t="shared" si="1"/>
        <v>2</v>
      </c>
    </row>
    <row r="24" spans="1:6" ht="18.75" customHeight="1" x14ac:dyDescent="0.3">
      <c r="A24" s="33" t="s">
        <v>66</v>
      </c>
      <c r="B24" s="27" t="s">
        <v>79</v>
      </c>
      <c r="C24" s="27" t="s">
        <v>141</v>
      </c>
      <c r="D24" s="28"/>
      <c r="E24" s="28"/>
      <c r="F24" s="96">
        <f t="shared" si="1"/>
        <v>2</v>
      </c>
    </row>
    <row r="25" spans="1:6" ht="18.75" customHeight="1" x14ac:dyDescent="0.3">
      <c r="A25" s="33" t="s">
        <v>67</v>
      </c>
      <c r="B25" s="27" t="s">
        <v>80</v>
      </c>
      <c r="C25" s="27" t="s">
        <v>142</v>
      </c>
      <c r="D25" s="28"/>
      <c r="E25" s="28"/>
      <c r="F25" s="96">
        <f t="shared" si="1"/>
        <v>2</v>
      </c>
    </row>
    <row r="26" spans="1:6" ht="18.75" customHeight="1" x14ac:dyDescent="0.3">
      <c r="A26" s="33" t="s">
        <v>68</v>
      </c>
      <c r="B26" s="27" t="s">
        <v>81</v>
      </c>
      <c r="C26" s="27" t="s">
        <v>145</v>
      </c>
      <c r="D26" s="28"/>
      <c r="E26" s="28"/>
      <c r="F26" s="96">
        <f t="shared" si="1"/>
        <v>2</v>
      </c>
    </row>
    <row r="27" spans="1:6" ht="18.75" customHeight="1" x14ac:dyDescent="0.3">
      <c r="A27" s="33" t="s">
        <v>69</v>
      </c>
      <c r="B27" s="27" t="s">
        <v>82</v>
      </c>
      <c r="C27" s="27" t="s">
        <v>143</v>
      </c>
      <c r="D27" s="28"/>
      <c r="E27" s="28"/>
      <c r="F27" s="96">
        <f t="shared" si="1"/>
        <v>2</v>
      </c>
    </row>
    <row r="28" spans="1:6" ht="18.75" customHeight="1" x14ac:dyDescent="0.3">
      <c r="A28" s="33" t="s">
        <v>108</v>
      </c>
      <c r="B28" s="27" t="s">
        <v>83</v>
      </c>
      <c r="C28" s="27" t="s">
        <v>144</v>
      </c>
      <c r="D28" s="28"/>
      <c r="E28" s="28"/>
      <c r="F28" s="96">
        <f t="shared" si="1"/>
        <v>2</v>
      </c>
    </row>
    <row r="29" spans="1:6" ht="18.75" customHeight="1" x14ac:dyDescent="0.3">
      <c r="A29" s="33" t="s">
        <v>109</v>
      </c>
      <c r="B29" s="27" t="s">
        <v>85</v>
      </c>
      <c r="C29" s="27" t="s">
        <v>146</v>
      </c>
      <c r="D29" s="28"/>
      <c r="E29" s="28"/>
      <c r="F29" s="96">
        <f t="shared" si="1"/>
        <v>2</v>
      </c>
    </row>
    <row r="30" spans="1:6" ht="18.75" customHeight="1" x14ac:dyDescent="0.3">
      <c r="A30" s="34" t="s">
        <v>24</v>
      </c>
      <c r="B30" s="29" t="s">
        <v>113</v>
      </c>
      <c r="C30" s="29" t="s">
        <v>111</v>
      </c>
      <c r="D30" s="28"/>
      <c r="E30" s="28"/>
      <c r="F30" s="97"/>
    </row>
    <row r="31" spans="1:6" ht="18.75" customHeight="1" x14ac:dyDescent="0.3">
      <c r="A31" s="30" t="s">
        <v>25</v>
      </c>
      <c r="B31" s="27" t="s">
        <v>84</v>
      </c>
      <c r="C31" s="27" t="s">
        <v>147</v>
      </c>
      <c r="D31" s="28"/>
      <c r="E31" s="28"/>
      <c r="F31" s="96">
        <f t="shared" si="1"/>
        <v>2</v>
      </c>
    </row>
    <row r="32" spans="1:6" ht="18.75" customHeight="1" x14ac:dyDescent="0.3">
      <c r="A32" s="31">
        <v>4</v>
      </c>
      <c r="B32" s="29" t="s">
        <v>114</v>
      </c>
      <c r="C32" s="29" t="s">
        <v>112</v>
      </c>
      <c r="D32" s="28"/>
      <c r="E32" s="28"/>
      <c r="F32" s="97"/>
    </row>
    <row r="33" spans="1:6" ht="18.75" customHeight="1" x14ac:dyDescent="0.3">
      <c r="A33" s="33" t="s">
        <v>27</v>
      </c>
      <c r="B33" s="27" t="s">
        <v>95</v>
      </c>
      <c r="C33" s="27" t="s">
        <v>124</v>
      </c>
      <c r="D33" s="28"/>
      <c r="E33" s="28"/>
      <c r="F33" s="96">
        <f>HYPERLINK(CONCATENATE("Schutzleitfäden\",B33,".pdf"),2)</f>
        <v>2</v>
      </c>
    </row>
    <row r="34" spans="1:6" ht="18.75" customHeight="1" x14ac:dyDescent="0.3">
      <c r="A34" s="30" t="s">
        <v>28</v>
      </c>
      <c r="B34" s="27" t="s">
        <v>96</v>
      </c>
      <c r="C34" s="27" t="s">
        <v>148</v>
      </c>
      <c r="D34" s="28"/>
      <c r="E34" s="28"/>
      <c r="F34" s="96">
        <f t="shared" si="1"/>
        <v>2</v>
      </c>
    </row>
    <row r="35" spans="1:6" ht="18.75" customHeight="1" x14ac:dyDescent="0.3">
      <c r="A35" s="33" t="s">
        <v>29</v>
      </c>
      <c r="B35" s="27" t="s">
        <v>97</v>
      </c>
      <c r="C35" s="27" t="s">
        <v>149</v>
      </c>
      <c r="D35" s="28"/>
      <c r="E35" s="28"/>
      <c r="F35" s="96">
        <f t="shared" si="1"/>
        <v>2</v>
      </c>
    </row>
    <row r="36" spans="1:6" ht="18.75" customHeight="1" x14ac:dyDescent="0.3">
      <c r="A36" s="30" t="s">
        <v>30</v>
      </c>
      <c r="B36" s="27" t="s">
        <v>98</v>
      </c>
      <c r="C36" s="27" t="s">
        <v>150</v>
      </c>
      <c r="D36" s="28"/>
      <c r="E36" s="28"/>
      <c r="F36" s="96">
        <f t="shared" si="1"/>
        <v>2</v>
      </c>
    </row>
    <row r="37" spans="1:6" ht="18.75" customHeight="1" x14ac:dyDescent="0.3">
      <c r="A37" s="33" t="s">
        <v>31</v>
      </c>
      <c r="B37" s="27" t="s">
        <v>99</v>
      </c>
      <c r="C37" s="27" t="s">
        <v>151</v>
      </c>
      <c r="D37" s="28"/>
      <c r="E37" s="28"/>
      <c r="F37" s="96">
        <f t="shared" si="1"/>
        <v>2</v>
      </c>
    </row>
    <row r="38" spans="1:6" ht="18.75" customHeight="1" x14ac:dyDescent="0.3">
      <c r="A38" s="30" t="s">
        <v>1081</v>
      </c>
      <c r="B38" s="27" t="s">
        <v>100</v>
      </c>
      <c r="C38" s="27" t="s">
        <v>149</v>
      </c>
      <c r="D38" s="28"/>
      <c r="E38" s="28"/>
      <c r="F38" s="96">
        <f t="shared" si="1"/>
        <v>2</v>
      </c>
    </row>
    <row r="39" spans="1:6" ht="18.75" customHeight="1" x14ac:dyDescent="0.3">
      <c r="A39" s="30" t="s">
        <v>1082</v>
      </c>
      <c r="B39" s="27" t="s">
        <v>101</v>
      </c>
      <c r="C39" s="27" t="s">
        <v>160</v>
      </c>
      <c r="D39" s="28"/>
      <c r="E39" s="28"/>
      <c r="F39" s="96">
        <f>HYPERLINK(CONCATENATE("Schutzleitfäden\",B39,".pdf"),2)</f>
        <v>2</v>
      </c>
    </row>
    <row r="40" spans="1:6" ht="18.75" customHeight="1" x14ac:dyDescent="0.3">
      <c r="A40" s="31" t="s">
        <v>41</v>
      </c>
      <c r="B40" s="29" t="s">
        <v>115</v>
      </c>
      <c r="C40" s="27"/>
      <c r="D40" s="28"/>
      <c r="E40" s="28"/>
      <c r="F40" s="97"/>
    </row>
    <row r="41" spans="1:6" ht="18.75" customHeight="1" x14ac:dyDescent="0.3">
      <c r="A41" s="30" t="s">
        <v>32</v>
      </c>
      <c r="B41" s="27" t="s">
        <v>86</v>
      </c>
      <c r="C41" s="27" t="s">
        <v>152</v>
      </c>
      <c r="D41" s="28"/>
      <c r="E41" s="28"/>
      <c r="F41" s="96">
        <f t="shared" si="1"/>
        <v>2</v>
      </c>
    </row>
    <row r="42" spans="1:6" ht="18.75" customHeight="1" x14ac:dyDescent="0.3">
      <c r="A42" s="30" t="s">
        <v>33</v>
      </c>
      <c r="B42" s="27" t="s">
        <v>87</v>
      </c>
      <c r="C42" s="27" t="s">
        <v>153</v>
      </c>
      <c r="D42" s="28"/>
      <c r="E42" s="28"/>
      <c r="F42" s="96">
        <f t="shared" si="1"/>
        <v>2</v>
      </c>
    </row>
    <row r="43" spans="1:6" ht="18.75" customHeight="1" x14ac:dyDescent="0.3">
      <c r="A43" s="30" t="s">
        <v>34</v>
      </c>
      <c r="B43" s="27" t="s">
        <v>88</v>
      </c>
      <c r="C43" s="27" t="s">
        <v>154</v>
      </c>
      <c r="D43" s="28"/>
      <c r="E43" s="28"/>
      <c r="F43" s="96">
        <f t="shared" si="1"/>
        <v>2</v>
      </c>
    </row>
    <row r="44" spans="1:6" ht="18.75" customHeight="1" x14ac:dyDescent="0.3">
      <c r="A44" s="30" t="s">
        <v>35</v>
      </c>
      <c r="B44" s="27" t="s">
        <v>89</v>
      </c>
      <c r="C44" s="27" t="s">
        <v>155</v>
      </c>
      <c r="D44" s="28"/>
      <c r="E44" s="28"/>
      <c r="F44" s="96">
        <f t="shared" si="1"/>
        <v>2</v>
      </c>
    </row>
    <row r="45" spans="1:6" ht="18.75" customHeight="1" x14ac:dyDescent="0.3">
      <c r="A45" s="30" t="s">
        <v>36</v>
      </c>
      <c r="B45" s="27" t="s">
        <v>90</v>
      </c>
      <c r="C45" s="27" t="s">
        <v>156</v>
      </c>
      <c r="D45" s="28"/>
      <c r="E45" s="28"/>
      <c r="F45" s="96">
        <f t="shared" si="1"/>
        <v>2</v>
      </c>
    </row>
    <row r="46" spans="1:6" ht="18.75" customHeight="1" x14ac:dyDescent="0.3">
      <c r="A46" s="30" t="s">
        <v>37</v>
      </c>
      <c r="B46" s="27" t="s">
        <v>91</v>
      </c>
      <c r="C46" s="27" t="s">
        <v>157</v>
      </c>
      <c r="D46" s="28"/>
      <c r="E46" s="28"/>
      <c r="F46" s="96">
        <f t="shared" si="1"/>
        <v>2</v>
      </c>
    </row>
    <row r="47" spans="1:6" ht="18.75" customHeight="1" x14ac:dyDescent="0.3">
      <c r="A47" s="30" t="s">
        <v>102</v>
      </c>
      <c r="B47" s="27" t="s">
        <v>92</v>
      </c>
      <c r="C47" s="27" t="s">
        <v>158</v>
      </c>
      <c r="D47" s="28"/>
      <c r="E47" s="28"/>
      <c r="F47" s="96">
        <f t="shared" si="1"/>
        <v>2</v>
      </c>
    </row>
    <row r="48" spans="1:6" ht="18.75" customHeight="1" x14ac:dyDescent="0.3">
      <c r="A48" s="30" t="s">
        <v>103</v>
      </c>
      <c r="B48" s="27" t="s">
        <v>93</v>
      </c>
      <c r="C48" s="27" t="s">
        <v>159</v>
      </c>
      <c r="D48" s="28"/>
      <c r="E48" s="28"/>
      <c r="F48" s="96">
        <f t="shared" si="1"/>
        <v>2</v>
      </c>
    </row>
    <row r="49" spans="1:6" ht="18.75" customHeight="1" x14ac:dyDescent="0.3">
      <c r="A49" s="31" t="s">
        <v>38</v>
      </c>
      <c r="B49" s="29" t="s">
        <v>116</v>
      </c>
      <c r="C49" s="27" t="s">
        <v>112</v>
      </c>
      <c r="D49" s="28"/>
      <c r="E49" s="28"/>
      <c r="F49" s="97"/>
    </row>
    <row r="50" spans="1:6" ht="18.75" customHeight="1" x14ac:dyDescent="0.3">
      <c r="A50" s="31" t="s">
        <v>39</v>
      </c>
      <c r="B50" s="29" t="s">
        <v>104</v>
      </c>
      <c r="C50" s="27"/>
      <c r="D50" s="28"/>
      <c r="E50" s="28"/>
      <c r="F50" s="97"/>
    </row>
    <row r="51" spans="1:6" ht="18.75" customHeight="1" x14ac:dyDescent="0.3">
      <c r="A51" s="30" t="s">
        <v>42</v>
      </c>
      <c r="B51" s="27" t="s">
        <v>0</v>
      </c>
      <c r="C51" s="27"/>
      <c r="D51" s="28"/>
      <c r="E51" s="28"/>
      <c r="F51" s="96">
        <f t="shared" si="1"/>
        <v>2</v>
      </c>
    </row>
    <row r="52" spans="1:6" ht="18.75" customHeight="1" x14ac:dyDescent="0.3">
      <c r="A52" s="30" t="s">
        <v>43</v>
      </c>
      <c r="B52" s="27" t="s">
        <v>0</v>
      </c>
      <c r="C52" s="27"/>
      <c r="D52" s="28"/>
      <c r="E52" s="28"/>
      <c r="F52" s="96">
        <f t="shared" si="1"/>
        <v>2</v>
      </c>
    </row>
    <row r="53" spans="1:6" ht="18.75" customHeight="1" x14ac:dyDescent="0.3">
      <c r="A53" s="30" t="s">
        <v>44</v>
      </c>
      <c r="B53" s="27" t="s">
        <v>0</v>
      </c>
      <c r="C53" s="27"/>
      <c r="D53" s="28"/>
      <c r="E53" s="28"/>
      <c r="F53" s="96">
        <f t="shared" si="1"/>
        <v>2</v>
      </c>
    </row>
    <row r="54" spans="1:6" ht="18.75" customHeight="1" x14ac:dyDescent="0.3">
      <c r="A54" s="30" t="s">
        <v>45</v>
      </c>
      <c r="B54" s="27" t="s">
        <v>0</v>
      </c>
      <c r="C54" s="27"/>
      <c r="D54" s="28"/>
      <c r="E54" s="28"/>
      <c r="F54" s="96">
        <f t="shared" si="1"/>
        <v>2</v>
      </c>
    </row>
    <row r="55" spans="1:6" ht="18.75" customHeight="1" x14ac:dyDescent="0.3">
      <c r="A55" s="30" t="s">
        <v>46</v>
      </c>
      <c r="B55" s="27" t="s">
        <v>0</v>
      </c>
      <c r="C55" s="27"/>
      <c r="D55" s="28"/>
      <c r="E55" s="28"/>
      <c r="F55" s="96">
        <f t="shared" si="1"/>
        <v>2</v>
      </c>
    </row>
    <row r="56" spans="1:6" ht="18.75" customHeight="1" x14ac:dyDescent="0.3">
      <c r="A56" s="30" t="s">
        <v>47</v>
      </c>
      <c r="B56" s="27" t="s">
        <v>0</v>
      </c>
      <c r="C56" s="27"/>
      <c r="D56" s="28"/>
      <c r="E56" s="28"/>
      <c r="F56" s="96">
        <f t="shared" si="1"/>
        <v>2</v>
      </c>
    </row>
  </sheetData>
  <phoneticPr fontId="16" type="noConversion"/>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1A10-AA14-4156-931C-306236D0346B}">
  <dimension ref="A1:I1083"/>
  <sheetViews>
    <sheetView showGridLines="0" zoomScaleNormal="100" zoomScaleSheetLayoutView="80" workbookViewId="0">
      <selection activeCell="G16" sqref="G16"/>
    </sheetView>
  </sheetViews>
  <sheetFormatPr baseColWidth="10" defaultColWidth="11.44140625" defaultRowHeight="18.75" customHeight="1" x14ac:dyDescent="0.3"/>
  <cols>
    <col min="1" max="1" width="2.109375" style="1" customWidth="1"/>
    <col min="2" max="4" width="3.5546875" style="3" customWidth="1"/>
    <col min="5" max="5" width="33.33203125" style="1" customWidth="1"/>
    <col min="6" max="6" width="55.5546875" style="1" customWidth="1"/>
    <col min="7" max="7" width="7.109375" style="1" customWidth="1"/>
    <col min="8" max="8" width="11.44140625" style="1" customWidth="1"/>
    <col min="9" max="9" width="2.109375" style="1" customWidth="1"/>
    <col min="10" max="16384" width="11.44140625" style="1"/>
  </cols>
  <sheetData>
    <row r="1" spans="1:9" ht="24" customHeight="1" x14ac:dyDescent="0.3">
      <c r="A1" s="2"/>
      <c r="B1" s="57" t="s">
        <v>4</v>
      </c>
      <c r="C1" s="57" t="s">
        <v>5</v>
      </c>
      <c r="D1" s="57" t="s">
        <v>6</v>
      </c>
      <c r="E1" s="65" t="s">
        <v>7</v>
      </c>
      <c r="F1" s="65" t="s">
        <v>1083</v>
      </c>
      <c r="G1" s="62" t="s">
        <v>1151</v>
      </c>
      <c r="H1" s="63" t="s">
        <v>8</v>
      </c>
      <c r="I1" s="2"/>
    </row>
    <row r="2" spans="1:9" ht="18.75" customHeight="1" x14ac:dyDescent="0.3">
      <c r="A2" s="2"/>
      <c r="B2" s="5" t="s">
        <v>9</v>
      </c>
      <c r="C2" s="6"/>
      <c r="D2" s="6"/>
      <c r="E2" s="7" t="str">
        <f>IF(B2=0,"",VLOOKUP(B2,Daten!$A$1:$B$56,2,FALSE))</f>
        <v>Maßnahmenstufe 1</v>
      </c>
      <c r="F2" s="7" t="str">
        <f>VLOOKUP(E2,Daten!$B$2:$C$56,2,)</f>
        <v>Mindeststandards</v>
      </c>
      <c r="G2" s="8"/>
      <c r="H2" s="9"/>
      <c r="I2" s="2"/>
    </row>
    <row r="3" spans="1:9" ht="18.75" customHeight="1" x14ac:dyDescent="0.3">
      <c r="A3" s="2"/>
      <c r="B3" s="10" t="s">
        <v>10</v>
      </c>
      <c r="C3" s="11"/>
      <c r="D3" s="11"/>
      <c r="E3" s="12" t="str">
        <f>IF(B3=0,"",VLOOKUP(B3,Daten!$A$2:$B$56,2,FALSE))</f>
        <v>Schutzleitfaden-100</v>
      </c>
      <c r="F3" s="12" t="str">
        <f>VLOOKUP(E3,Daten!$B$2:$C$56,2,)</f>
        <v>Freie Lüftung</v>
      </c>
      <c r="G3" s="13"/>
      <c r="H3" s="14"/>
      <c r="I3" s="2"/>
    </row>
    <row r="4" spans="1:9" ht="54" x14ac:dyDescent="0.3">
      <c r="A4" s="2"/>
      <c r="B4" s="15">
        <v>1</v>
      </c>
      <c r="C4" s="15">
        <v>1</v>
      </c>
      <c r="D4" s="16">
        <f>ROW(A4)-(ROW(A$3))</f>
        <v>1</v>
      </c>
      <c r="E4" s="17" t="s">
        <v>120</v>
      </c>
      <c r="F4" s="66" t="s">
        <v>118</v>
      </c>
      <c r="G4" s="18" t="s">
        <v>11</v>
      </c>
      <c r="H4" s="19"/>
      <c r="I4" s="2"/>
    </row>
    <row r="5" spans="1:9" ht="21.6" x14ac:dyDescent="0.3">
      <c r="A5" s="2"/>
      <c r="B5" s="15">
        <v>1</v>
      </c>
      <c r="C5" s="15">
        <v>1</v>
      </c>
      <c r="D5" s="16">
        <f t="shared" ref="D5:D16" si="0">ROW(A5)-(ROW(A$3))</f>
        <v>2</v>
      </c>
      <c r="E5" s="17" t="s">
        <v>121</v>
      </c>
      <c r="F5" s="66" t="s">
        <v>119</v>
      </c>
      <c r="G5" s="18" t="s">
        <v>11</v>
      </c>
      <c r="H5" s="19"/>
      <c r="I5" s="2"/>
    </row>
    <row r="6" spans="1:9" ht="32.4" x14ac:dyDescent="0.3">
      <c r="A6" s="2"/>
      <c r="B6" s="15">
        <v>1</v>
      </c>
      <c r="C6" s="15">
        <v>1</v>
      </c>
      <c r="D6" s="16">
        <f t="shared" si="0"/>
        <v>3</v>
      </c>
      <c r="E6" s="17" t="s">
        <v>1084</v>
      </c>
      <c r="F6" s="66" t="s">
        <v>1085</v>
      </c>
      <c r="G6" s="18" t="s">
        <v>11</v>
      </c>
      <c r="H6" s="19"/>
      <c r="I6" s="2"/>
    </row>
    <row r="7" spans="1:9" ht="21.6" x14ac:dyDescent="0.3">
      <c r="A7" s="2"/>
      <c r="B7" s="15">
        <v>1</v>
      </c>
      <c r="C7" s="15">
        <v>1</v>
      </c>
      <c r="D7" s="16">
        <f t="shared" si="0"/>
        <v>4</v>
      </c>
      <c r="E7" s="17" t="s">
        <v>1087</v>
      </c>
      <c r="F7" s="66" t="s">
        <v>1086</v>
      </c>
      <c r="G7" s="18" t="s">
        <v>11</v>
      </c>
      <c r="H7" s="19"/>
      <c r="I7" s="2"/>
    </row>
    <row r="8" spans="1:9" ht="13.2" x14ac:dyDescent="0.3">
      <c r="A8" s="2"/>
      <c r="B8" s="15">
        <v>1</v>
      </c>
      <c r="C8" s="15">
        <v>1</v>
      </c>
      <c r="D8" s="16">
        <f t="shared" si="0"/>
        <v>5</v>
      </c>
      <c r="E8" s="17" t="s">
        <v>166</v>
      </c>
      <c r="F8" s="66" t="s">
        <v>161</v>
      </c>
      <c r="G8" s="18" t="s">
        <v>11</v>
      </c>
      <c r="H8" s="19"/>
      <c r="I8" s="2"/>
    </row>
    <row r="9" spans="1:9" ht="21.6" x14ac:dyDescent="0.3">
      <c r="A9" s="2"/>
      <c r="B9" s="15">
        <v>1</v>
      </c>
      <c r="C9" s="15">
        <v>1</v>
      </c>
      <c r="D9" s="16">
        <f t="shared" si="0"/>
        <v>6</v>
      </c>
      <c r="E9" s="17" t="s">
        <v>173</v>
      </c>
      <c r="F9" s="66" t="s">
        <v>170</v>
      </c>
      <c r="G9" s="18" t="s">
        <v>11</v>
      </c>
      <c r="H9" s="19"/>
      <c r="I9" s="2"/>
    </row>
    <row r="10" spans="1:9" ht="21.6" x14ac:dyDescent="0.3">
      <c r="A10" s="2"/>
      <c r="B10" s="15">
        <v>1</v>
      </c>
      <c r="C10" s="15">
        <v>1</v>
      </c>
      <c r="D10" s="16">
        <f t="shared" si="0"/>
        <v>7</v>
      </c>
      <c r="E10" s="17" t="s">
        <v>174</v>
      </c>
      <c r="F10" s="66" t="s">
        <v>171</v>
      </c>
      <c r="G10" s="18" t="s">
        <v>11</v>
      </c>
      <c r="H10" s="19"/>
      <c r="I10" s="2"/>
    </row>
    <row r="11" spans="1:9" ht="21.6" x14ac:dyDescent="0.3">
      <c r="A11" s="2"/>
      <c r="B11" s="15">
        <v>1</v>
      </c>
      <c r="C11" s="15">
        <v>1</v>
      </c>
      <c r="D11" s="16">
        <f t="shared" si="0"/>
        <v>8</v>
      </c>
      <c r="E11" s="17" t="s">
        <v>175</v>
      </c>
      <c r="F11" s="66" t="s">
        <v>172</v>
      </c>
      <c r="G11" s="18" t="s">
        <v>11</v>
      </c>
      <c r="H11" s="19"/>
      <c r="I11" s="2"/>
    </row>
    <row r="12" spans="1:9" ht="54" x14ac:dyDescent="0.3">
      <c r="A12" s="2"/>
      <c r="B12" s="15">
        <v>1</v>
      </c>
      <c r="C12" s="15">
        <v>1</v>
      </c>
      <c r="D12" s="16">
        <f t="shared" si="0"/>
        <v>9</v>
      </c>
      <c r="E12" s="17" t="s">
        <v>167</v>
      </c>
      <c r="F12" s="66" t="s">
        <v>162</v>
      </c>
      <c r="G12" s="18" t="s">
        <v>11</v>
      </c>
      <c r="H12" s="19"/>
      <c r="I12" s="2"/>
    </row>
    <row r="13" spans="1:9" ht="21.6" x14ac:dyDescent="0.3">
      <c r="A13" s="2"/>
      <c r="B13" s="15">
        <v>1</v>
      </c>
      <c r="C13" s="15">
        <v>1</v>
      </c>
      <c r="D13" s="16">
        <f t="shared" si="0"/>
        <v>10</v>
      </c>
      <c r="E13" s="17" t="s">
        <v>168</v>
      </c>
      <c r="F13" s="66" t="s">
        <v>163</v>
      </c>
      <c r="G13" s="18" t="s">
        <v>11</v>
      </c>
      <c r="H13" s="19"/>
      <c r="I13" s="2"/>
    </row>
    <row r="14" spans="1:9" ht="21.6" x14ac:dyDescent="0.3">
      <c r="A14" s="2"/>
      <c r="B14" s="15">
        <v>1</v>
      </c>
      <c r="C14" s="15">
        <v>1</v>
      </c>
      <c r="D14" s="16">
        <f t="shared" si="0"/>
        <v>11</v>
      </c>
      <c r="E14" s="17" t="s">
        <v>120</v>
      </c>
      <c r="F14" s="67" t="s">
        <v>164</v>
      </c>
      <c r="G14" s="18" t="s">
        <v>11</v>
      </c>
      <c r="H14" s="19"/>
      <c r="I14" s="2"/>
    </row>
    <row r="15" spans="1:9" ht="21.6" x14ac:dyDescent="0.3">
      <c r="A15" s="2"/>
      <c r="B15" s="15">
        <v>1</v>
      </c>
      <c r="C15" s="15">
        <v>1</v>
      </c>
      <c r="D15" s="16">
        <f t="shared" si="0"/>
        <v>12</v>
      </c>
      <c r="E15" s="17" t="s">
        <v>169</v>
      </c>
      <c r="F15" s="66" t="s">
        <v>165</v>
      </c>
      <c r="G15" s="18" t="s">
        <v>11</v>
      </c>
      <c r="H15" s="19"/>
      <c r="I15" s="2"/>
    </row>
    <row r="16" spans="1:9" ht="32.4" x14ac:dyDescent="0.3">
      <c r="A16" s="2"/>
      <c r="B16" s="15">
        <v>1</v>
      </c>
      <c r="C16" s="15">
        <v>1</v>
      </c>
      <c r="D16" s="16">
        <f t="shared" si="0"/>
        <v>13</v>
      </c>
      <c r="E16" s="17" t="s">
        <v>177</v>
      </c>
      <c r="F16" s="66" t="s">
        <v>176</v>
      </c>
      <c r="G16" s="18" t="s">
        <v>11</v>
      </c>
      <c r="H16" s="19"/>
      <c r="I16" s="2"/>
    </row>
    <row r="17" spans="1:9" ht="18.75" customHeight="1" x14ac:dyDescent="0.3">
      <c r="A17" s="2"/>
      <c r="B17" s="10" t="s">
        <v>12</v>
      </c>
      <c r="C17" s="11"/>
      <c r="D17" s="11"/>
      <c r="E17" s="12" t="str">
        <f>IF(B17=0,"",VLOOKUP(B17,Daten!$A$2:$B$56,2,FALSE))</f>
        <v>Schutzleitfaden-LA101</v>
      </c>
      <c r="F17" s="12" t="str">
        <f>VLOOKUP(E17,Daten!$B$2:$C$56,2,)</f>
        <v>Bereitstellen und Lagern</v>
      </c>
      <c r="G17" s="13"/>
      <c r="H17" s="14"/>
      <c r="I17" s="2"/>
    </row>
    <row r="18" spans="1:9" ht="21.6" x14ac:dyDescent="0.3">
      <c r="A18" s="2"/>
      <c r="B18" s="15">
        <v>1</v>
      </c>
      <c r="C18" s="15">
        <v>2</v>
      </c>
      <c r="D18" s="16">
        <f>ROW(A18)-(ROW(A$17))</f>
        <v>1</v>
      </c>
      <c r="E18" s="17" t="s">
        <v>236</v>
      </c>
      <c r="F18" s="66" t="s">
        <v>232</v>
      </c>
      <c r="G18" s="18" t="s">
        <v>11</v>
      </c>
      <c r="H18" s="19"/>
      <c r="I18" s="2"/>
    </row>
    <row r="19" spans="1:9" ht="21.6" x14ac:dyDescent="0.3">
      <c r="A19" s="2"/>
      <c r="B19" s="15">
        <v>1</v>
      </c>
      <c r="C19" s="15">
        <v>2</v>
      </c>
      <c r="D19" s="16">
        <f t="shared" ref="D19:D52" si="1">ROW(A19)-(ROW(A$17))</f>
        <v>2</v>
      </c>
      <c r="E19" s="17" t="s">
        <v>234</v>
      </c>
      <c r="F19" s="66" t="s">
        <v>233</v>
      </c>
      <c r="G19" s="18" t="s">
        <v>11</v>
      </c>
      <c r="H19" s="19"/>
      <c r="I19" s="2"/>
    </row>
    <row r="20" spans="1:9" ht="13.2" x14ac:dyDescent="0.3">
      <c r="A20" s="2"/>
      <c r="B20" s="15">
        <v>1</v>
      </c>
      <c r="C20" s="15">
        <v>2</v>
      </c>
      <c r="D20" s="16">
        <f t="shared" si="1"/>
        <v>3</v>
      </c>
      <c r="E20" s="17" t="s">
        <v>235</v>
      </c>
      <c r="F20" s="66" t="s">
        <v>207</v>
      </c>
      <c r="G20" s="18" t="s">
        <v>11</v>
      </c>
      <c r="H20" s="19"/>
      <c r="I20" s="2"/>
    </row>
    <row r="21" spans="1:9" ht="21.6" x14ac:dyDescent="0.3">
      <c r="A21" s="2"/>
      <c r="B21" s="15">
        <v>1</v>
      </c>
      <c r="C21" s="15">
        <v>2</v>
      </c>
      <c r="D21" s="16">
        <f t="shared" si="1"/>
        <v>4</v>
      </c>
      <c r="E21" s="17" t="s">
        <v>1088</v>
      </c>
      <c r="F21" s="66" t="s">
        <v>208</v>
      </c>
      <c r="G21" s="18" t="s">
        <v>11</v>
      </c>
      <c r="H21" s="19"/>
      <c r="I21" s="2"/>
    </row>
    <row r="22" spans="1:9" ht="21.6" x14ac:dyDescent="0.3">
      <c r="A22" s="2"/>
      <c r="B22" s="15">
        <v>1</v>
      </c>
      <c r="C22" s="15">
        <v>2</v>
      </c>
      <c r="D22" s="16">
        <f t="shared" si="1"/>
        <v>5</v>
      </c>
      <c r="E22" s="17" t="s">
        <v>237</v>
      </c>
      <c r="F22" s="66" t="s">
        <v>209</v>
      </c>
      <c r="G22" s="18" t="s">
        <v>11</v>
      </c>
      <c r="H22" s="19"/>
      <c r="I22" s="2"/>
    </row>
    <row r="23" spans="1:9" ht="32.4" x14ac:dyDescent="0.3">
      <c r="A23" s="2"/>
      <c r="B23" s="15">
        <v>1</v>
      </c>
      <c r="C23" s="15">
        <v>2</v>
      </c>
      <c r="D23" s="16">
        <f t="shared" si="1"/>
        <v>6</v>
      </c>
      <c r="E23" s="17" t="s">
        <v>238</v>
      </c>
      <c r="F23" s="66" t="s">
        <v>210</v>
      </c>
      <c r="G23" s="18" t="s">
        <v>11</v>
      </c>
      <c r="H23" s="19"/>
      <c r="I23" s="2"/>
    </row>
    <row r="24" spans="1:9" ht="32.4" x14ac:dyDescent="0.3">
      <c r="A24" s="2"/>
      <c r="B24" s="15">
        <v>1</v>
      </c>
      <c r="C24" s="15">
        <v>2</v>
      </c>
      <c r="D24" s="16">
        <f t="shared" si="1"/>
        <v>7</v>
      </c>
      <c r="E24" s="17" t="s">
        <v>239</v>
      </c>
      <c r="F24" s="66" t="s">
        <v>211</v>
      </c>
      <c r="G24" s="18" t="s">
        <v>11</v>
      </c>
      <c r="H24" s="19"/>
      <c r="I24" s="2"/>
    </row>
    <row r="25" spans="1:9" ht="21.6" x14ac:dyDescent="0.3">
      <c r="A25" s="2"/>
      <c r="B25" s="15">
        <v>1</v>
      </c>
      <c r="C25" s="15">
        <v>2</v>
      </c>
      <c r="D25" s="16">
        <f t="shared" si="1"/>
        <v>8</v>
      </c>
      <c r="E25" s="17" t="s">
        <v>1089</v>
      </c>
      <c r="F25" s="66" t="s">
        <v>212</v>
      </c>
      <c r="G25" s="18" t="s">
        <v>11</v>
      </c>
      <c r="H25" s="19"/>
      <c r="I25" s="2"/>
    </row>
    <row r="26" spans="1:9" ht="32.4" x14ac:dyDescent="0.3">
      <c r="A26" s="2"/>
      <c r="B26" s="15">
        <v>1</v>
      </c>
      <c r="C26" s="15">
        <v>2</v>
      </c>
      <c r="D26" s="16">
        <f t="shared" si="1"/>
        <v>9</v>
      </c>
      <c r="E26" s="17" t="s">
        <v>240</v>
      </c>
      <c r="F26" s="66" t="s">
        <v>213</v>
      </c>
      <c r="G26" s="18" t="s">
        <v>11</v>
      </c>
      <c r="H26" s="19"/>
      <c r="I26" s="2"/>
    </row>
    <row r="27" spans="1:9" ht="43.2" x14ac:dyDescent="0.3">
      <c r="A27" s="2"/>
      <c r="B27" s="15">
        <v>1</v>
      </c>
      <c r="C27" s="15">
        <v>2</v>
      </c>
      <c r="D27" s="16">
        <f t="shared" si="1"/>
        <v>10</v>
      </c>
      <c r="E27" s="17" t="s">
        <v>241</v>
      </c>
      <c r="F27" s="66" t="s">
        <v>1090</v>
      </c>
      <c r="G27" s="18" t="s">
        <v>11</v>
      </c>
      <c r="H27" s="19"/>
      <c r="I27" s="2"/>
    </row>
    <row r="28" spans="1:9" ht="54" x14ac:dyDescent="0.3">
      <c r="A28" s="2"/>
      <c r="B28" s="15">
        <v>1</v>
      </c>
      <c r="C28" s="15">
        <v>2</v>
      </c>
      <c r="D28" s="16">
        <f t="shared" si="1"/>
        <v>11</v>
      </c>
      <c r="E28" s="17" t="s">
        <v>242</v>
      </c>
      <c r="F28" s="66" t="s">
        <v>214</v>
      </c>
      <c r="G28" s="18" t="s">
        <v>11</v>
      </c>
      <c r="H28" s="19"/>
      <c r="I28" s="2"/>
    </row>
    <row r="29" spans="1:9" ht="21.6" x14ac:dyDescent="0.3">
      <c r="A29" s="2"/>
      <c r="B29" s="15">
        <v>1</v>
      </c>
      <c r="C29" s="15">
        <v>2</v>
      </c>
      <c r="D29" s="16">
        <f t="shared" si="1"/>
        <v>12</v>
      </c>
      <c r="E29" s="17" t="s">
        <v>243</v>
      </c>
      <c r="F29" s="66" t="s">
        <v>215</v>
      </c>
      <c r="G29" s="18" t="s">
        <v>11</v>
      </c>
      <c r="H29" s="19"/>
      <c r="I29" s="2"/>
    </row>
    <row r="30" spans="1:9" ht="21.6" x14ac:dyDescent="0.3">
      <c r="A30" s="2"/>
      <c r="B30" s="15">
        <v>1</v>
      </c>
      <c r="C30" s="15">
        <v>2</v>
      </c>
      <c r="D30" s="16">
        <f t="shared" si="1"/>
        <v>13</v>
      </c>
      <c r="E30" s="17" t="s">
        <v>245</v>
      </c>
      <c r="F30" s="66" t="s">
        <v>244</v>
      </c>
      <c r="G30" s="18" t="s">
        <v>11</v>
      </c>
      <c r="H30" s="19"/>
      <c r="I30" s="2"/>
    </row>
    <row r="31" spans="1:9" ht="32.4" x14ac:dyDescent="0.3">
      <c r="A31" s="2"/>
      <c r="B31" s="15">
        <v>1</v>
      </c>
      <c r="C31" s="15">
        <v>2</v>
      </c>
      <c r="D31" s="16">
        <f t="shared" si="1"/>
        <v>14</v>
      </c>
      <c r="E31" s="17" t="s">
        <v>246</v>
      </c>
      <c r="F31" s="66" t="s">
        <v>216</v>
      </c>
      <c r="G31" s="18" t="s">
        <v>11</v>
      </c>
      <c r="H31" s="19"/>
      <c r="I31" s="2"/>
    </row>
    <row r="32" spans="1:9" ht="21.6" x14ac:dyDescent="0.3">
      <c r="A32" s="2"/>
      <c r="B32" s="15">
        <v>1</v>
      </c>
      <c r="C32" s="15">
        <v>2</v>
      </c>
      <c r="D32" s="16">
        <f t="shared" si="1"/>
        <v>15</v>
      </c>
      <c r="E32" s="17" t="s">
        <v>249</v>
      </c>
      <c r="F32" s="66" t="s">
        <v>217</v>
      </c>
      <c r="G32" s="18" t="s">
        <v>11</v>
      </c>
      <c r="H32" s="19"/>
      <c r="I32" s="2"/>
    </row>
    <row r="33" spans="1:9" ht="21.6" x14ac:dyDescent="0.3">
      <c r="A33" s="2"/>
      <c r="B33" s="15">
        <v>1</v>
      </c>
      <c r="C33" s="15">
        <v>2</v>
      </c>
      <c r="D33" s="16">
        <f t="shared" si="1"/>
        <v>16</v>
      </c>
      <c r="E33" s="17" t="s">
        <v>247</v>
      </c>
      <c r="F33" s="66" t="s">
        <v>218</v>
      </c>
      <c r="G33" s="18" t="s">
        <v>11</v>
      </c>
      <c r="H33" s="19"/>
      <c r="I33" s="2"/>
    </row>
    <row r="34" spans="1:9" ht="32.4" x14ac:dyDescent="0.3">
      <c r="A34" s="2"/>
      <c r="B34" s="15">
        <v>1</v>
      </c>
      <c r="C34" s="15">
        <v>2</v>
      </c>
      <c r="D34" s="16">
        <f t="shared" si="1"/>
        <v>17</v>
      </c>
      <c r="E34" s="17" t="s">
        <v>248</v>
      </c>
      <c r="F34" s="66" t="s">
        <v>219</v>
      </c>
      <c r="G34" s="18" t="s">
        <v>11</v>
      </c>
      <c r="H34" s="19"/>
      <c r="I34" s="2"/>
    </row>
    <row r="35" spans="1:9" ht="21.6" x14ac:dyDescent="0.3">
      <c r="A35" s="2"/>
      <c r="B35" s="15">
        <v>1</v>
      </c>
      <c r="C35" s="15">
        <v>2</v>
      </c>
      <c r="D35" s="16">
        <f t="shared" si="1"/>
        <v>18</v>
      </c>
      <c r="E35" s="17" t="s">
        <v>250</v>
      </c>
      <c r="F35" s="66" t="s">
        <v>220</v>
      </c>
      <c r="G35" s="18" t="s">
        <v>11</v>
      </c>
      <c r="H35" s="19"/>
      <c r="I35" s="2"/>
    </row>
    <row r="36" spans="1:9" ht="21.6" x14ac:dyDescent="0.3">
      <c r="A36" s="2"/>
      <c r="B36" s="15">
        <v>1</v>
      </c>
      <c r="C36" s="15">
        <v>2</v>
      </c>
      <c r="D36" s="16">
        <f t="shared" si="1"/>
        <v>19</v>
      </c>
      <c r="E36" s="17" t="s">
        <v>251</v>
      </c>
      <c r="F36" s="66" t="s">
        <v>221</v>
      </c>
      <c r="G36" s="18" t="s">
        <v>11</v>
      </c>
      <c r="H36" s="19"/>
      <c r="I36" s="2"/>
    </row>
    <row r="37" spans="1:9" ht="21.6" x14ac:dyDescent="0.3">
      <c r="A37" s="2"/>
      <c r="B37" s="15">
        <v>1</v>
      </c>
      <c r="C37" s="15">
        <v>2</v>
      </c>
      <c r="D37" s="16">
        <f t="shared" si="1"/>
        <v>20</v>
      </c>
      <c r="E37" s="17" t="s">
        <v>252</v>
      </c>
      <c r="F37" s="66" t="s">
        <v>222</v>
      </c>
      <c r="G37" s="18" t="s">
        <v>11</v>
      </c>
      <c r="H37" s="19"/>
      <c r="I37" s="2"/>
    </row>
    <row r="38" spans="1:9" ht="43.2" x14ac:dyDescent="0.3">
      <c r="A38" s="2"/>
      <c r="B38" s="15">
        <v>1</v>
      </c>
      <c r="C38" s="15">
        <v>2</v>
      </c>
      <c r="D38" s="16">
        <f t="shared" si="1"/>
        <v>21</v>
      </c>
      <c r="E38" s="17" t="s">
        <v>254</v>
      </c>
      <c r="F38" s="66" t="s">
        <v>253</v>
      </c>
      <c r="G38" s="18" t="s">
        <v>11</v>
      </c>
      <c r="H38" s="19"/>
      <c r="I38" s="2"/>
    </row>
    <row r="39" spans="1:9" ht="21.6" x14ac:dyDescent="0.3">
      <c r="A39" s="2"/>
      <c r="B39" s="15">
        <v>1</v>
      </c>
      <c r="C39" s="15">
        <v>2</v>
      </c>
      <c r="D39" s="16">
        <f t="shared" si="1"/>
        <v>22</v>
      </c>
      <c r="E39" s="17" t="s">
        <v>1091</v>
      </c>
      <c r="F39" s="66" t="s">
        <v>223</v>
      </c>
      <c r="G39" s="18" t="s">
        <v>11</v>
      </c>
      <c r="H39" s="19"/>
      <c r="I39" s="2"/>
    </row>
    <row r="40" spans="1:9" ht="21.6" x14ac:dyDescent="0.3">
      <c r="A40" s="2"/>
      <c r="B40" s="15">
        <v>1</v>
      </c>
      <c r="C40" s="15">
        <v>2</v>
      </c>
      <c r="D40" s="16">
        <f t="shared" si="1"/>
        <v>23</v>
      </c>
      <c r="E40" s="17" t="s">
        <v>255</v>
      </c>
      <c r="F40" s="66" t="s">
        <v>224</v>
      </c>
      <c r="G40" s="18" t="s">
        <v>11</v>
      </c>
      <c r="H40" s="19"/>
      <c r="I40" s="2"/>
    </row>
    <row r="41" spans="1:9" ht="75.599999999999994" x14ac:dyDescent="0.3">
      <c r="A41" s="2"/>
      <c r="B41" s="15">
        <v>1</v>
      </c>
      <c r="C41" s="15">
        <v>2</v>
      </c>
      <c r="D41" s="16">
        <f t="shared" si="1"/>
        <v>24</v>
      </c>
      <c r="E41" s="17" t="s">
        <v>256</v>
      </c>
      <c r="F41" s="66" t="s">
        <v>225</v>
      </c>
      <c r="G41" s="18" t="s">
        <v>11</v>
      </c>
      <c r="H41" s="19"/>
      <c r="I41" s="2"/>
    </row>
    <row r="42" spans="1:9" ht="32.4" x14ac:dyDescent="0.3">
      <c r="A42" s="2"/>
      <c r="B42" s="15">
        <v>1</v>
      </c>
      <c r="C42" s="15">
        <v>2</v>
      </c>
      <c r="D42" s="16">
        <f t="shared" si="1"/>
        <v>25</v>
      </c>
      <c r="E42" s="17" t="s">
        <v>257</v>
      </c>
      <c r="F42" s="66" t="s">
        <v>226</v>
      </c>
      <c r="G42" s="18" t="s">
        <v>11</v>
      </c>
      <c r="H42" s="19"/>
      <c r="I42" s="2"/>
    </row>
    <row r="43" spans="1:9" ht="21.6" x14ac:dyDescent="0.3">
      <c r="A43" s="2"/>
      <c r="B43" s="15">
        <v>1</v>
      </c>
      <c r="C43" s="15">
        <v>2</v>
      </c>
      <c r="D43" s="16">
        <f t="shared" si="1"/>
        <v>26</v>
      </c>
      <c r="E43" s="17" t="s">
        <v>258</v>
      </c>
      <c r="F43" s="66" t="s">
        <v>227</v>
      </c>
      <c r="G43" s="18" t="s">
        <v>11</v>
      </c>
      <c r="H43" s="19"/>
      <c r="I43" s="2"/>
    </row>
    <row r="44" spans="1:9" ht="21.6" x14ac:dyDescent="0.3">
      <c r="A44" s="2"/>
      <c r="B44" s="15">
        <v>1</v>
      </c>
      <c r="C44" s="15">
        <v>2</v>
      </c>
      <c r="D44" s="16">
        <f t="shared" si="1"/>
        <v>27</v>
      </c>
      <c r="E44" s="17" t="s">
        <v>260</v>
      </c>
      <c r="F44" s="66" t="s">
        <v>259</v>
      </c>
      <c r="G44" s="18" t="s">
        <v>11</v>
      </c>
      <c r="H44" s="19"/>
      <c r="I44" s="2"/>
    </row>
    <row r="45" spans="1:9" ht="32.4" x14ac:dyDescent="0.3">
      <c r="A45" s="2"/>
      <c r="B45" s="15">
        <v>1</v>
      </c>
      <c r="C45" s="15">
        <v>2</v>
      </c>
      <c r="D45" s="16">
        <f t="shared" si="1"/>
        <v>28</v>
      </c>
      <c r="E45" s="17" t="s">
        <v>261</v>
      </c>
      <c r="F45" s="66" t="s">
        <v>228</v>
      </c>
      <c r="G45" s="18" t="s">
        <v>11</v>
      </c>
      <c r="H45" s="19"/>
      <c r="I45" s="2"/>
    </row>
    <row r="46" spans="1:9" ht="43.2" x14ac:dyDescent="0.3">
      <c r="A46" s="2"/>
      <c r="B46" s="15">
        <v>1</v>
      </c>
      <c r="C46" s="15">
        <v>2</v>
      </c>
      <c r="D46" s="16">
        <f t="shared" si="1"/>
        <v>29</v>
      </c>
      <c r="E46" s="17" t="s">
        <v>263</v>
      </c>
      <c r="F46" s="66" t="s">
        <v>286</v>
      </c>
      <c r="G46" s="18" t="s">
        <v>11</v>
      </c>
      <c r="H46" s="19"/>
      <c r="I46" s="2"/>
    </row>
    <row r="47" spans="1:9" ht="21.6" x14ac:dyDescent="0.3">
      <c r="A47" s="2"/>
      <c r="B47" s="15">
        <v>1</v>
      </c>
      <c r="C47" s="15">
        <v>2</v>
      </c>
      <c r="D47" s="16">
        <f t="shared" si="1"/>
        <v>30</v>
      </c>
      <c r="E47" s="17" t="s">
        <v>262</v>
      </c>
      <c r="F47" s="66" t="s">
        <v>264</v>
      </c>
      <c r="G47" s="18" t="s">
        <v>11</v>
      </c>
      <c r="H47" s="19"/>
      <c r="I47" s="2"/>
    </row>
    <row r="48" spans="1:9" ht="21.6" x14ac:dyDescent="0.3">
      <c r="A48" s="2"/>
      <c r="B48" s="15">
        <v>1</v>
      </c>
      <c r="C48" s="15">
        <v>2</v>
      </c>
      <c r="D48" s="16">
        <f t="shared" si="1"/>
        <v>31</v>
      </c>
      <c r="E48" s="17" t="s">
        <v>266</v>
      </c>
      <c r="F48" s="66" t="s">
        <v>265</v>
      </c>
      <c r="G48" s="18" t="s">
        <v>11</v>
      </c>
      <c r="H48" s="19"/>
      <c r="I48" s="2"/>
    </row>
    <row r="49" spans="1:9" ht="75.599999999999994" x14ac:dyDescent="0.3">
      <c r="A49" s="2"/>
      <c r="B49" s="15">
        <v>1</v>
      </c>
      <c r="C49" s="15">
        <v>2</v>
      </c>
      <c r="D49" s="16">
        <f t="shared" si="1"/>
        <v>32</v>
      </c>
      <c r="E49" s="17" t="s">
        <v>267</v>
      </c>
      <c r="F49" s="66" t="s">
        <v>285</v>
      </c>
      <c r="G49" s="18" t="s">
        <v>11</v>
      </c>
      <c r="H49" s="19"/>
      <c r="I49" s="2"/>
    </row>
    <row r="50" spans="1:9" ht="13.2" x14ac:dyDescent="0.3">
      <c r="A50" s="2"/>
      <c r="B50" s="15">
        <v>1</v>
      </c>
      <c r="C50" s="15">
        <v>2</v>
      </c>
      <c r="D50" s="16">
        <f t="shared" si="1"/>
        <v>33</v>
      </c>
      <c r="E50" s="17" t="s">
        <v>268</v>
      </c>
      <c r="F50" s="66" t="s">
        <v>229</v>
      </c>
      <c r="G50" s="18" t="s">
        <v>11</v>
      </c>
      <c r="H50" s="19"/>
      <c r="I50" s="2"/>
    </row>
    <row r="51" spans="1:9" ht="21.6" x14ac:dyDescent="0.3">
      <c r="A51" s="2"/>
      <c r="B51" s="15">
        <v>1</v>
      </c>
      <c r="C51" s="15">
        <v>2</v>
      </c>
      <c r="D51" s="16">
        <f t="shared" si="1"/>
        <v>34</v>
      </c>
      <c r="E51" s="17" t="s">
        <v>269</v>
      </c>
      <c r="F51" s="66" t="s">
        <v>230</v>
      </c>
      <c r="G51" s="18" t="s">
        <v>11</v>
      </c>
      <c r="H51" s="19"/>
      <c r="I51" s="2"/>
    </row>
    <row r="52" spans="1:9" ht="21.6" x14ac:dyDescent="0.3">
      <c r="A52" s="2"/>
      <c r="B52" s="15">
        <v>1</v>
      </c>
      <c r="C52" s="15">
        <v>2</v>
      </c>
      <c r="D52" s="16">
        <f t="shared" si="1"/>
        <v>35</v>
      </c>
      <c r="E52" s="17" t="s">
        <v>270</v>
      </c>
      <c r="F52" s="66" t="s">
        <v>231</v>
      </c>
      <c r="G52" s="18" t="s">
        <v>11</v>
      </c>
      <c r="H52" s="19"/>
      <c r="I52" s="2"/>
    </row>
    <row r="53" spans="1:9" ht="18.75" customHeight="1" x14ac:dyDescent="0.3">
      <c r="A53" s="2"/>
      <c r="B53" s="10" t="s">
        <v>13</v>
      </c>
      <c r="C53" s="11"/>
      <c r="D53" s="11"/>
      <c r="E53" s="12" t="str">
        <f>IF(B53=0,"",VLOOKUP(B53,Daten!$A$2:$B$56,2,FALSE))</f>
        <v>Schutzleitfaden-102</v>
      </c>
      <c r="F53" s="12" t="str">
        <f>VLOOKUP(E53,Daten!$B$2:$C$56,2,)</f>
        <v>Lagerung von Schüttgütern</v>
      </c>
      <c r="G53" s="13"/>
      <c r="H53" s="14"/>
      <c r="I53" s="2"/>
    </row>
    <row r="54" spans="1:9" ht="13.2" x14ac:dyDescent="0.3">
      <c r="A54" s="2"/>
      <c r="B54" s="15">
        <v>1</v>
      </c>
      <c r="C54" s="15">
        <v>3</v>
      </c>
      <c r="D54" s="16">
        <f>ROW(A54)-(ROW(A$53))</f>
        <v>1</v>
      </c>
      <c r="E54" s="17" t="s">
        <v>192</v>
      </c>
      <c r="F54" s="66" t="s">
        <v>178</v>
      </c>
      <c r="G54" s="18" t="s">
        <v>11</v>
      </c>
      <c r="H54" s="19"/>
      <c r="I54" s="2"/>
    </row>
    <row r="55" spans="1:9" ht="13.2" x14ac:dyDescent="0.3">
      <c r="A55" s="2"/>
      <c r="B55" s="15">
        <v>1</v>
      </c>
      <c r="C55" s="15">
        <v>3</v>
      </c>
      <c r="D55" s="16">
        <f t="shared" ref="D55:D68" si="2">ROW(A55)-(ROW(A$53))</f>
        <v>2</v>
      </c>
      <c r="E55" s="17" t="s">
        <v>193</v>
      </c>
      <c r="F55" s="66" t="s">
        <v>179</v>
      </c>
      <c r="G55" s="18" t="s">
        <v>11</v>
      </c>
      <c r="H55" s="19"/>
      <c r="I55" s="2"/>
    </row>
    <row r="56" spans="1:9" ht="21.6" x14ac:dyDescent="0.3">
      <c r="A56" s="2"/>
      <c r="B56" s="15">
        <v>1</v>
      </c>
      <c r="C56" s="15">
        <v>3</v>
      </c>
      <c r="D56" s="16">
        <f t="shared" si="2"/>
        <v>3</v>
      </c>
      <c r="E56" s="17" t="s">
        <v>1092</v>
      </c>
      <c r="F56" s="66" t="s">
        <v>180</v>
      </c>
      <c r="G56" s="18" t="s">
        <v>11</v>
      </c>
      <c r="H56" s="19"/>
      <c r="I56" s="2"/>
    </row>
    <row r="57" spans="1:9" ht="21.6" x14ac:dyDescent="0.3">
      <c r="A57" s="2"/>
      <c r="B57" s="15">
        <v>1</v>
      </c>
      <c r="C57" s="15">
        <v>3</v>
      </c>
      <c r="D57" s="16">
        <f t="shared" si="2"/>
        <v>4</v>
      </c>
      <c r="E57" s="17" t="s">
        <v>194</v>
      </c>
      <c r="F57" s="66" t="s">
        <v>181</v>
      </c>
      <c r="G57" s="18" t="s">
        <v>11</v>
      </c>
      <c r="H57" s="19"/>
      <c r="I57" s="2"/>
    </row>
    <row r="58" spans="1:9" ht="21.6" x14ac:dyDescent="0.3">
      <c r="A58" s="2"/>
      <c r="B58" s="15">
        <v>1</v>
      </c>
      <c r="C58" s="15">
        <v>3</v>
      </c>
      <c r="D58" s="16">
        <f t="shared" si="2"/>
        <v>5</v>
      </c>
      <c r="E58" s="17" t="s">
        <v>195</v>
      </c>
      <c r="F58" s="66" t="s">
        <v>182</v>
      </c>
      <c r="G58" s="18" t="s">
        <v>11</v>
      </c>
      <c r="H58" s="19"/>
      <c r="I58" s="2"/>
    </row>
    <row r="59" spans="1:9" ht="21.6" x14ac:dyDescent="0.3">
      <c r="A59" s="2"/>
      <c r="B59" s="15">
        <v>1</v>
      </c>
      <c r="C59" s="15">
        <v>3</v>
      </c>
      <c r="D59" s="16">
        <f t="shared" si="2"/>
        <v>6</v>
      </c>
      <c r="E59" s="17" t="s">
        <v>196</v>
      </c>
      <c r="F59" s="66" t="s">
        <v>183</v>
      </c>
      <c r="G59" s="18" t="s">
        <v>11</v>
      </c>
      <c r="H59" s="19"/>
      <c r="I59" s="2"/>
    </row>
    <row r="60" spans="1:9" ht="21.6" x14ac:dyDescent="0.3">
      <c r="A60" s="2"/>
      <c r="B60" s="15">
        <v>1</v>
      </c>
      <c r="C60" s="15">
        <v>3</v>
      </c>
      <c r="D60" s="16">
        <f t="shared" si="2"/>
        <v>7</v>
      </c>
      <c r="E60" s="17" t="s">
        <v>197</v>
      </c>
      <c r="F60" s="66" t="s">
        <v>184</v>
      </c>
      <c r="G60" s="18" t="s">
        <v>11</v>
      </c>
      <c r="H60" s="19"/>
      <c r="I60" s="2"/>
    </row>
    <row r="61" spans="1:9" ht="21.6" x14ac:dyDescent="0.3">
      <c r="A61" s="2"/>
      <c r="B61" s="15">
        <v>1</v>
      </c>
      <c r="C61" s="15">
        <v>3</v>
      </c>
      <c r="D61" s="16">
        <f t="shared" si="2"/>
        <v>8</v>
      </c>
      <c r="E61" s="17" t="s">
        <v>198</v>
      </c>
      <c r="F61" s="66" t="s">
        <v>185</v>
      </c>
      <c r="G61" s="18" t="s">
        <v>11</v>
      </c>
      <c r="H61" s="19"/>
      <c r="I61" s="2"/>
    </row>
    <row r="62" spans="1:9" ht="21.6" x14ac:dyDescent="0.3">
      <c r="A62" s="2"/>
      <c r="B62" s="15">
        <v>1</v>
      </c>
      <c r="C62" s="15">
        <v>3</v>
      </c>
      <c r="D62" s="16">
        <f t="shared" si="2"/>
        <v>9</v>
      </c>
      <c r="E62" s="17" t="s">
        <v>199</v>
      </c>
      <c r="F62" s="66" t="s">
        <v>186</v>
      </c>
      <c r="G62" s="18" t="s">
        <v>11</v>
      </c>
      <c r="H62" s="19"/>
      <c r="I62" s="2"/>
    </row>
    <row r="63" spans="1:9" ht="21.6" x14ac:dyDescent="0.3">
      <c r="A63" s="2"/>
      <c r="B63" s="15">
        <v>1</v>
      </c>
      <c r="C63" s="15">
        <v>3</v>
      </c>
      <c r="D63" s="16">
        <f t="shared" si="2"/>
        <v>10</v>
      </c>
      <c r="E63" s="17" t="s">
        <v>200</v>
      </c>
      <c r="F63" s="66" t="s">
        <v>187</v>
      </c>
      <c r="G63" s="18" t="s">
        <v>11</v>
      </c>
      <c r="H63" s="19"/>
      <c r="I63" s="2"/>
    </row>
    <row r="64" spans="1:9" ht="21.6" x14ac:dyDescent="0.3">
      <c r="A64" s="2"/>
      <c r="B64" s="15">
        <v>1</v>
      </c>
      <c r="C64" s="15">
        <v>3</v>
      </c>
      <c r="D64" s="16">
        <f t="shared" si="2"/>
        <v>11</v>
      </c>
      <c r="E64" s="17" t="s">
        <v>201</v>
      </c>
      <c r="F64" s="66" t="s">
        <v>188</v>
      </c>
      <c r="G64" s="18" t="s">
        <v>11</v>
      </c>
      <c r="H64" s="19"/>
      <c r="I64" s="2"/>
    </row>
    <row r="65" spans="1:9" ht="13.2" x14ac:dyDescent="0.3">
      <c r="A65" s="2"/>
      <c r="B65" s="15">
        <v>1</v>
      </c>
      <c r="C65" s="15">
        <v>3</v>
      </c>
      <c r="D65" s="16">
        <f t="shared" si="2"/>
        <v>12</v>
      </c>
      <c r="E65" s="17" t="s">
        <v>202</v>
      </c>
      <c r="F65" s="66" t="s">
        <v>189</v>
      </c>
      <c r="G65" s="18" t="s">
        <v>11</v>
      </c>
      <c r="H65" s="19"/>
      <c r="I65" s="2"/>
    </row>
    <row r="66" spans="1:9" ht="32.4" x14ac:dyDescent="0.3">
      <c r="A66" s="2"/>
      <c r="B66" s="15">
        <v>1</v>
      </c>
      <c r="C66" s="15">
        <v>3</v>
      </c>
      <c r="D66" s="16">
        <f t="shared" si="2"/>
        <v>13</v>
      </c>
      <c r="E66" s="17" t="s">
        <v>204</v>
      </c>
      <c r="F66" s="66" t="s">
        <v>203</v>
      </c>
      <c r="G66" s="18" t="s">
        <v>11</v>
      </c>
      <c r="H66" s="19"/>
      <c r="I66" s="2"/>
    </row>
    <row r="67" spans="1:9" ht="13.2" x14ac:dyDescent="0.3">
      <c r="A67" s="2"/>
      <c r="B67" s="15">
        <v>1</v>
      </c>
      <c r="C67" s="15">
        <v>3</v>
      </c>
      <c r="D67" s="16">
        <f t="shared" si="2"/>
        <v>14</v>
      </c>
      <c r="E67" s="17" t="s">
        <v>205</v>
      </c>
      <c r="F67" s="66" t="s">
        <v>190</v>
      </c>
      <c r="G67" s="18" t="s">
        <v>11</v>
      </c>
      <c r="H67" s="19"/>
      <c r="I67" s="2"/>
    </row>
    <row r="68" spans="1:9" ht="21.6" x14ac:dyDescent="0.3">
      <c r="A68" s="2"/>
      <c r="B68" s="15">
        <v>1</v>
      </c>
      <c r="C68" s="15">
        <v>3</v>
      </c>
      <c r="D68" s="16">
        <f t="shared" si="2"/>
        <v>15</v>
      </c>
      <c r="E68" s="17" t="s">
        <v>206</v>
      </c>
      <c r="F68" s="68" t="s">
        <v>191</v>
      </c>
      <c r="G68" s="18" t="s">
        <v>11</v>
      </c>
      <c r="H68" s="19"/>
      <c r="I68" s="2"/>
    </row>
    <row r="69" spans="1:9" ht="18.75" customHeight="1" x14ac:dyDescent="0.3">
      <c r="A69" s="2"/>
      <c r="B69" s="10" t="s">
        <v>14</v>
      </c>
      <c r="C69" s="11"/>
      <c r="D69" s="11"/>
      <c r="E69" s="12" t="str">
        <f>IF(B69=0,"",VLOOKUP(B69,Daten!$A$2:$B$56,2,FALSE))</f>
        <v>Schutzleitfaden-110</v>
      </c>
      <c r="F69" s="12" t="str">
        <f>VLOOKUP(E69,Daten!$B$2:$C$56,2,)</f>
        <v>Organisations-und Hygienemaßnahmen "Einatmen"</v>
      </c>
      <c r="G69" s="13"/>
      <c r="H69" s="14"/>
      <c r="I69" s="2"/>
    </row>
    <row r="70" spans="1:9" ht="21.6" x14ac:dyDescent="0.3">
      <c r="A70" s="2"/>
      <c r="B70" s="15">
        <v>1</v>
      </c>
      <c r="C70" s="15">
        <v>4</v>
      </c>
      <c r="D70" s="16">
        <f>ROW(A70)-(ROW(A$69))</f>
        <v>1</v>
      </c>
      <c r="E70" s="17" t="s">
        <v>273</v>
      </c>
      <c r="F70" s="66" t="s">
        <v>272</v>
      </c>
      <c r="G70" s="18" t="s">
        <v>11</v>
      </c>
      <c r="H70" s="19"/>
      <c r="I70" s="2"/>
    </row>
    <row r="71" spans="1:9" ht="21.6" x14ac:dyDescent="0.3">
      <c r="A71" s="2"/>
      <c r="B71" s="15">
        <v>1</v>
      </c>
      <c r="C71" s="15">
        <v>4</v>
      </c>
      <c r="D71" s="16">
        <f t="shared" ref="D71:D103" si="3">ROW(A71)-(ROW(A$69))</f>
        <v>2</v>
      </c>
      <c r="E71" s="17" t="s">
        <v>275</v>
      </c>
      <c r="F71" s="66" t="s">
        <v>274</v>
      </c>
      <c r="G71" s="18" t="s">
        <v>11</v>
      </c>
      <c r="H71" s="19"/>
      <c r="I71" s="2"/>
    </row>
    <row r="72" spans="1:9" ht="21.6" x14ac:dyDescent="0.3">
      <c r="A72" s="2"/>
      <c r="B72" s="15">
        <v>1</v>
      </c>
      <c r="C72" s="15">
        <v>4</v>
      </c>
      <c r="D72" s="16">
        <f t="shared" si="3"/>
        <v>3</v>
      </c>
      <c r="E72" s="17" t="s">
        <v>277</v>
      </c>
      <c r="F72" s="66" t="s">
        <v>276</v>
      </c>
      <c r="G72" s="18" t="s">
        <v>11</v>
      </c>
      <c r="H72" s="19"/>
      <c r="I72" s="2"/>
    </row>
    <row r="73" spans="1:9" ht="21.6" x14ac:dyDescent="0.3">
      <c r="A73" s="2"/>
      <c r="B73" s="15">
        <v>1</v>
      </c>
      <c r="C73" s="15">
        <v>4</v>
      </c>
      <c r="D73" s="16">
        <f t="shared" si="3"/>
        <v>4</v>
      </c>
      <c r="E73" s="17" t="s">
        <v>279</v>
      </c>
      <c r="F73" s="66" t="s">
        <v>278</v>
      </c>
      <c r="G73" s="18" t="s">
        <v>11</v>
      </c>
      <c r="H73" s="19"/>
      <c r="I73" s="2"/>
    </row>
    <row r="74" spans="1:9" ht="32.4" x14ac:dyDescent="0.3">
      <c r="A74" s="2"/>
      <c r="B74" s="15">
        <v>1</v>
      </c>
      <c r="C74" s="15">
        <v>4</v>
      </c>
      <c r="D74" s="16">
        <f t="shared" si="3"/>
        <v>5</v>
      </c>
      <c r="E74" s="17" t="s">
        <v>281</v>
      </c>
      <c r="F74" s="66" t="s">
        <v>280</v>
      </c>
      <c r="G74" s="18" t="s">
        <v>11</v>
      </c>
      <c r="H74" s="19"/>
      <c r="I74" s="2"/>
    </row>
    <row r="75" spans="1:9" ht="21.6" x14ac:dyDescent="0.3">
      <c r="A75" s="2"/>
      <c r="B75" s="15">
        <v>1</v>
      </c>
      <c r="C75" s="15">
        <v>4</v>
      </c>
      <c r="D75" s="16">
        <f t="shared" si="3"/>
        <v>6</v>
      </c>
      <c r="E75" s="17" t="s">
        <v>283</v>
      </c>
      <c r="F75" s="66" t="s">
        <v>282</v>
      </c>
      <c r="G75" s="18" t="s">
        <v>11</v>
      </c>
      <c r="H75" s="19"/>
      <c r="I75" s="2"/>
    </row>
    <row r="76" spans="1:9" ht="32.4" x14ac:dyDescent="0.3">
      <c r="A76" s="2"/>
      <c r="B76" s="15">
        <v>1</v>
      </c>
      <c r="C76" s="15">
        <v>4</v>
      </c>
      <c r="D76" s="16">
        <f t="shared" si="3"/>
        <v>7</v>
      </c>
      <c r="E76" s="17" t="s">
        <v>287</v>
      </c>
      <c r="F76" s="66" t="s">
        <v>284</v>
      </c>
      <c r="G76" s="18" t="s">
        <v>11</v>
      </c>
      <c r="H76" s="19"/>
      <c r="I76" s="2"/>
    </row>
    <row r="77" spans="1:9" ht="21.6" x14ac:dyDescent="0.3">
      <c r="A77" s="2"/>
      <c r="B77" s="15">
        <v>1</v>
      </c>
      <c r="C77" s="15">
        <v>4</v>
      </c>
      <c r="D77" s="16">
        <f t="shared" si="3"/>
        <v>8</v>
      </c>
      <c r="E77" s="17" t="s">
        <v>289</v>
      </c>
      <c r="F77" s="66" t="s">
        <v>288</v>
      </c>
      <c r="G77" s="18" t="s">
        <v>11</v>
      </c>
      <c r="H77" s="19"/>
      <c r="I77" s="2"/>
    </row>
    <row r="78" spans="1:9" ht="32.4" x14ac:dyDescent="0.3">
      <c r="A78" s="2"/>
      <c r="B78" s="15">
        <v>1</v>
      </c>
      <c r="C78" s="15">
        <v>4</v>
      </c>
      <c r="D78" s="16">
        <f t="shared" si="3"/>
        <v>9</v>
      </c>
      <c r="E78" s="17" t="s">
        <v>1093</v>
      </c>
      <c r="F78" s="66" t="s">
        <v>1094</v>
      </c>
      <c r="G78" s="18" t="s">
        <v>11</v>
      </c>
      <c r="H78" s="19"/>
      <c r="I78" s="2"/>
    </row>
    <row r="79" spans="1:9" ht="54" x14ac:dyDescent="0.3">
      <c r="A79" s="2"/>
      <c r="B79" s="15">
        <v>1</v>
      </c>
      <c r="C79" s="15">
        <v>4</v>
      </c>
      <c r="D79" s="16">
        <f t="shared" si="3"/>
        <v>10</v>
      </c>
      <c r="E79" s="17" t="s">
        <v>291</v>
      </c>
      <c r="F79" s="66" t="s">
        <v>290</v>
      </c>
      <c r="G79" s="18" t="s">
        <v>11</v>
      </c>
      <c r="H79" s="19"/>
      <c r="I79" s="2"/>
    </row>
    <row r="80" spans="1:9" ht="21.6" x14ac:dyDescent="0.3">
      <c r="A80" s="2"/>
      <c r="B80" s="15">
        <v>1</v>
      </c>
      <c r="C80" s="15">
        <v>4</v>
      </c>
      <c r="D80" s="16">
        <f t="shared" si="3"/>
        <v>11</v>
      </c>
      <c r="E80" s="17" t="s">
        <v>293</v>
      </c>
      <c r="F80" s="66" t="s">
        <v>292</v>
      </c>
      <c r="G80" s="18" t="s">
        <v>11</v>
      </c>
      <c r="H80" s="19"/>
      <c r="I80" s="2"/>
    </row>
    <row r="81" spans="1:9" ht="32.4" x14ac:dyDescent="0.3">
      <c r="A81" s="2"/>
      <c r="B81" s="15">
        <v>1</v>
      </c>
      <c r="C81" s="15">
        <v>4</v>
      </c>
      <c r="D81" s="16">
        <f t="shared" si="3"/>
        <v>12</v>
      </c>
      <c r="E81" s="17" t="s">
        <v>1095</v>
      </c>
      <c r="F81" s="66" t="s">
        <v>294</v>
      </c>
      <c r="G81" s="18" t="s">
        <v>11</v>
      </c>
      <c r="H81" s="19"/>
      <c r="I81" s="2"/>
    </row>
    <row r="82" spans="1:9" ht="32.4" x14ac:dyDescent="0.3">
      <c r="A82" s="2"/>
      <c r="B82" s="15">
        <v>1</v>
      </c>
      <c r="C82" s="15">
        <v>4</v>
      </c>
      <c r="D82" s="16">
        <f t="shared" si="3"/>
        <v>13</v>
      </c>
      <c r="E82" s="17" t="s">
        <v>296</v>
      </c>
      <c r="F82" s="66" t="s">
        <v>295</v>
      </c>
      <c r="G82" s="18" t="s">
        <v>11</v>
      </c>
      <c r="H82" s="19"/>
      <c r="I82" s="2"/>
    </row>
    <row r="83" spans="1:9" ht="21.6" x14ac:dyDescent="0.3">
      <c r="A83" s="2"/>
      <c r="B83" s="15">
        <v>1</v>
      </c>
      <c r="C83" s="15">
        <v>4</v>
      </c>
      <c r="D83" s="16">
        <f t="shared" si="3"/>
        <v>14</v>
      </c>
      <c r="E83" s="17" t="s">
        <v>298</v>
      </c>
      <c r="F83" s="66" t="s">
        <v>297</v>
      </c>
      <c r="G83" s="18" t="s">
        <v>11</v>
      </c>
      <c r="H83" s="19"/>
      <c r="I83" s="2"/>
    </row>
    <row r="84" spans="1:9" ht="21.6" x14ac:dyDescent="0.3">
      <c r="A84" s="2"/>
      <c r="B84" s="15">
        <v>1</v>
      </c>
      <c r="C84" s="15">
        <v>4</v>
      </c>
      <c r="D84" s="16">
        <f t="shared" si="3"/>
        <v>15</v>
      </c>
      <c r="E84" s="17" t="s">
        <v>300</v>
      </c>
      <c r="F84" s="66" t="s">
        <v>299</v>
      </c>
      <c r="G84" s="18" t="s">
        <v>11</v>
      </c>
      <c r="H84" s="19"/>
      <c r="I84" s="2"/>
    </row>
    <row r="85" spans="1:9" ht="21.6" x14ac:dyDescent="0.3">
      <c r="A85" s="2"/>
      <c r="B85" s="15">
        <v>1</v>
      </c>
      <c r="C85" s="15">
        <v>4</v>
      </c>
      <c r="D85" s="16">
        <f t="shared" si="3"/>
        <v>16</v>
      </c>
      <c r="E85" s="17" t="s">
        <v>302</v>
      </c>
      <c r="F85" s="66" t="s">
        <v>301</v>
      </c>
      <c r="G85" s="18" t="s">
        <v>11</v>
      </c>
      <c r="H85" s="19"/>
      <c r="I85" s="2"/>
    </row>
    <row r="86" spans="1:9" ht="32.4" x14ac:dyDescent="0.3">
      <c r="A86" s="2"/>
      <c r="B86" s="15">
        <v>1</v>
      </c>
      <c r="C86" s="15">
        <v>4</v>
      </c>
      <c r="D86" s="16">
        <f t="shared" si="3"/>
        <v>17</v>
      </c>
      <c r="E86" s="17" t="s">
        <v>304</v>
      </c>
      <c r="F86" s="66" t="s">
        <v>303</v>
      </c>
      <c r="G86" s="18" t="s">
        <v>11</v>
      </c>
      <c r="H86" s="19"/>
      <c r="I86" s="2"/>
    </row>
    <row r="87" spans="1:9" ht="86.4" x14ac:dyDescent="0.3">
      <c r="A87" s="2"/>
      <c r="B87" s="15">
        <v>1</v>
      </c>
      <c r="C87" s="15">
        <v>4</v>
      </c>
      <c r="D87" s="16">
        <f t="shared" si="3"/>
        <v>18</v>
      </c>
      <c r="E87" s="17" t="s">
        <v>306</v>
      </c>
      <c r="F87" s="66" t="s">
        <v>305</v>
      </c>
      <c r="G87" s="18" t="s">
        <v>11</v>
      </c>
      <c r="H87" s="19"/>
      <c r="I87" s="2"/>
    </row>
    <row r="88" spans="1:9" ht="54" x14ac:dyDescent="0.3">
      <c r="A88" s="2"/>
      <c r="B88" s="15">
        <v>1</v>
      </c>
      <c r="C88" s="15">
        <v>4</v>
      </c>
      <c r="D88" s="16">
        <f t="shared" si="3"/>
        <v>19</v>
      </c>
      <c r="E88" s="17" t="s">
        <v>1096</v>
      </c>
      <c r="F88" s="66" t="s">
        <v>307</v>
      </c>
      <c r="G88" s="18" t="s">
        <v>11</v>
      </c>
      <c r="H88" s="19"/>
      <c r="I88" s="2"/>
    </row>
    <row r="89" spans="1:9" ht="32.4" x14ac:dyDescent="0.3">
      <c r="A89" s="2"/>
      <c r="B89" s="15">
        <v>1</v>
      </c>
      <c r="C89" s="15">
        <v>4</v>
      </c>
      <c r="D89" s="16">
        <f t="shared" si="3"/>
        <v>20</v>
      </c>
      <c r="E89" s="17" t="s">
        <v>309</v>
      </c>
      <c r="F89" s="66" t="s">
        <v>308</v>
      </c>
      <c r="G89" s="18" t="s">
        <v>11</v>
      </c>
      <c r="H89" s="19"/>
      <c r="I89" s="2"/>
    </row>
    <row r="90" spans="1:9" ht="32.4" x14ac:dyDescent="0.3">
      <c r="A90" s="2"/>
      <c r="B90" s="15">
        <v>1</v>
      </c>
      <c r="C90" s="15">
        <v>4</v>
      </c>
      <c r="D90" s="16">
        <f t="shared" si="3"/>
        <v>21</v>
      </c>
      <c r="E90" s="17" t="s">
        <v>311</v>
      </c>
      <c r="F90" s="66" t="s">
        <v>310</v>
      </c>
      <c r="G90" s="18" t="s">
        <v>11</v>
      </c>
      <c r="H90" s="19"/>
      <c r="I90" s="2"/>
    </row>
    <row r="91" spans="1:9" ht="21.6" x14ac:dyDescent="0.3">
      <c r="A91" s="2"/>
      <c r="B91" s="15">
        <v>1</v>
      </c>
      <c r="C91" s="15">
        <v>4</v>
      </c>
      <c r="D91" s="16">
        <f t="shared" si="3"/>
        <v>22</v>
      </c>
      <c r="E91" s="17" t="s">
        <v>313</v>
      </c>
      <c r="F91" s="66" t="s">
        <v>312</v>
      </c>
      <c r="G91" s="18" t="s">
        <v>11</v>
      </c>
      <c r="H91" s="19"/>
      <c r="I91" s="2"/>
    </row>
    <row r="92" spans="1:9" ht="21.6" x14ac:dyDescent="0.3">
      <c r="A92" s="2"/>
      <c r="B92" s="15">
        <v>1</v>
      </c>
      <c r="C92" s="15">
        <v>4</v>
      </c>
      <c r="D92" s="16">
        <f t="shared" si="3"/>
        <v>23</v>
      </c>
      <c r="E92" s="17" t="s">
        <v>315</v>
      </c>
      <c r="F92" s="66" t="s">
        <v>314</v>
      </c>
      <c r="G92" s="18" t="s">
        <v>11</v>
      </c>
      <c r="H92" s="19"/>
      <c r="I92" s="2"/>
    </row>
    <row r="93" spans="1:9" ht="32.4" x14ac:dyDescent="0.3">
      <c r="A93" s="2"/>
      <c r="B93" s="15">
        <v>1</v>
      </c>
      <c r="C93" s="15">
        <v>4</v>
      </c>
      <c r="D93" s="16">
        <f t="shared" si="3"/>
        <v>24</v>
      </c>
      <c r="E93" s="17" t="s">
        <v>317</v>
      </c>
      <c r="F93" s="66" t="s">
        <v>316</v>
      </c>
      <c r="G93" s="18" t="s">
        <v>11</v>
      </c>
      <c r="H93" s="19"/>
      <c r="I93" s="2"/>
    </row>
    <row r="94" spans="1:9" ht="32.4" x14ac:dyDescent="0.3">
      <c r="A94" s="2"/>
      <c r="B94" s="15">
        <v>1</v>
      </c>
      <c r="C94" s="15">
        <v>4</v>
      </c>
      <c r="D94" s="16">
        <f t="shared" si="3"/>
        <v>25</v>
      </c>
      <c r="E94" s="17" t="s">
        <v>319</v>
      </c>
      <c r="F94" s="66" t="s">
        <v>318</v>
      </c>
      <c r="G94" s="18" t="s">
        <v>11</v>
      </c>
      <c r="H94" s="19"/>
      <c r="I94" s="2"/>
    </row>
    <row r="95" spans="1:9" ht="21.6" x14ac:dyDescent="0.3">
      <c r="A95" s="2"/>
      <c r="B95" s="15">
        <v>1</v>
      </c>
      <c r="C95" s="15">
        <v>4</v>
      </c>
      <c r="D95" s="16">
        <f t="shared" si="3"/>
        <v>26</v>
      </c>
      <c r="E95" s="17" t="s">
        <v>320</v>
      </c>
      <c r="F95" s="66" t="s">
        <v>271</v>
      </c>
      <c r="G95" s="18" t="s">
        <v>11</v>
      </c>
      <c r="H95" s="19"/>
      <c r="I95" s="2"/>
    </row>
    <row r="96" spans="1:9" ht="43.2" x14ac:dyDescent="0.3">
      <c r="A96" s="2"/>
      <c r="B96" s="15">
        <v>1</v>
      </c>
      <c r="C96" s="15">
        <v>4</v>
      </c>
      <c r="D96" s="16">
        <f t="shared" si="3"/>
        <v>27</v>
      </c>
      <c r="E96" s="17" t="s">
        <v>322</v>
      </c>
      <c r="F96" s="66" t="s">
        <v>321</v>
      </c>
      <c r="G96" s="18" t="s">
        <v>11</v>
      </c>
      <c r="H96" s="19"/>
      <c r="I96" s="2"/>
    </row>
    <row r="97" spans="1:9" ht="151.19999999999999" x14ac:dyDescent="0.3">
      <c r="A97" s="2"/>
      <c r="B97" s="15">
        <v>1</v>
      </c>
      <c r="C97" s="15">
        <v>4</v>
      </c>
      <c r="D97" s="16">
        <f t="shared" si="3"/>
        <v>28</v>
      </c>
      <c r="E97" s="17" t="s">
        <v>323</v>
      </c>
      <c r="F97" s="66" t="s">
        <v>324</v>
      </c>
      <c r="G97" s="18" t="s">
        <v>11</v>
      </c>
      <c r="H97" s="19"/>
      <c r="I97" s="2"/>
    </row>
    <row r="98" spans="1:9" ht="43.2" x14ac:dyDescent="0.3">
      <c r="A98" s="2"/>
      <c r="B98" s="15">
        <v>1</v>
      </c>
      <c r="C98" s="15">
        <v>4</v>
      </c>
      <c r="D98" s="16">
        <f t="shared" si="3"/>
        <v>29</v>
      </c>
      <c r="E98" s="17" t="s">
        <v>326</v>
      </c>
      <c r="F98" s="66" t="s">
        <v>325</v>
      </c>
      <c r="G98" s="18" t="s">
        <v>11</v>
      </c>
      <c r="H98" s="19"/>
      <c r="I98" s="2"/>
    </row>
    <row r="99" spans="1:9" ht="32.4" x14ac:dyDescent="0.3">
      <c r="A99" s="2"/>
      <c r="B99" s="15">
        <v>1</v>
      </c>
      <c r="C99" s="15">
        <v>4</v>
      </c>
      <c r="D99" s="16">
        <f t="shared" si="3"/>
        <v>30</v>
      </c>
      <c r="E99" s="17" t="s">
        <v>1097</v>
      </c>
      <c r="F99" s="66" t="s">
        <v>1098</v>
      </c>
      <c r="G99" s="18" t="s">
        <v>11</v>
      </c>
      <c r="H99" s="19"/>
      <c r="I99" s="2"/>
    </row>
    <row r="100" spans="1:9" ht="32.4" x14ac:dyDescent="0.3">
      <c r="A100" s="2"/>
      <c r="B100" s="15">
        <v>1</v>
      </c>
      <c r="C100" s="15">
        <v>4</v>
      </c>
      <c r="D100" s="16">
        <f t="shared" si="3"/>
        <v>31</v>
      </c>
      <c r="E100" s="17" t="s">
        <v>328</v>
      </c>
      <c r="F100" s="66" t="s">
        <v>327</v>
      </c>
      <c r="G100" s="18" t="s">
        <v>11</v>
      </c>
      <c r="H100" s="19"/>
      <c r="I100" s="2"/>
    </row>
    <row r="101" spans="1:9" ht="32.4" x14ac:dyDescent="0.3">
      <c r="A101" s="2"/>
      <c r="B101" s="15">
        <v>1</v>
      </c>
      <c r="C101" s="15">
        <v>4</v>
      </c>
      <c r="D101" s="16">
        <f t="shared" si="3"/>
        <v>32</v>
      </c>
      <c r="E101" s="17" t="s">
        <v>1099</v>
      </c>
      <c r="F101" s="66" t="s">
        <v>329</v>
      </c>
      <c r="G101" s="18" t="s">
        <v>11</v>
      </c>
      <c r="H101" s="19"/>
      <c r="I101" s="2"/>
    </row>
    <row r="102" spans="1:9" ht="21.6" x14ac:dyDescent="0.3">
      <c r="A102" s="2"/>
      <c r="B102" s="15">
        <v>1</v>
      </c>
      <c r="C102" s="15">
        <v>4</v>
      </c>
      <c r="D102" s="16">
        <f t="shared" si="3"/>
        <v>33</v>
      </c>
      <c r="E102" s="17" t="s">
        <v>331</v>
      </c>
      <c r="F102" s="66" t="s">
        <v>330</v>
      </c>
      <c r="G102" s="18" t="s">
        <v>11</v>
      </c>
      <c r="H102" s="19"/>
      <c r="I102" s="2"/>
    </row>
    <row r="103" spans="1:9" ht="21.6" x14ac:dyDescent="0.3">
      <c r="A103" s="2"/>
      <c r="B103" s="15">
        <v>1</v>
      </c>
      <c r="C103" s="15">
        <v>4</v>
      </c>
      <c r="D103" s="16">
        <f t="shared" si="3"/>
        <v>34</v>
      </c>
      <c r="E103" s="17" t="s">
        <v>333</v>
      </c>
      <c r="F103" s="66" t="s">
        <v>332</v>
      </c>
      <c r="G103" s="18" t="s">
        <v>11</v>
      </c>
      <c r="H103" s="19"/>
      <c r="I103" s="2"/>
    </row>
    <row r="104" spans="1:9" ht="18.75" customHeight="1" x14ac:dyDescent="0.3">
      <c r="A104" s="2"/>
      <c r="B104" s="10" t="s">
        <v>15</v>
      </c>
      <c r="C104" s="11"/>
      <c r="D104" s="11"/>
      <c r="E104" s="12" t="str">
        <f>IF(B104=0,"",VLOOKUP(B104,Daten!$A$2:$B$56,2,FALSE))</f>
        <v>Schutzleitfaden-120</v>
      </c>
      <c r="F104" s="12" t="str">
        <f>VLOOKUP(E104,Daten!$B$2:$C$56,2,)</f>
        <v>Organisations-und Hygienemaßnahmen "Haut"</v>
      </c>
      <c r="G104" s="13"/>
      <c r="H104" s="14"/>
      <c r="I104" s="2"/>
    </row>
    <row r="105" spans="1:9" ht="13.2" x14ac:dyDescent="0.3">
      <c r="A105" s="2"/>
      <c r="B105" s="15">
        <v>1</v>
      </c>
      <c r="C105" s="15">
        <v>5</v>
      </c>
      <c r="D105" s="16">
        <f>ROW(A105)-(ROW(A$104))</f>
        <v>1</v>
      </c>
      <c r="E105" s="17" t="s">
        <v>335</v>
      </c>
      <c r="F105" s="66" t="s">
        <v>334</v>
      </c>
      <c r="G105" s="18" t="s">
        <v>11</v>
      </c>
      <c r="H105" s="19"/>
      <c r="I105" s="2"/>
    </row>
    <row r="106" spans="1:9" ht="21.6" x14ac:dyDescent="0.3">
      <c r="A106" s="2"/>
      <c r="B106" s="15">
        <v>1</v>
      </c>
      <c r="C106" s="15">
        <v>5</v>
      </c>
      <c r="D106" s="16">
        <f t="shared" ref="D106:D125" si="4">ROW(A106)-(ROW(A$104))</f>
        <v>2</v>
      </c>
      <c r="E106" s="17" t="s">
        <v>337</v>
      </c>
      <c r="F106" s="66" t="s">
        <v>336</v>
      </c>
      <c r="G106" s="18" t="s">
        <v>11</v>
      </c>
      <c r="H106" s="19"/>
      <c r="I106" s="2"/>
    </row>
    <row r="107" spans="1:9" ht="32.4" x14ac:dyDescent="0.3">
      <c r="A107" s="2"/>
      <c r="B107" s="15">
        <v>1</v>
      </c>
      <c r="C107" s="15">
        <v>5</v>
      </c>
      <c r="D107" s="16">
        <f t="shared" si="4"/>
        <v>3</v>
      </c>
      <c r="E107" s="17" t="s">
        <v>339</v>
      </c>
      <c r="F107" s="66" t="s">
        <v>338</v>
      </c>
      <c r="G107" s="18" t="s">
        <v>11</v>
      </c>
      <c r="H107" s="19"/>
      <c r="I107" s="2"/>
    </row>
    <row r="108" spans="1:9" ht="21.6" x14ac:dyDescent="0.3">
      <c r="A108" s="2"/>
      <c r="B108" s="15">
        <v>1</v>
      </c>
      <c r="C108" s="15">
        <v>5</v>
      </c>
      <c r="D108" s="16">
        <f t="shared" si="4"/>
        <v>4</v>
      </c>
      <c r="E108" s="17" t="s">
        <v>341</v>
      </c>
      <c r="F108" s="66" t="s">
        <v>340</v>
      </c>
      <c r="G108" s="18" t="s">
        <v>11</v>
      </c>
      <c r="H108" s="19"/>
      <c r="I108" s="2"/>
    </row>
    <row r="109" spans="1:9" ht="21.6" x14ac:dyDescent="0.3">
      <c r="A109" s="2"/>
      <c r="B109" s="15">
        <v>1</v>
      </c>
      <c r="C109" s="15">
        <v>5</v>
      </c>
      <c r="D109" s="16">
        <f t="shared" si="4"/>
        <v>5</v>
      </c>
      <c r="E109" s="17" t="s">
        <v>343</v>
      </c>
      <c r="F109" s="66" t="s">
        <v>342</v>
      </c>
      <c r="G109" s="18" t="s">
        <v>11</v>
      </c>
      <c r="H109" s="19"/>
      <c r="I109" s="2"/>
    </row>
    <row r="110" spans="1:9" ht="21.6" x14ac:dyDescent="0.3">
      <c r="A110" s="2"/>
      <c r="B110" s="15">
        <v>1</v>
      </c>
      <c r="C110" s="15">
        <v>5</v>
      </c>
      <c r="D110" s="16">
        <f t="shared" si="4"/>
        <v>6</v>
      </c>
      <c r="E110" s="17" t="s">
        <v>345</v>
      </c>
      <c r="F110" s="66" t="s">
        <v>344</v>
      </c>
      <c r="G110" s="18" t="s">
        <v>11</v>
      </c>
      <c r="H110" s="19"/>
      <c r="I110" s="2"/>
    </row>
    <row r="111" spans="1:9" ht="43.2" x14ac:dyDescent="0.3">
      <c r="A111" s="2"/>
      <c r="B111" s="15">
        <v>1</v>
      </c>
      <c r="C111" s="15">
        <v>5</v>
      </c>
      <c r="D111" s="16">
        <f t="shared" si="4"/>
        <v>7</v>
      </c>
      <c r="E111" s="17" t="s">
        <v>347</v>
      </c>
      <c r="F111" s="66" t="s">
        <v>346</v>
      </c>
      <c r="G111" s="18" t="s">
        <v>11</v>
      </c>
      <c r="H111" s="19"/>
      <c r="I111" s="2"/>
    </row>
    <row r="112" spans="1:9" ht="43.2" x14ac:dyDescent="0.3">
      <c r="A112" s="2"/>
      <c r="B112" s="15">
        <v>1</v>
      </c>
      <c r="C112" s="15">
        <v>5</v>
      </c>
      <c r="D112" s="16">
        <f t="shared" si="4"/>
        <v>8</v>
      </c>
      <c r="E112" s="17" t="s">
        <v>1100</v>
      </c>
      <c r="F112" s="66" t="s">
        <v>348</v>
      </c>
      <c r="G112" s="18" t="s">
        <v>11</v>
      </c>
      <c r="H112" s="19"/>
      <c r="I112" s="2"/>
    </row>
    <row r="113" spans="1:9" ht="32.4" x14ac:dyDescent="0.3">
      <c r="A113" s="2"/>
      <c r="B113" s="15">
        <v>1</v>
      </c>
      <c r="C113" s="15">
        <v>5</v>
      </c>
      <c r="D113" s="16">
        <f t="shared" si="4"/>
        <v>9</v>
      </c>
      <c r="E113" s="17" t="s">
        <v>1101</v>
      </c>
      <c r="F113" s="66" t="s">
        <v>349</v>
      </c>
      <c r="G113" s="18" t="s">
        <v>11</v>
      </c>
      <c r="H113" s="19"/>
      <c r="I113" s="2"/>
    </row>
    <row r="114" spans="1:9" ht="21.6" x14ac:dyDescent="0.3">
      <c r="A114" s="2"/>
      <c r="B114" s="15">
        <v>1</v>
      </c>
      <c r="C114" s="15">
        <v>5</v>
      </c>
      <c r="D114" s="16">
        <f t="shared" si="4"/>
        <v>10</v>
      </c>
      <c r="E114" s="17" t="s">
        <v>351</v>
      </c>
      <c r="F114" s="66" t="s">
        <v>350</v>
      </c>
      <c r="G114" s="18" t="s">
        <v>11</v>
      </c>
      <c r="H114" s="19"/>
      <c r="I114" s="2"/>
    </row>
    <row r="115" spans="1:9" ht="32.4" x14ac:dyDescent="0.3">
      <c r="A115" s="2"/>
      <c r="B115" s="15">
        <v>1</v>
      </c>
      <c r="C115" s="15">
        <v>5</v>
      </c>
      <c r="D115" s="16">
        <f t="shared" si="4"/>
        <v>11</v>
      </c>
      <c r="E115" s="17" t="s">
        <v>353</v>
      </c>
      <c r="F115" s="66" t="s">
        <v>352</v>
      </c>
      <c r="G115" s="18" t="s">
        <v>11</v>
      </c>
      <c r="H115" s="19"/>
      <c r="I115" s="2"/>
    </row>
    <row r="116" spans="1:9" ht="21.6" x14ac:dyDescent="0.3">
      <c r="A116" s="2"/>
      <c r="B116" s="15">
        <v>1</v>
      </c>
      <c r="C116" s="15">
        <v>5</v>
      </c>
      <c r="D116" s="16">
        <f t="shared" si="4"/>
        <v>12</v>
      </c>
      <c r="E116" s="17" t="s">
        <v>355</v>
      </c>
      <c r="F116" s="66" t="s">
        <v>354</v>
      </c>
      <c r="G116" s="18" t="s">
        <v>11</v>
      </c>
      <c r="H116" s="19"/>
      <c r="I116" s="2"/>
    </row>
    <row r="117" spans="1:9" ht="21.6" x14ac:dyDescent="0.3">
      <c r="A117" s="2"/>
      <c r="B117" s="15">
        <v>1</v>
      </c>
      <c r="C117" s="15">
        <v>5</v>
      </c>
      <c r="D117" s="16">
        <f t="shared" si="4"/>
        <v>13</v>
      </c>
      <c r="E117" s="17" t="s">
        <v>357</v>
      </c>
      <c r="F117" s="66" t="s">
        <v>356</v>
      </c>
      <c r="G117" s="18" t="s">
        <v>11</v>
      </c>
      <c r="H117" s="19"/>
      <c r="I117" s="2"/>
    </row>
    <row r="118" spans="1:9" ht="21.6" x14ac:dyDescent="0.3">
      <c r="A118" s="2"/>
      <c r="B118" s="15">
        <v>1</v>
      </c>
      <c r="C118" s="15">
        <v>5</v>
      </c>
      <c r="D118" s="16">
        <f t="shared" si="4"/>
        <v>14</v>
      </c>
      <c r="E118" s="17" t="s">
        <v>359</v>
      </c>
      <c r="F118" s="66" t="s">
        <v>358</v>
      </c>
      <c r="G118" s="18" t="s">
        <v>11</v>
      </c>
      <c r="H118" s="19"/>
      <c r="I118" s="2"/>
    </row>
    <row r="119" spans="1:9" ht="108" x14ac:dyDescent="0.3">
      <c r="A119" s="2"/>
      <c r="B119" s="15">
        <v>1</v>
      </c>
      <c r="C119" s="15">
        <v>5</v>
      </c>
      <c r="D119" s="16">
        <f t="shared" si="4"/>
        <v>15</v>
      </c>
      <c r="E119" s="17" t="s">
        <v>361</v>
      </c>
      <c r="F119" s="66" t="s">
        <v>360</v>
      </c>
      <c r="G119" s="18" t="s">
        <v>11</v>
      </c>
      <c r="H119" s="19"/>
      <c r="I119" s="2"/>
    </row>
    <row r="120" spans="1:9" ht="21.6" x14ac:dyDescent="0.3">
      <c r="A120" s="2"/>
      <c r="B120" s="15">
        <v>1</v>
      </c>
      <c r="C120" s="15">
        <v>5</v>
      </c>
      <c r="D120" s="16">
        <f t="shared" si="4"/>
        <v>16</v>
      </c>
      <c r="E120" s="17" t="s">
        <v>363</v>
      </c>
      <c r="F120" s="66" t="s">
        <v>362</v>
      </c>
      <c r="G120" s="18" t="s">
        <v>11</v>
      </c>
      <c r="H120" s="19"/>
      <c r="I120" s="2"/>
    </row>
    <row r="121" spans="1:9" ht="64.8" x14ac:dyDescent="0.3">
      <c r="A121" s="2"/>
      <c r="B121" s="15">
        <v>1</v>
      </c>
      <c r="C121" s="15">
        <v>5</v>
      </c>
      <c r="D121" s="16">
        <f t="shared" si="4"/>
        <v>17</v>
      </c>
      <c r="E121" s="17" t="s">
        <v>365</v>
      </c>
      <c r="F121" s="66" t="s">
        <v>364</v>
      </c>
      <c r="G121" s="18" t="s">
        <v>11</v>
      </c>
      <c r="H121" s="19"/>
      <c r="I121" s="2"/>
    </row>
    <row r="122" spans="1:9" ht="21.6" x14ac:dyDescent="0.3">
      <c r="A122" s="2"/>
      <c r="B122" s="15">
        <v>1</v>
      </c>
      <c r="C122" s="15">
        <v>5</v>
      </c>
      <c r="D122" s="16">
        <f t="shared" si="4"/>
        <v>18</v>
      </c>
      <c r="E122" s="17" t="s">
        <v>367</v>
      </c>
      <c r="F122" s="66" t="s">
        <v>366</v>
      </c>
      <c r="G122" s="18" t="s">
        <v>11</v>
      </c>
      <c r="H122" s="19"/>
      <c r="I122" s="2"/>
    </row>
    <row r="123" spans="1:9" ht="21.6" x14ac:dyDescent="0.3">
      <c r="A123" s="2"/>
      <c r="B123" s="15">
        <v>1</v>
      </c>
      <c r="C123" s="15">
        <v>5</v>
      </c>
      <c r="D123" s="16">
        <f t="shared" si="4"/>
        <v>19</v>
      </c>
      <c r="E123" s="17" t="s">
        <v>369</v>
      </c>
      <c r="F123" s="66" t="s">
        <v>368</v>
      </c>
      <c r="G123" s="18" t="s">
        <v>11</v>
      </c>
      <c r="H123" s="19"/>
      <c r="I123" s="2"/>
    </row>
    <row r="124" spans="1:9" ht="13.2" x14ac:dyDescent="0.3">
      <c r="A124" s="2"/>
      <c r="B124" s="15">
        <v>1</v>
      </c>
      <c r="C124" s="15">
        <v>5</v>
      </c>
      <c r="D124" s="16">
        <f t="shared" si="4"/>
        <v>20</v>
      </c>
      <c r="E124" s="17" t="s">
        <v>371</v>
      </c>
      <c r="F124" s="66" t="s">
        <v>370</v>
      </c>
      <c r="G124" s="18" t="s">
        <v>11</v>
      </c>
      <c r="H124" s="19"/>
      <c r="I124" s="2"/>
    </row>
    <row r="125" spans="1:9" ht="32.4" x14ac:dyDescent="0.3">
      <c r="A125" s="2"/>
      <c r="B125" s="15">
        <v>1</v>
      </c>
      <c r="C125" s="15">
        <v>5</v>
      </c>
      <c r="D125" s="16">
        <f t="shared" si="4"/>
        <v>21</v>
      </c>
      <c r="E125" s="17" t="s">
        <v>372</v>
      </c>
      <c r="F125" s="66" t="s">
        <v>1147</v>
      </c>
      <c r="G125" s="18" t="s">
        <v>11</v>
      </c>
      <c r="H125" s="19"/>
      <c r="I125" s="2"/>
    </row>
    <row r="126" spans="1:9" ht="18.75" customHeight="1" x14ac:dyDescent="0.3">
      <c r="A126" s="2"/>
      <c r="B126" s="10" t="s">
        <v>16</v>
      </c>
      <c r="C126" s="11"/>
      <c r="D126" s="11"/>
      <c r="E126" s="12" t="str">
        <f>IF(B126=0,"",VLOOKUP(B126,Daten!$A$2:$B$56,2,FALSE))</f>
        <v>Schutzleitfaden-130</v>
      </c>
      <c r="F126" s="12" t="str">
        <f>VLOOKUP(E126,Daten!$B$2:$C$56,2,)</f>
        <v>Drucken, Kopieren</v>
      </c>
      <c r="G126" s="13"/>
      <c r="H126" s="14"/>
      <c r="I126" s="2"/>
    </row>
    <row r="127" spans="1:9" ht="21.6" x14ac:dyDescent="0.3">
      <c r="A127" s="2"/>
      <c r="B127" s="15">
        <v>1</v>
      </c>
      <c r="C127" s="15">
        <v>6</v>
      </c>
      <c r="D127" s="16">
        <f>ROW(A127)-(ROW(A$126))</f>
        <v>1</v>
      </c>
      <c r="E127" s="17" t="s">
        <v>374</v>
      </c>
      <c r="F127" s="66" t="s">
        <v>373</v>
      </c>
      <c r="G127" s="18" t="s">
        <v>11</v>
      </c>
      <c r="H127" s="19"/>
      <c r="I127" s="2"/>
    </row>
    <row r="128" spans="1:9" ht="21.6" x14ac:dyDescent="0.3">
      <c r="A128" s="2"/>
      <c r="B128" s="15">
        <v>1</v>
      </c>
      <c r="C128" s="15">
        <v>6</v>
      </c>
      <c r="D128" s="16">
        <f t="shared" ref="D128:D147" si="5">ROW(A128)-(ROW(A$126))</f>
        <v>2</v>
      </c>
      <c r="E128" s="17" t="s">
        <v>376</v>
      </c>
      <c r="F128" s="66" t="s">
        <v>375</v>
      </c>
      <c r="G128" s="18" t="s">
        <v>11</v>
      </c>
      <c r="H128" s="19"/>
      <c r="I128" s="2"/>
    </row>
    <row r="129" spans="1:9" ht="21.6" x14ac:dyDescent="0.3">
      <c r="A129" s="2"/>
      <c r="B129" s="15">
        <v>1</v>
      </c>
      <c r="C129" s="15">
        <v>6</v>
      </c>
      <c r="D129" s="16">
        <f t="shared" si="5"/>
        <v>3</v>
      </c>
      <c r="E129" s="17" t="s">
        <v>378</v>
      </c>
      <c r="F129" s="66" t="s">
        <v>377</v>
      </c>
      <c r="G129" s="18" t="s">
        <v>11</v>
      </c>
      <c r="H129" s="19"/>
      <c r="I129" s="2"/>
    </row>
    <row r="130" spans="1:9" ht="43.2" x14ac:dyDescent="0.3">
      <c r="A130" s="2"/>
      <c r="B130" s="15">
        <v>1</v>
      </c>
      <c r="C130" s="15">
        <v>6</v>
      </c>
      <c r="D130" s="16">
        <f t="shared" si="5"/>
        <v>4</v>
      </c>
      <c r="E130" s="17" t="s">
        <v>386</v>
      </c>
      <c r="F130" s="66" t="s">
        <v>1102</v>
      </c>
      <c r="G130" s="18" t="s">
        <v>11</v>
      </c>
      <c r="H130" s="19"/>
      <c r="I130" s="2"/>
    </row>
    <row r="131" spans="1:9" ht="32.4" x14ac:dyDescent="0.3">
      <c r="A131" s="2"/>
      <c r="B131" s="15">
        <v>1</v>
      </c>
      <c r="C131" s="15">
        <v>6</v>
      </c>
      <c r="D131" s="16">
        <f t="shared" si="5"/>
        <v>5</v>
      </c>
      <c r="E131" s="17" t="s">
        <v>380</v>
      </c>
      <c r="F131" s="66" t="s">
        <v>379</v>
      </c>
      <c r="G131" s="18" t="s">
        <v>11</v>
      </c>
      <c r="H131" s="19"/>
      <c r="I131" s="2"/>
    </row>
    <row r="132" spans="1:9" ht="21.6" x14ac:dyDescent="0.3">
      <c r="A132" s="2"/>
      <c r="B132" s="15">
        <v>1</v>
      </c>
      <c r="C132" s="15">
        <v>6</v>
      </c>
      <c r="D132" s="16">
        <f t="shared" si="5"/>
        <v>6</v>
      </c>
      <c r="E132" s="17" t="s">
        <v>382</v>
      </c>
      <c r="F132" s="66" t="s">
        <v>381</v>
      </c>
      <c r="G132" s="18" t="s">
        <v>11</v>
      </c>
      <c r="H132" s="19"/>
      <c r="I132" s="2"/>
    </row>
    <row r="133" spans="1:9" ht="21.6" x14ac:dyDescent="0.3">
      <c r="A133" s="2"/>
      <c r="B133" s="15">
        <v>1</v>
      </c>
      <c r="C133" s="15">
        <v>6</v>
      </c>
      <c r="D133" s="16">
        <f t="shared" si="5"/>
        <v>7</v>
      </c>
      <c r="E133" s="17" t="s">
        <v>384</v>
      </c>
      <c r="F133" s="66" t="s">
        <v>383</v>
      </c>
      <c r="G133" s="18" t="s">
        <v>11</v>
      </c>
      <c r="H133" s="19"/>
      <c r="I133" s="2"/>
    </row>
    <row r="134" spans="1:9" ht="21.6" x14ac:dyDescent="0.3">
      <c r="A134" s="2"/>
      <c r="B134" s="15">
        <v>1</v>
      </c>
      <c r="C134" s="15">
        <v>6</v>
      </c>
      <c r="D134" s="16">
        <f t="shared" si="5"/>
        <v>8</v>
      </c>
      <c r="E134" s="17" t="s">
        <v>387</v>
      </c>
      <c r="F134" s="66" t="s">
        <v>385</v>
      </c>
      <c r="G134" s="18" t="s">
        <v>11</v>
      </c>
      <c r="H134" s="19"/>
      <c r="I134" s="2"/>
    </row>
    <row r="135" spans="1:9" ht="32.4" x14ac:dyDescent="0.3">
      <c r="A135" s="2"/>
      <c r="B135" s="15">
        <v>1</v>
      </c>
      <c r="C135" s="15">
        <v>6</v>
      </c>
      <c r="D135" s="16">
        <f t="shared" si="5"/>
        <v>9</v>
      </c>
      <c r="E135" s="17" t="s">
        <v>389</v>
      </c>
      <c r="F135" s="66" t="s">
        <v>388</v>
      </c>
      <c r="G135" s="18" t="s">
        <v>11</v>
      </c>
      <c r="H135" s="19"/>
      <c r="I135" s="2"/>
    </row>
    <row r="136" spans="1:9" ht="43.2" x14ac:dyDescent="0.3">
      <c r="A136" s="2"/>
      <c r="B136" s="15">
        <v>1</v>
      </c>
      <c r="C136" s="15">
        <v>6</v>
      </c>
      <c r="D136" s="16">
        <f t="shared" si="5"/>
        <v>10</v>
      </c>
      <c r="E136" s="17" t="s">
        <v>391</v>
      </c>
      <c r="F136" s="66" t="s">
        <v>390</v>
      </c>
      <c r="G136" s="18" t="s">
        <v>11</v>
      </c>
      <c r="H136" s="19"/>
      <c r="I136" s="2"/>
    </row>
    <row r="137" spans="1:9" ht="32.4" x14ac:dyDescent="0.3">
      <c r="A137" s="2"/>
      <c r="B137" s="15">
        <v>1</v>
      </c>
      <c r="C137" s="15">
        <v>6</v>
      </c>
      <c r="D137" s="16">
        <f t="shared" si="5"/>
        <v>11</v>
      </c>
      <c r="E137" s="17" t="s">
        <v>392</v>
      </c>
      <c r="F137" s="66" t="s">
        <v>395</v>
      </c>
      <c r="G137" s="18" t="s">
        <v>11</v>
      </c>
      <c r="H137" s="19"/>
      <c r="I137" s="2"/>
    </row>
    <row r="138" spans="1:9" ht="21.6" x14ac:dyDescent="0.3">
      <c r="A138" s="2"/>
      <c r="B138" s="15">
        <v>1</v>
      </c>
      <c r="C138" s="15">
        <v>6</v>
      </c>
      <c r="D138" s="16">
        <f t="shared" si="5"/>
        <v>12</v>
      </c>
      <c r="E138" s="17" t="s">
        <v>394</v>
      </c>
      <c r="F138" s="66" t="s">
        <v>393</v>
      </c>
      <c r="G138" s="18" t="s">
        <v>11</v>
      </c>
      <c r="H138" s="19"/>
      <c r="I138" s="2"/>
    </row>
    <row r="139" spans="1:9" ht="21.6" x14ac:dyDescent="0.3">
      <c r="A139" s="2"/>
      <c r="B139" s="15">
        <v>1</v>
      </c>
      <c r="C139" s="15">
        <v>6</v>
      </c>
      <c r="D139" s="16">
        <f t="shared" si="5"/>
        <v>13</v>
      </c>
      <c r="E139" s="17" t="s">
        <v>396</v>
      </c>
      <c r="F139" s="66" t="s">
        <v>397</v>
      </c>
      <c r="G139" s="18" t="s">
        <v>11</v>
      </c>
      <c r="H139" s="19"/>
      <c r="I139" s="2"/>
    </row>
    <row r="140" spans="1:9" ht="21.6" x14ac:dyDescent="0.3">
      <c r="A140" s="2"/>
      <c r="B140" s="15">
        <v>1</v>
      </c>
      <c r="C140" s="15">
        <v>6</v>
      </c>
      <c r="D140" s="16">
        <f t="shared" si="5"/>
        <v>14</v>
      </c>
      <c r="E140" s="17" t="s">
        <v>399</v>
      </c>
      <c r="F140" s="66" t="s">
        <v>398</v>
      </c>
      <c r="G140" s="18" t="s">
        <v>11</v>
      </c>
      <c r="H140" s="19"/>
      <c r="I140" s="2"/>
    </row>
    <row r="141" spans="1:9" ht="54" x14ac:dyDescent="0.3">
      <c r="A141" s="2"/>
      <c r="B141" s="15">
        <v>1</v>
      </c>
      <c r="C141" s="15">
        <v>6</v>
      </c>
      <c r="D141" s="16">
        <f t="shared" si="5"/>
        <v>15</v>
      </c>
      <c r="E141" s="17" t="s">
        <v>401</v>
      </c>
      <c r="F141" s="66" t="s">
        <v>400</v>
      </c>
      <c r="G141" s="18" t="s">
        <v>11</v>
      </c>
      <c r="H141" s="19"/>
      <c r="I141" s="2"/>
    </row>
    <row r="142" spans="1:9" ht="32.4" x14ac:dyDescent="0.3">
      <c r="A142" s="2"/>
      <c r="B142" s="15">
        <v>1</v>
      </c>
      <c r="C142" s="15">
        <v>6</v>
      </c>
      <c r="D142" s="16">
        <f t="shared" si="5"/>
        <v>16</v>
      </c>
      <c r="E142" s="17" t="s">
        <v>403</v>
      </c>
      <c r="F142" s="66" t="s">
        <v>402</v>
      </c>
      <c r="G142" s="18" t="s">
        <v>11</v>
      </c>
      <c r="H142" s="19"/>
      <c r="I142" s="2"/>
    </row>
    <row r="143" spans="1:9" ht="32.4" x14ac:dyDescent="0.3">
      <c r="A143" s="2"/>
      <c r="B143" s="15">
        <v>1</v>
      </c>
      <c r="C143" s="15">
        <v>6</v>
      </c>
      <c r="D143" s="16">
        <f t="shared" si="5"/>
        <v>17</v>
      </c>
      <c r="E143" s="17" t="s">
        <v>404</v>
      </c>
      <c r="F143" s="66" t="s">
        <v>1103</v>
      </c>
      <c r="G143" s="18" t="s">
        <v>11</v>
      </c>
      <c r="H143" s="19"/>
      <c r="I143" s="2"/>
    </row>
    <row r="144" spans="1:9" ht="21.6" x14ac:dyDescent="0.3">
      <c r="A144" s="2"/>
      <c r="B144" s="15">
        <v>1</v>
      </c>
      <c r="C144" s="15">
        <v>6</v>
      </c>
      <c r="D144" s="16">
        <f t="shared" si="5"/>
        <v>18</v>
      </c>
      <c r="E144" s="17" t="s">
        <v>406</v>
      </c>
      <c r="F144" s="66" t="s">
        <v>405</v>
      </c>
      <c r="G144" s="18" t="s">
        <v>11</v>
      </c>
      <c r="H144" s="19"/>
      <c r="I144" s="2"/>
    </row>
    <row r="145" spans="1:9" ht="21.6" x14ac:dyDescent="0.3">
      <c r="A145" s="2"/>
      <c r="B145" s="15">
        <v>1</v>
      </c>
      <c r="C145" s="15">
        <v>6</v>
      </c>
      <c r="D145" s="16">
        <f t="shared" si="5"/>
        <v>19</v>
      </c>
      <c r="E145" s="17" t="s">
        <v>408</v>
      </c>
      <c r="F145" s="66" t="s">
        <v>407</v>
      </c>
      <c r="G145" s="18" t="s">
        <v>11</v>
      </c>
      <c r="H145" s="19"/>
      <c r="I145" s="2"/>
    </row>
    <row r="146" spans="1:9" ht="21.6" x14ac:dyDescent="0.3">
      <c r="A146" s="2"/>
      <c r="B146" s="15">
        <v>1</v>
      </c>
      <c r="C146" s="15">
        <v>6</v>
      </c>
      <c r="D146" s="16">
        <f t="shared" si="5"/>
        <v>20</v>
      </c>
      <c r="E146" s="17" t="s">
        <v>411</v>
      </c>
      <c r="F146" s="66" t="s">
        <v>409</v>
      </c>
      <c r="G146" s="18" t="s">
        <v>11</v>
      </c>
      <c r="H146" s="19"/>
      <c r="I146" s="2"/>
    </row>
    <row r="147" spans="1:9" ht="21.6" x14ac:dyDescent="0.3">
      <c r="A147" s="2"/>
      <c r="B147" s="15">
        <v>1</v>
      </c>
      <c r="C147" s="15">
        <v>6</v>
      </c>
      <c r="D147" s="16">
        <f t="shared" si="5"/>
        <v>21</v>
      </c>
      <c r="E147" s="17" t="s">
        <v>412</v>
      </c>
      <c r="F147" s="66" t="s">
        <v>410</v>
      </c>
      <c r="G147" s="18" t="s">
        <v>11</v>
      </c>
      <c r="H147" s="19"/>
      <c r="I147" s="2"/>
    </row>
    <row r="148" spans="1:9" ht="18.75" customHeight="1" x14ac:dyDescent="0.3">
      <c r="A148" s="2"/>
      <c r="B148" s="5" t="s">
        <v>17</v>
      </c>
      <c r="C148" s="6"/>
      <c r="D148" s="6"/>
      <c r="E148" s="7" t="str">
        <f>IF(B148=0,"",VLOOKUP(B148,Daten!$A$2:$B$56,2,FALSE))</f>
        <v>Maßnahmenstufe 2</v>
      </c>
      <c r="F148" s="7" t="str">
        <f>VLOOKUP(E148,Daten!$B$2:$C$56,2,)</f>
        <v>Emissionsmindernde Maßnahmen</v>
      </c>
      <c r="G148" s="8"/>
      <c r="H148" s="9"/>
      <c r="I148" s="2"/>
    </row>
    <row r="149" spans="1:9" ht="18.600000000000001" customHeight="1" x14ac:dyDescent="0.3">
      <c r="A149" s="2"/>
      <c r="B149" s="10" t="s">
        <v>18</v>
      </c>
      <c r="C149" s="11"/>
      <c r="D149" s="11"/>
      <c r="E149" s="12" t="str">
        <f>IF(B149=0,"",VLOOKUP(B149,Daten!$A$2:$B$56,2,FALSE))</f>
        <v>Schutzleitfaden-200</v>
      </c>
      <c r="F149" s="12" t="str">
        <f>VLOOKUP(E149,Daten!$B$2:$C$56,2,)</f>
        <v>Örtliche Absaugung (Punktabsaugung)</v>
      </c>
      <c r="G149" s="13"/>
      <c r="H149" s="14"/>
      <c r="I149" s="2"/>
    </row>
    <row r="150" spans="1:9" ht="32.4" x14ac:dyDescent="0.3">
      <c r="A150" s="2"/>
      <c r="B150" s="15">
        <v>2</v>
      </c>
      <c r="C150" s="15">
        <v>1</v>
      </c>
      <c r="D150" s="16">
        <f>ROW(A150)-(ROW(A$149))</f>
        <v>1</v>
      </c>
      <c r="E150" s="17" t="s">
        <v>420</v>
      </c>
      <c r="F150" s="66" t="s">
        <v>418</v>
      </c>
      <c r="G150" s="18" t="s">
        <v>11</v>
      </c>
      <c r="H150" s="19"/>
      <c r="I150" s="2"/>
    </row>
    <row r="151" spans="1:9" ht="21.6" x14ac:dyDescent="0.3">
      <c r="A151" s="2"/>
      <c r="B151" s="15">
        <v>2</v>
      </c>
      <c r="C151" s="15">
        <v>1</v>
      </c>
      <c r="D151" s="16">
        <f t="shared" ref="D151:D173" si="6">ROW(A151)-(ROW(A$149))</f>
        <v>2</v>
      </c>
      <c r="E151" s="17" t="s">
        <v>421</v>
      </c>
      <c r="F151" s="66" t="s">
        <v>419</v>
      </c>
      <c r="G151" s="18" t="s">
        <v>11</v>
      </c>
      <c r="H151" s="19"/>
      <c r="I151" s="2"/>
    </row>
    <row r="152" spans="1:9" ht="21.6" x14ac:dyDescent="0.3">
      <c r="A152" s="2"/>
      <c r="B152" s="15">
        <v>2</v>
      </c>
      <c r="C152" s="15">
        <v>1</v>
      </c>
      <c r="D152" s="16">
        <f t="shared" si="6"/>
        <v>3</v>
      </c>
      <c r="E152" s="17" t="s">
        <v>423</v>
      </c>
      <c r="F152" s="66" t="s">
        <v>422</v>
      </c>
      <c r="G152" s="18" t="s">
        <v>11</v>
      </c>
      <c r="H152" s="19"/>
      <c r="I152" s="2"/>
    </row>
    <row r="153" spans="1:9" ht="32.4" x14ac:dyDescent="0.3">
      <c r="A153" s="2"/>
      <c r="B153" s="15">
        <v>2</v>
      </c>
      <c r="C153" s="15">
        <v>1</v>
      </c>
      <c r="D153" s="16">
        <f t="shared" si="6"/>
        <v>4</v>
      </c>
      <c r="E153" s="17" t="s">
        <v>425</v>
      </c>
      <c r="F153" s="66" t="s">
        <v>424</v>
      </c>
      <c r="G153" s="18" t="s">
        <v>11</v>
      </c>
      <c r="H153" s="19"/>
      <c r="I153" s="2"/>
    </row>
    <row r="154" spans="1:9" ht="21.6" x14ac:dyDescent="0.3">
      <c r="A154" s="2"/>
      <c r="B154" s="15">
        <v>2</v>
      </c>
      <c r="C154" s="15">
        <v>1</v>
      </c>
      <c r="D154" s="16">
        <f t="shared" si="6"/>
        <v>5</v>
      </c>
      <c r="E154" s="17" t="s">
        <v>426</v>
      </c>
      <c r="F154" s="66" t="s">
        <v>413</v>
      </c>
      <c r="G154" s="18" t="s">
        <v>11</v>
      </c>
      <c r="H154" s="19"/>
      <c r="I154" s="2"/>
    </row>
    <row r="155" spans="1:9" ht="43.2" x14ac:dyDescent="0.3">
      <c r="A155" s="2"/>
      <c r="B155" s="15">
        <v>2</v>
      </c>
      <c r="C155" s="15">
        <v>1</v>
      </c>
      <c r="D155" s="16">
        <f t="shared" si="6"/>
        <v>6</v>
      </c>
      <c r="E155" s="17" t="s">
        <v>428</v>
      </c>
      <c r="F155" s="66" t="s">
        <v>427</v>
      </c>
      <c r="G155" s="18" t="s">
        <v>11</v>
      </c>
      <c r="H155" s="19"/>
      <c r="I155" s="2"/>
    </row>
    <row r="156" spans="1:9" ht="21.6" x14ac:dyDescent="0.3">
      <c r="A156" s="2"/>
      <c r="B156" s="15">
        <v>2</v>
      </c>
      <c r="C156" s="15">
        <v>1</v>
      </c>
      <c r="D156" s="16">
        <f t="shared" si="6"/>
        <v>7</v>
      </c>
      <c r="E156" s="17" t="s">
        <v>429</v>
      </c>
      <c r="F156" s="66" t="s">
        <v>414</v>
      </c>
      <c r="G156" s="18" t="s">
        <v>11</v>
      </c>
      <c r="H156" s="19"/>
      <c r="I156" s="2"/>
    </row>
    <row r="157" spans="1:9" ht="32.4" x14ac:dyDescent="0.3">
      <c r="A157" s="2"/>
      <c r="B157" s="15">
        <v>2</v>
      </c>
      <c r="C157" s="15">
        <v>1</v>
      </c>
      <c r="D157" s="16">
        <f t="shared" si="6"/>
        <v>8</v>
      </c>
      <c r="E157" s="17" t="s">
        <v>430</v>
      </c>
      <c r="F157" s="66" t="s">
        <v>415</v>
      </c>
      <c r="G157" s="18" t="s">
        <v>11</v>
      </c>
      <c r="H157" s="19"/>
      <c r="I157" s="2"/>
    </row>
    <row r="158" spans="1:9" ht="32.4" x14ac:dyDescent="0.3">
      <c r="A158" s="2"/>
      <c r="B158" s="15">
        <v>2</v>
      </c>
      <c r="C158" s="15">
        <v>1</v>
      </c>
      <c r="D158" s="16">
        <f t="shared" si="6"/>
        <v>9</v>
      </c>
      <c r="E158" s="17" t="s">
        <v>432</v>
      </c>
      <c r="F158" s="66" t="s">
        <v>431</v>
      </c>
      <c r="G158" s="18" t="s">
        <v>11</v>
      </c>
      <c r="H158" s="19"/>
      <c r="I158" s="2"/>
    </row>
    <row r="159" spans="1:9" ht="21.6" x14ac:dyDescent="0.3">
      <c r="A159" s="2"/>
      <c r="B159" s="15">
        <v>2</v>
      </c>
      <c r="C159" s="15">
        <v>1</v>
      </c>
      <c r="D159" s="16">
        <f t="shared" si="6"/>
        <v>10</v>
      </c>
      <c r="E159" s="17" t="s">
        <v>434</v>
      </c>
      <c r="F159" s="66" t="s">
        <v>433</v>
      </c>
      <c r="G159" s="18" t="s">
        <v>11</v>
      </c>
      <c r="H159" s="19"/>
      <c r="I159" s="2"/>
    </row>
    <row r="160" spans="1:9" ht="32.4" x14ac:dyDescent="0.3">
      <c r="A160" s="2"/>
      <c r="B160" s="15">
        <v>2</v>
      </c>
      <c r="C160" s="15">
        <v>1</v>
      </c>
      <c r="D160" s="16">
        <f t="shared" si="6"/>
        <v>11</v>
      </c>
      <c r="E160" s="17" t="s">
        <v>436</v>
      </c>
      <c r="F160" s="66" t="s">
        <v>435</v>
      </c>
      <c r="G160" s="18" t="s">
        <v>11</v>
      </c>
      <c r="H160" s="19"/>
      <c r="I160" s="2"/>
    </row>
    <row r="161" spans="1:9" ht="21.6" x14ac:dyDescent="0.3">
      <c r="A161" s="2"/>
      <c r="B161" s="15">
        <v>2</v>
      </c>
      <c r="C161" s="15">
        <v>1</v>
      </c>
      <c r="D161" s="16">
        <f t="shared" si="6"/>
        <v>12</v>
      </c>
      <c r="E161" s="17" t="s">
        <v>437</v>
      </c>
      <c r="F161" s="66" t="s">
        <v>416</v>
      </c>
      <c r="G161" s="18" t="s">
        <v>11</v>
      </c>
      <c r="H161" s="19"/>
      <c r="I161" s="2"/>
    </row>
    <row r="162" spans="1:9" ht="32.4" x14ac:dyDescent="0.3">
      <c r="A162" s="2"/>
      <c r="B162" s="15">
        <v>2</v>
      </c>
      <c r="C162" s="15">
        <v>1</v>
      </c>
      <c r="D162" s="16">
        <f t="shared" si="6"/>
        <v>13</v>
      </c>
      <c r="E162" s="17" t="s">
        <v>439</v>
      </c>
      <c r="F162" s="66" t="s">
        <v>438</v>
      </c>
      <c r="G162" s="18" t="s">
        <v>11</v>
      </c>
      <c r="H162" s="19"/>
      <c r="I162" s="2"/>
    </row>
    <row r="163" spans="1:9" ht="43.2" x14ac:dyDescent="0.3">
      <c r="A163" s="2"/>
      <c r="B163" s="15">
        <v>2</v>
      </c>
      <c r="C163" s="15">
        <v>1</v>
      </c>
      <c r="D163" s="16">
        <f t="shared" si="6"/>
        <v>14</v>
      </c>
      <c r="E163" s="17" t="s">
        <v>441</v>
      </c>
      <c r="F163" s="66" t="s">
        <v>679</v>
      </c>
      <c r="G163" s="18" t="s">
        <v>11</v>
      </c>
      <c r="H163" s="19"/>
      <c r="I163" s="2"/>
    </row>
    <row r="164" spans="1:9" ht="21.6" x14ac:dyDescent="0.3">
      <c r="A164" s="2"/>
      <c r="B164" s="15">
        <v>2</v>
      </c>
      <c r="C164" s="15">
        <v>1</v>
      </c>
      <c r="D164" s="16">
        <f t="shared" si="6"/>
        <v>15</v>
      </c>
      <c r="E164" s="17" t="s">
        <v>443</v>
      </c>
      <c r="F164" s="66" t="s">
        <v>442</v>
      </c>
      <c r="G164" s="18" t="s">
        <v>11</v>
      </c>
      <c r="H164" s="19"/>
      <c r="I164" s="2"/>
    </row>
    <row r="165" spans="1:9" ht="21.6" x14ac:dyDescent="0.3">
      <c r="A165" s="2"/>
      <c r="B165" s="15">
        <v>2</v>
      </c>
      <c r="C165" s="15">
        <v>1</v>
      </c>
      <c r="D165" s="16">
        <f t="shared" si="6"/>
        <v>16</v>
      </c>
      <c r="E165" s="17" t="s">
        <v>445</v>
      </c>
      <c r="F165" s="66" t="s">
        <v>444</v>
      </c>
      <c r="G165" s="18" t="s">
        <v>11</v>
      </c>
      <c r="H165" s="19"/>
      <c r="I165" s="2"/>
    </row>
    <row r="166" spans="1:9" ht="21.6" x14ac:dyDescent="0.3">
      <c r="A166" s="2"/>
      <c r="B166" s="15">
        <v>2</v>
      </c>
      <c r="C166" s="15">
        <v>1</v>
      </c>
      <c r="D166" s="16">
        <f t="shared" si="6"/>
        <v>17</v>
      </c>
      <c r="E166" s="17" t="s">
        <v>447</v>
      </c>
      <c r="F166" s="66" t="s">
        <v>446</v>
      </c>
      <c r="G166" s="18" t="s">
        <v>11</v>
      </c>
      <c r="H166" s="19"/>
      <c r="I166" s="2"/>
    </row>
    <row r="167" spans="1:9" ht="21.6" x14ac:dyDescent="0.3">
      <c r="A167" s="2"/>
      <c r="B167" s="15">
        <v>2</v>
      </c>
      <c r="C167" s="15">
        <v>1</v>
      </c>
      <c r="D167" s="16">
        <f t="shared" si="6"/>
        <v>18</v>
      </c>
      <c r="E167" s="17" t="s">
        <v>448</v>
      </c>
      <c r="F167" s="66" t="s">
        <v>417</v>
      </c>
      <c r="G167" s="18" t="s">
        <v>11</v>
      </c>
      <c r="H167" s="19"/>
      <c r="I167" s="2"/>
    </row>
    <row r="168" spans="1:9" ht="43.2" x14ac:dyDescent="0.3">
      <c r="A168" s="2"/>
      <c r="B168" s="15">
        <v>2</v>
      </c>
      <c r="C168" s="15">
        <v>1</v>
      </c>
      <c r="D168" s="16">
        <f t="shared" si="6"/>
        <v>19</v>
      </c>
      <c r="E168" s="17" t="s">
        <v>450</v>
      </c>
      <c r="F168" s="66" t="s">
        <v>449</v>
      </c>
      <c r="G168" s="18" t="s">
        <v>11</v>
      </c>
      <c r="H168" s="19"/>
      <c r="I168" s="2"/>
    </row>
    <row r="169" spans="1:9" ht="32.4" x14ac:dyDescent="0.3">
      <c r="A169" s="2"/>
      <c r="B169" s="15">
        <v>2</v>
      </c>
      <c r="C169" s="15">
        <v>1</v>
      </c>
      <c r="D169" s="16">
        <f t="shared" si="6"/>
        <v>20</v>
      </c>
      <c r="E169" s="17" t="s">
        <v>452</v>
      </c>
      <c r="F169" s="66" t="s">
        <v>451</v>
      </c>
      <c r="G169" s="18" t="s">
        <v>11</v>
      </c>
      <c r="H169" s="19"/>
      <c r="I169" s="2"/>
    </row>
    <row r="170" spans="1:9" ht="32.4" x14ac:dyDescent="0.3">
      <c r="A170" s="2"/>
      <c r="B170" s="15">
        <v>2</v>
      </c>
      <c r="C170" s="15">
        <v>1</v>
      </c>
      <c r="D170" s="16">
        <f t="shared" si="6"/>
        <v>21</v>
      </c>
      <c r="E170" s="17" t="s">
        <v>454</v>
      </c>
      <c r="F170" s="66" t="s">
        <v>453</v>
      </c>
      <c r="G170" s="18" t="s">
        <v>11</v>
      </c>
      <c r="H170" s="19"/>
      <c r="I170" s="2"/>
    </row>
    <row r="171" spans="1:9" ht="32.4" x14ac:dyDescent="0.3">
      <c r="A171" s="2"/>
      <c r="B171" s="15">
        <v>2</v>
      </c>
      <c r="C171" s="15">
        <v>1</v>
      </c>
      <c r="D171" s="16">
        <f t="shared" si="6"/>
        <v>22</v>
      </c>
      <c r="E171" s="17" t="s">
        <v>456</v>
      </c>
      <c r="F171" s="66" t="s">
        <v>455</v>
      </c>
      <c r="G171" s="18" t="s">
        <v>11</v>
      </c>
      <c r="H171" s="19"/>
      <c r="I171" s="2"/>
    </row>
    <row r="172" spans="1:9" ht="21.6" x14ac:dyDescent="0.3">
      <c r="A172" s="2"/>
      <c r="B172" s="15">
        <v>2</v>
      </c>
      <c r="C172" s="15">
        <v>1</v>
      </c>
      <c r="D172" s="16">
        <f t="shared" si="6"/>
        <v>23</v>
      </c>
      <c r="E172" s="17" t="s">
        <v>458</v>
      </c>
      <c r="F172" s="66" t="s">
        <v>457</v>
      </c>
      <c r="G172" s="18" t="s">
        <v>11</v>
      </c>
      <c r="H172" s="19"/>
      <c r="I172" s="2"/>
    </row>
    <row r="173" spans="1:9" ht="54" x14ac:dyDescent="0.3">
      <c r="A173" s="2"/>
      <c r="B173" s="15">
        <v>2</v>
      </c>
      <c r="C173" s="15">
        <v>1</v>
      </c>
      <c r="D173" s="16">
        <f t="shared" si="6"/>
        <v>24</v>
      </c>
      <c r="E173" s="17" t="s">
        <v>460</v>
      </c>
      <c r="F173" s="66" t="s">
        <v>459</v>
      </c>
      <c r="G173" s="18" t="s">
        <v>11</v>
      </c>
      <c r="H173" s="19"/>
      <c r="I173" s="2"/>
    </row>
    <row r="174" spans="1:9" ht="18.75" customHeight="1" x14ac:dyDescent="0.3">
      <c r="A174" s="2"/>
      <c r="B174" s="10" t="s">
        <v>19</v>
      </c>
      <c r="C174" s="11"/>
      <c r="D174" s="11"/>
      <c r="E174" s="12" t="str">
        <f>IF(B174=0,"",VLOOKUP(B174,Daten!$A$2:$B$56,2,FALSE))</f>
        <v>Schutzleitfaden-201</v>
      </c>
      <c r="F174" s="12" t="str">
        <f>VLOOKUP(E174,Daten!$B$2:$C$56,2,)</f>
        <v>Abzugsschränke</v>
      </c>
      <c r="G174" s="13"/>
      <c r="H174" s="14"/>
      <c r="I174" s="2"/>
    </row>
    <row r="175" spans="1:9" ht="43.2" x14ac:dyDescent="0.3">
      <c r="A175" s="2"/>
      <c r="B175" s="15">
        <v>2</v>
      </c>
      <c r="C175" s="15">
        <v>2</v>
      </c>
      <c r="D175" s="16">
        <f>ROW(A175)-(ROW(A$174))</f>
        <v>1</v>
      </c>
      <c r="E175" s="17" t="s">
        <v>519</v>
      </c>
      <c r="F175" s="66" t="s">
        <v>517</v>
      </c>
      <c r="G175" s="18" t="s">
        <v>11</v>
      </c>
      <c r="H175" s="19"/>
      <c r="I175" s="2"/>
    </row>
    <row r="176" spans="1:9" ht="32.4" x14ac:dyDescent="0.3">
      <c r="A176" s="2"/>
      <c r="B176" s="15">
        <v>2</v>
      </c>
      <c r="C176" s="15">
        <v>2</v>
      </c>
      <c r="D176" s="16">
        <f t="shared" ref="D176:D196" si="7">ROW(A176)-(ROW(A$174))</f>
        <v>2</v>
      </c>
      <c r="E176" s="17" t="s">
        <v>520</v>
      </c>
      <c r="F176" s="66" t="s">
        <v>521</v>
      </c>
      <c r="G176" s="18" t="s">
        <v>11</v>
      </c>
      <c r="H176" s="19"/>
      <c r="I176" s="2"/>
    </row>
    <row r="177" spans="1:9" ht="43.2" x14ac:dyDescent="0.3">
      <c r="A177" s="2"/>
      <c r="B177" s="15">
        <v>2</v>
      </c>
      <c r="C177" s="15">
        <v>2</v>
      </c>
      <c r="D177" s="16">
        <f t="shared" si="7"/>
        <v>3</v>
      </c>
      <c r="E177" s="17" t="s">
        <v>523</v>
      </c>
      <c r="F177" s="66" t="s">
        <v>522</v>
      </c>
      <c r="G177" s="18" t="s">
        <v>11</v>
      </c>
      <c r="H177" s="19"/>
      <c r="I177" s="2"/>
    </row>
    <row r="178" spans="1:9" ht="43.2" x14ac:dyDescent="0.3">
      <c r="A178" s="2"/>
      <c r="B178" s="15">
        <v>2</v>
      </c>
      <c r="C178" s="15">
        <v>2</v>
      </c>
      <c r="D178" s="16">
        <f t="shared" si="7"/>
        <v>4</v>
      </c>
      <c r="E178" s="17" t="s">
        <v>525</v>
      </c>
      <c r="F178" s="66" t="s">
        <v>524</v>
      </c>
      <c r="G178" s="18" t="s">
        <v>11</v>
      </c>
      <c r="H178" s="19"/>
      <c r="I178" s="2"/>
    </row>
    <row r="179" spans="1:9" ht="21.6" x14ac:dyDescent="0.3">
      <c r="A179" s="2"/>
      <c r="B179" s="15">
        <v>2</v>
      </c>
      <c r="C179" s="15">
        <v>2</v>
      </c>
      <c r="D179" s="16">
        <f t="shared" si="7"/>
        <v>5</v>
      </c>
      <c r="E179" s="17" t="s">
        <v>526</v>
      </c>
      <c r="F179" s="66" t="s">
        <v>906</v>
      </c>
      <c r="G179" s="18" t="s">
        <v>11</v>
      </c>
      <c r="H179" s="19"/>
      <c r="I179" s="2"/>
    </row>
    <row r="180" spans="1:9" ht="21.6" x14ac:dyDescent="0.3">
      <c r="A180" s="2"/>
      <c r="B180" s="15">
        <v>2</v>
      </c>
      <c r="C180" s="15">
        <v>2</v>
      </c>
      <c r="D180" s="16">
        <f t="shared" si="7"/>
        <v>6</v>
      </c>
      <c r="E180" s="17" t="s">
        <v>556</v>
      </c>
      <c r="F180" s="66" t="s">
        <v>555</v>
      </c>
      <c r="G180" s="18" t="s">
        <v>11</v>
      </c>
      <c r="H180" s="19"/>
      <c r="I180" s="2"/>
    </row>
    <row r="181" spans="1:9" ht="43.2" x14ac:dyDescent="0.3">
      <c r="A181" s="2"/>
      <c r="B181" s="15">
        <v>2</v>
      </c>
      <c r="C181" s="15">
        <v>2</v>
      </c>
      <c r="D181" s="16">
        <f t="shared" si="7"/>
        <v>7</v>
      </c>
      <c r="E181" s="17" t="s">
        <v>528</v>
      </c>
      <c r="F181" s="66" t="s">
        <v>527</v>
      </c>
      <c r="G181" s="18" t="s">
        <v>11</v>
      </c>
      <c r="H181" s="19"/>
      <c r="I181" s="2"/>
    </row>
    <row r="182" spans="1:9" ht="21.6" x14ac:dyDescent="0.3">
      <c r="A182" s="2"/>
      <c r="B182" s="15">
        <v>2</v>
      </c>
      <c r="C182" s="15">
        <v>2</v>
      </c>
      <c r="D182" s="16">
        <f t="shared" si="7"/>
        <v>8</v>
      </c>
      <c r="E182" s="17" t="s">
        <v>529</v>
      </c>
      <c r="F182" s="66" t="s">
        <v>518</v>
      </c>
      <c r="G182" s="18" t="s">
        <v>11</v>
      </c>
      <c r="H182" s="19"/>
      <c r="I182" s="2"/>
    </row>
    <row r="183" spans="1:9" ht="21.6" x14ac:dyDescent="0.3">
      <c r="A183" s="2"/>
      <c r="B183" s="15">
        <v>2</v>
      </c>
      <c r="C183" s="15">
        <v>2</v>
      </c>
      <c r="D183" s="16">
        <f t="shared" si="7"/>
        <v>9</v>
      </c>
      <c r="E183" s="17" t="s">
        <v>531</v>
      </c>
      <c r="F183" s="66" t="s">
        <v>530</v>
      </c>
      <c r="G183" s="18" t="s">
        <v>11</v>
      </c>
      <c r="H183" s="19"/>
      <c r="I183" s="2"/>
    </row>
    <row r="184" spans="1:9" ht="43.2" x14ac:dyDescent="0.3">
      <c r="A184" s="2"/>
      <c r="B184" s="15">
        <v>2</v>
      </c>
      <c r="C184" s="15">
        <v>2</v>
      </c>
      <c r="D184" s="16">
        <f t="shared" si="7"/>
        <v>10</v>
      </c>
      <c r="E184" s="17" t="s">
        <v>533</v>
      </c>
      <c r="F184" s="66" t="s">
        <v>532</v>
      </c>
      <c r="G184" s="18" t="s">
        <v>11</v>
      </c>
      <c r="H184" s="19"/>
      <c r="I184" s="2"/>
    </row>
    <row r="185" spans="1:9" ht="54" x14ac:dyDescent="0.3">
      <c r="A185" s="2"/>
      <c r="B185" s="15">
        <v>2</v>
      </c>
      <c r="C185" s="15">
        <v>2</v>
      </c>
      <c r="D185" s="16">
        <f t="shared" si="7"/>
        <v>11</v>
      </c>
      <c r="E185" s="17" t="s">
        <v>535</v>
      </c>
      <c r="F185" s="66" t="s">
        <v>534</v>
      </c>
      <c r="G185" s="18" t="s">
        <v>11</v>
      </c>
      <c r="H185" s="19"/>
      <c r="I185" s="2"/>
    </row>
    <row r="186" spans="1:9" ht="32.4" x14ac:dyDescent="0.3">
      <c r="A186" s="2"/>
      <c r="B186" s="15">
        <v>2</v>
      </c>
      <c r="C186" s="15">
        <v>2</v>
      </c>
      <c r="D186" s="16">
        <f t="shared" si="7"/>
        <v>12</v>
      </c>
      <c r="E186" s="17" t="s">
        <v>537</v>
      </c>
      <c r="F186" s="66" t="s">
        <v>536</v>
      </c>
      <c r="G186" s="18" t="s">
        <v>11</v>
      </c>
      <c r="H186" s="19"/>
      <c r="I186" s="2"/>
    </row>
    <row r="187" spans="1:9" ht="32.4" x14ac:dyDescent="0.3">
      <c r="A187" s="2"/>
      <c r="B187" s="15">
        <v>2</v>
      </c>
      <c r="C187" s="15">
        <v>2</v>
      </c>
      <c r="D187" s="16">
        <f t="shared" si="7"/>
        <v>13</v>
      </c>
      <c r="E187" s="17" t="s">
        <v>539</v>
      </c>
      <c r="F187" s="66" t="s">
        <v>538</v>
      </c>
      <c r="G187" s="18" t="s">
        <v>11</v>
      </c>
      <c r="H187" s="19"/>
      <c r="I187" s="2"/>
    </row>
    <row r="188" spans="1:9" ht="43.2" x14ac:dyDescent="0.3">
      <c r="A188" s="2"/>
      <c r="B188" s="15">
        <v>2</v>
      </c>
      <c r="C188" s="15">
        <v>2</v>
      </c>
      <c r="D188" s="16">
        <f t="shared" si="7"/>
        <v>14</v>
      </c>
      <c r="E188" s="17" t="s">
        <v>541</v>
      </c>
      <c r="F188" s="66" t="s">
        <v>540</v>
      </c>
      <c r="G188" s="18" t="s">
        <v>11</v>
      </c>
      <c r="H188" s="19"/>
      <c r="I188" s="2"/>
    </row>
    <row r="189" spans="1:9" ht="21.6" x14ac:dyDescent="0.3">
      <c r="A189" s="2"/>
      <c r="B189" s="15">
        <v>2</v>
      </c>
      <c r="C189" s="15">
        <v>2</v>
      </c>
      <c r="D189" s="16">
        <f t="shared" si="7"/>
        <v>15</v>
      </c>
      <c r="E189" s="17" t="s">
        <v>542</v>
      </c>
      <c r="F189" s="66" t="s">
        <v>543</v>
      </c>
      <c r="G189" s="18" t="s">
        <v>11</v>
      </c>
      <c r="H189" s="19"/>
      <c r="I189" s="2"/>
    </row>
    <row r="190" spans="1:9" ht="32.4" x14ac:dyDescent="0.3">
      <c r="A190" s="2"/>
      <c r="B190" s="15">
        <v>2</v>
      </c>
      <c r="C190" s="15">
        <v>2</v>
      </c>
      <c r="D190" s="16">
        <f t="shared" si="7"/>
        <v>16</v>
      </c>
      <c r="E190" s="17" t="s">
        <v>545</v>
      </c>
      <c r="F190" s="66" t="s">
        <v>544</v>
      </c>
      <c r="G190" s="18" t="s">
        <v>11</v>
      </c>
      <c r="H190" s="19"/>
      <c r="I190" s="2"/>
    </row>
    <row r="191" spans="1:9" ht="54" x14ac:dyDescent="0.3">
      <c r="A191" s="2"/>
      <c r="B191" s="15">
        <v>2</v>
      </c>
      <c r="C191" s="15">
        <v>2</v>
      </c>
      <c r="D191" s="16">
        <f t="shared" si="7"/>
        <v>17</v>
      </c>
      <c r="E191" s="17" t="s">
        <v>547</v>
      </c>
      <c r="F191" s="66" t="s">
        <v>546</v>
      </c>
      <c r="G191" s="18" t="s">
        <v>11</v>
      </c>
      <c r="H191" s="19"/>
      <c r="I191" s="2"/>
    </row>
    <row r="192" spans="1:9" ht="32.4" x14ac:dyDescent="0.3">
      <c r="A192" s="2"/>
      <c r="B192" s="15">
        <v>2</v>
      </c>
      <c r="C192" s="15">
        <v>2</v>
      </c>
      <c r="D192" s="16">
        <f t="shared" si="7"/>
        <v>18</v>
      </c>
      <c r="E192" s="17" t="s">
        <v>548</v>
      </c>
      <c r="F192" s="66" t="s">
        <v>451</v>
      </c>
      <c r="G192" s="18" t="s">
        <v>11</v>
      </c>
      <c r="H192" s="19"/>
      <c r="I192" s="2"/>
    </row>
    <row r="193" spans="1:9" ht="32.4" x14ac:dyDescent="0.3">
      <c r="A193" s="2"/>
      <c r="B193" s="15">
        <v>2</v>
      </c>
      <c r="C193" s="15">
        <v>2</v>
      </c>
      <c r="D193" s="16">
        <f t="shared" si="7"/>
        <v>19</v>
      </c>
      <c r="E193" s="17" t="s">
        <v>454</v>
      </c>
      <c r="F193" s="66" t="s">
        <v>549</v>
      </c>
      <c r="G193" s="18" t="s">
        <v>11</v>
      </c>
      <c r="H193" s="19"/>
      <c r="I193" s="2"/>
    </row>
    <row r="194" spans="1:9" ht="32.4" x14ac:dyDescent="0.3">
      <c r="A194" s="2"/>
      <c r="B194" s="15">
        <v>2</v>
      </c>
      <c r="C194" s="15">
        <v>2</v>
      </c>
      <c r="D194" s="16">
        <f t="shared" si="7"/>
        <v>20</v>
      </c>
      <c r="E194" s="17" t="s">
        <v>551</v>
      </c>
      <c r="F194" s="66" t="s">
        <v>550</v>
      </c>
      <c r="G194" s="18" t="s">
        <v>11</v>
      </c>
      <c r="H194" s="19"/>
      <c r="I194" s="2"/>
    </row>
    <row r="195" spans="1:9" ht="21.6" x14ac:dyDescent="0.3">
      <c r="A195" s="2"/>
      <c r="B195" s="15">
        <v>2</v>
      </c>
      <c r="C195" s="15">
        <v>2</v>
      </c>
      <c r="D195" s="16">
        <f t="shared" si="7"/>
        <v>21</v>
      </c>
      <c r="E195" s="17" t="s">
        <v>552</v>
      </c>
      <c r="F195" s="66" t="s">
        <v>457</v>
      </c>
      <c r="G195" s="18" t="s">
        <v>11</v>
      </c>
      <c r="H195" s="19"/>
      <c r="I195" s="2"/>
    </row>
    <row r="196" spans="1:9" ht="54" x14ac:dyDescent="0.3">
      <c r="A196" s="2"/>
      <c r="B196" s="15">
        <v>2</v>
      </c>
      <c r="C196" s="15">
        <v>2</v>
      </c>
      <c r="D196" s="16">
        <f t="shared" si="7"/>
        <v>22</v>
      </c>
      <c r="E196" s="17" t="s">
        <v>554</v>
      </c>
      <c r="F196" s="66" t="s">
        <v>553</v>
      </c>
      <c r="G196" s="18" t="s">
        <v>11</v>
      </c>
      <c r="H196" s="19"/>
      <c r="I196" s="2"/>
    </row>
    <row r="197" spans="1:9" ht="18.75" customHeight="1" x14ac:dyDescent="0.3">
      <c r="A197" s="2"/>
      <c r="B197" s="10" t="s">
        <v>20</v>
      </c>
      <c r="C197" s="11"/>
      <c r="D197" s="11"/>
      <c r="E197" s="12" t="str">
        <f>IF(B197=0,"",VLOOKUP(B197,Daten!$A$2:$B$56,2,FALSE))</f>
        <v>Schutzleitfaden-203</v>
      </c>
      <c r="F197" s="12" t="str">
        <f>VLOOKUP(E197,Daten!$B$2:$C$56,2,)</f>
        <v>Absaugschrank</v>
      </c>
      <c r="G197" s="13"/>
      <c r="H197" s="14"/>
      <c r="I197" s="2"/>
    </row>
    <row r="198" spans="1:9" ht="13.2" x14ac:dyDescent="0.3">
      <c r="A198" s="2"/>
      <c r="B198" s="15">
        <v>2</v>
      </c>
      <c r="C198" s="15">
        <v>3</v>
      </c>
      <c r="D198" s="16">
        <f>ROW(A198)-(ROW(A$197))</f>
        <v>1</v>
      </c>
      <c r="E198" s="17"/>
      <c r="F198" s="66" t="s">
        <v>583</v>
      </c>
      <c r="G198" s="18" t="s">
        <v>11</v>
      </c>
      <c r="H198" s="19"/>
      <c r="I198" s="2"/>
    </row>
    <row r="199" spans="1:9" ht="18.75" customHeight="1" x14ac:dyDescent="0.3">
      <c r="A199" s="2"/>
      <c r="B199" s="10" t="s">
        <v>21</v>
      </c>
      <c r="C199" s="11"/>
      <c r="D199" s="11"/>
      <c r="E199" s="12" t="str">
        <f>IF(B199=0,"",VLOOKUP(B199,Daten!$A$2:$B$56,2,FALSE))</f>
        <v>Schutzleitfaden-204</v>
      </c>
      <c r="F199" s="12" t="str">
        <f>VLOOKUP(E199,Daten!$B$2:$C$56,2,)</f>
        <v>Staubentnahme aus Abscheidesystem</v>
      </c>
      <c r="G199" s="13"/>
      <c r="H199" s="14"/>
      <c r="I199" s="2"/>
    </row>
    <row r="200" spans="1:9" ht="21.6" x14ac:dyDescent="0.3">
      <c r="A200" s="2"/>
      <c r="B200" s="15">
        <v>2</v>
      </c>
      <c r="C200" s="15">
        <v>4</v>
      </c>
      <c r="D200" s="16">
        <f>ROW(A200)-(ROW(A$199))</f>
        <v>1</v>
      </c>
      <c r="E200" s="17" t="s">
        <v>558</v>
      </c>
      <c r="F200" s="66" t="s">
        <v>557</v>
      </c>
      <c r="G200" s="18" t="s">
        <v>11</v>
      </c>
      <c r="H200" s="19"/>
      <c r="I200" s="2"/>
    </row>
    <row r="201" spans="1:9" ht="32.4" x14ac:dyDescent="0.3">
      <c r="A201" s="2"/>
      <c r="B201" s="15">
        <v>2</v>
      </c>
      <c r="C201" s="15">
        <v>4</v>
      </c>
      <c r="D201" s="16">
        <f t="shared" ref="D201:D217" si="8">ROW(A201)-(ROW(A$199))</f>
        <v>2</v>
      </c>
      <c r="E201" s="17" t="s">
        <v>560</v>
      </c>
      <c r="F201" s="66" t="s">
        <v>559</v>
      </c>
      <c r="G201" s="18" t="s">
        <v>11</v>
      </c>
      <c r="H201" s="19"/>
      <c r="I201" s="2"/>
    </row>
    <row r="202" spans="1:9" ht="43.2" x14ac:dyDescent="0.3">
      <c r="A202" s="2"/>
      <c r="B202" s="15">
        <v>2</v>
      </c>
      <c r="C202" s="15">
        <v>4</v>
      </c>
      <c r="D202" s="16">
        <f t="shared" si="8"/>
        <v>3</v>
      </c>
      <c r="E202" s="17" t="s">
        <v>561</v>
      </c>
      <c r="F202" s="66" t="s">
        <v>562</v>
      </c>
      <c r="G202" s="18" t="s">
        <v>11</v>
      </c>
      <c r="H202" s="19"/>
      <c r="I202" s="2"/>
    </row>
    <row r="203" spans="1:9" ht="32.4" x14ac:dyDescent="0.3">
      <c r="A203" s="2"/>
      <c r="B203" s="15">
        <v>2</v>
      </c>
      <c r="C203" s="15">
        <v>4</v>
      </c>
      <c r="D203" s="16">
        <f t="shared" si="8"/>
        <v>4</v>
      </c>
      <c r="E203" s="17" t="s">
        <v>564</v>
      </c>
      <c r="F203" s="66" t="s">
        <v>563</v>
      </c>
      <c r="G203" s="18" t="s">
        <v>11</v>
      </c>
      <c r="H203" s="19"/>
      <c r="I203" s="2"/>
    </row>
    <row r="204" spans="1:9" ht="54" x14ac:dyDescent="0.3">
      <c r="A204" s="2"/>
      <c r="B204" s="15">
        <v>2</v>
      </c>
      <c r="C204" s="15">
        <v>4</v>
      </c>
      <c r="D204" s="16">
        <f t="shared" si="8"/>
        <v>5</v>
      </c>
      <c r="E204" s="17" t="s">
        <v>566</v>
      </c>
      <c r="F204" s="66" t="s">
        <v>565</v>
      </c>
      <c r="G204" s="18" t="s">
        <v>11</v>
      </c>
      <c r="H204" s="19"/>
      <c r="I204" s="2"/>
    </row>
    <row r="205" spans="1:9" ht="21.6" x14ac:dyDescent="0.3">
      <c r="A205" s="2"/>
      <c r="B205" s="15">
        <v>2</v>
      </c>
      <c r="C205" s="15">
        <v>4</v>
      </c>
      <c r="D205" s="16">
        <f t="shared" si="8"/>
        <v>6</v>
      </c>
      <c r="E205" s="17" t="s">
        <v>568</v>
      </c>
      <c r="F205" s="66" t="s">
        <v>567</v>
      </c>
      <c r="G205" s="18" t="s">
        <v>11</v>
      </c>
      <c r="H205" s="19"/>
      <c r="I205" s="2"/>
    </row>
    <row r="206" spans="1:9" ht="21.6" x14ac:dyDescent="0.3">
      <c r="A206" s="2"/>
      <c r="B206" s="15">
        <v>2</v>
      </c>
      <c r="C206" s="15">
        <v>4</v>
      </c>
      <c r="D206" s="16">
        <f t="shared" si="8"/>
        <v>7</v>
      </c>
      <c r="E206" s="17" t="s">
        <v>570</v>
      </c>
      <c r="F206" s="66" t="s">
        <v>569</v>
      </c>
      <c r="G206" s="18" t="s">
        <v>11</v>
      </c>
      <c r="H206" s="19"/>
      <c r="I206" s="2"/>
    </row>
    <row r="207" spans="1:9" ht="32.4" x14ac:dyDescent="0.3">
      <c r="A207" s="2"/>
      <c r="B207" s="15">
        <v>2</v>
      </c>
      <c r="C207" s="15">
        <v>4</v>
      </c>
      <c r="D207" s="16">
        <f t="shared" si="8"/>
        <v>8</v>
      </c>
      <c r="E207" s="17" t="s">
        <v>571</v>
      </c>
      <c r="F207" s="66" t="s">
        <v>572</v>
      </c>
      <c r="G207" s="18" t="s">
        <v>11</v>
      </c>
      <c r="H207" s="19"/>
      <c r="I207" s="2"/>
    </row>
    <row r="208" spans="1:9" ht="21.6" x14ac:dyDescent="0.3">
      <c r="A208" s="2"/>
      <c r="B208" s="15">
        <v>2</v>
      </c>
      <c r="C208" s="15">
        <v>4</v>
      </c>
      <c r="D208" s="16">
        <f t="shared" si="8"/>
        <v>9</v>
      </c>
      <c r="E208" s="17" t="s">
        <v>574</v>
      </c>
      <c r="F208" s="66" t="s">
        <v>573</v>
      </c>
      <c r="G208" s="18" t="s">
        <v>11</v>
      </c>
      <c r="H208" s="19"/>
      <c r="I208" s="2"/>
    </row>
    <row r="209" spans="1:9" ht="32.4" x14ac:dyDescent="0.3">
      <c r="A209" s="2"/>
      <c r="B209" s="15">
        <v>2</v>
      </c>
      <c r="C209" s="15">
        <v>4</v>
      </c>
      <c r="D209" s="16">
        <f t="shared" si="8"/>
        <v>10</v>
      </c>
      <c r="E209" s="17" t="s">
        <v>576</v>
      </c>
      <c r="F209" s="66" t="s">
        <v>575</v>
      </c>
      <c r="G209" s="18" t="s">
        <v>11</v>
      </c>
      <c r="H209" s="19"/>
      <c r="I209" s="2"/>
    </row>
    <row r="210" spans="1:9" ht="21.6" x14ac:dyDescent="0.3">
      <c r="A210" s="2"/>
      <c r="B210" s="15">
        <v>2</v>
      </c>
      <c r="C210" s="15">
        <v>4</v>
      </c>
      <c r="D210" s="16">
        <f t="shared" si="8"/>
        <v>11</v>
      </c>
      <c r="E210" s="17" t="s">
        <v>578</v>
      </c>
      <c r="F210" s="66" t="s">
        <v>577</v>
      </c>
      <c r="G210" s="18" t="s">
        <v>11</v>
      </c>
      <c r="H210" s="19"/>
      <c r="I210" s="2"/>
    </row>
    <row r="211" spans="1:9" ht="21.6" x14ac:dyDescent="0.3">
      <c r="A211" s="2"/>
      <c r="B211" s="15">
        <v>2</v>
      </c>
      <c r="C211" s="15">
        <v>4</v>
      </c>
      <c r="D211" s="16">
        <f t="shared" si="8"/>
        <v>12</v>
      </c>
      <c r="E211" s="17" t="s">
        <v>580</v>
      </c>
      <c r="F211" s="66" t="s">
        <v>579</v>
      </c>
      <c r="G211" s="18" t="s">
        <v>11</v>
      </c>
      <c r="H211" s="19"/>
      <c r="I211" s="2"/>
    </row>
    <row r="212" spans="1:9" ht="54" x14ac:dyDescent="0.3">
      <c r="A212" s="2"/>
      <c r="B212" s="15">
        <v>2</v>
      </c>
      <c r="C212" s="15">
        <v>4</v>
      </c>
      <c r="D212" s="16">
        <f t="shared" si="8"/>
        <v>13</v>
      </c>
      <c r="E212" s="17" t="s">
        <v>547</v>
      </c>
      <c r="F212" s="66" t="s">
        <v>546</v>
      </c>
      <c r="G212" s="18" t="s">
        <v>11</v>
      </c>
      <c r="H212" s="19"/>
      <c r="I212" s="2"/>
    </row>
    <row r="213" spans="1:9" ht="32.4" x14ac:dyDescent="0.3">
      <c r="A213" s="2"/>
      <c r="B213" s="15">
        <v>2</v>
      </c>
      <c r="C213" s="15">
        <v>4</v>
      </c>
      <c r="D213" s="16">
        <f t="shared" si="8"/>
        <v>14</v>
      </c>
      <c r="E213" s="17" t="s">
        <v>548</v>
      </c>
      <c r="F213" s="66" t="s">
        <v>451</v>
      </c>
      <c r="G213" s="18" t="s">
        <v>11</v>
      </c>
      <c r="H213" s="19"/>
      <c r="I213" s="2"/>
    </row>
    <row r="214" spans="1:9" ht="32.4" x14ac:dyDescent="0.3">
      <c r="A214" s="2"/>
      <c r="B214" s="15">
        <v>2</v>
      </c>
      <c r="C214" s="15">
        <v>4</v>
      </c>
      <c r="D214" s="16">
        <f t="shared" si="8"/>
        <v>15</v>
      </c>
      <c r="E214" s="17" t="s">
        <v>454</v>
      </c>
      <c r="F214" s="66" t="s">
        <v>549</v>
      </c>
      <c r="G214" s="18" t="s">
        <v>11</v>
      </c>
      <c r="H214" s="19"/>
      <c r="I214" s="2"/>
    </row>
    <row r="215" spans="1:9" ht="32.4" x14ac:dyDescent="0.3">
      <c r="A215" s="2"/>
      <c r="B215" s="15">
        <v>2</v>
      </c>
      <c r="C215" s="15">
        <v>4</v>
      </c>
      <c r="D215" s="16">
        <f t="shared" si="8"/>
        <v>16</v>
      </c>
      <c r="E215" s="17" t="s">
        <v>551</v>
      </c>
      <c r="F215" s="66" t="s">
        <v>550</v>
      </c>
      <c r="G215" s="18" t="s">
        <v>11</v>
      </c>
      <c r="H215" s="19"/>
      <c r="I215" s="2"/>
    </row>
    <row r="216" spans="1:9" ht="21.6" x14ac:dyDescent="0.3">
      <c r="A216" s="2"/>
      <c r="B216" s="15">
        <v>2</v>
      </c>
      <c r="C216" s="15">
        <v>4</v>
      </c>
      <c r="D216" s="16">
        <f t="shared" si="8"/>
        <v>17</v>
      </c>
      <c r="E216" s="17" t="s">
        <v>552</v>
      </c>
      <c r="F216" s="66" t="s">
        <v>457</v>
      </c>
      <c r="G216" s="18" t="s">
        <v>11</v>
      </c>
      <c r="H216" s="19"/>
      <c r="I216" s="2"/>
    </row>
    <row r="217" spans="1:9" ht="54" x14ac:dyDescent="0.3">
      <c r="A217" s="2"/>
      <c r="B217" s="15">
        <v>2</v>
      </c>
      <c r="C217" s="15">
        <v>4</v>
      </c>
      <c r="D217" s="16">
        <f t="shared" si="8"/>
        <v>18</v>
      </c>
      <c r="E217" s="17" t="s">
        <v>554</v>
      </c>
      <c r="F217" s="66" t="s">
        <v>553</v>
      </c>
      <c r="G217" s="18" t="s">
        <v>11</v>
      </c>
      <c r="H217" s="19"/>
      <c r="I217" s="2"/>
    </row>
    <row r="218" spans="1:9" ht="18.75" customHeight="1" x14ac:dyDescent="0.3">
      <c r="A218" s="2"/>
      <c r="B218" s="10" t="s">
        <v>22</v>
      </c>
      <c r="C218" s="11"/>
      <c r="D218" s="11"/>
      <c r="E218" s="12" t="str">
        <f>IF(B218=0,"",VLOOKUP(B218,Daten!$A$2:$B$56,2,FALSE))</f>
        <v>Schutzleitfaden-205</v>
      </c>
      <c r="F218" s="12" t="str">
        <f>VLOOKUP(E218,Daten!$B$2:$C$56,2,)</f>
        <v>Transport über Förderband</v>
      </c>
      <c r="G218" s="13"/>
      <c r="H218" s="14"/>
      <c r="I218" s="2"/>
    </row>
    <row r="219" spans="1:9" ht="13.2" x14ac:dyDescent="0.3">
      <c r="A219" s="2"/>
      <c r="B219" s="15">
        <v>2</v>
      </c>
      <c r="C219" s="15">
        <v>5</v>
      </c>
      <c r="D219" s="16">
        <f>ROW(A219)-(ROW(A$218))</f>
        <v>1</v>
      </c>
      <c r="E219" s="17" t="s">
        <v>192</v>
      </c>
      <c r="F219" s="66" t="s">
        <v>584</v>
      </c>
      <c r="G219" s="18" t="s">
        <v>11</v>
      </c>
      <c r="H219" s="19"/>
      <c r="I219" s="2"/>
    </row>
    <row r="220" spans="1:9" ht="21.6" x14ac:dyDescent="0.3">
      <c r="A220" s="2"/>
      <c r="B220" s="15">
        <v>2</v>
      </c>
      <c r="C220" s="15">
        <v>5</v>
      </c>
      <c r="D220" s="16">
        <f t="shared" ref="D220:D244" si="9">ROW(A220)-(ROW(A$218))</f>
        <v>2</v>
      </c>
      <c r="E220" s="17" t="s">
        <v>586</v>
      </c>
      <c r="F220" s="66" t="s">
        <v>585</v>
      </c>
      <c r="G220" s="18" t="s">
        <v>11</v>
      </c>
      <c r="H220" s="19"/>
      <c r="I220" s="2"/>
    </row>
    <row r="221" spans="1:9" ht="21.6" x14ac:dyDescent="0.3">
      <c r="A221" s="2"/>
      <c r="B221" s="15">
        <v>2</v>
      </c>
      <c r="C221" s="15">
        <v>5</v>
      </c>
      <c r="D221" s="16">
        <f t="shared" si="9"/>
        <v>3</v>
      </c>
      <c r="E221" s="17" t="s">
        <v>588</v>
      </c>
      <c r="F221" s="66" t="s">
        <v>587</v>
      </c>
      <c r="G221" s="18" t="s">
        <v>11</v>
      </c>
      <c r="H221" s="19"/>
      <c r="I221" s="2"/>
    </row>
    <row r="222" spans="1:9" ht="32.4" x14ac:dyDescent="0.3">
      <c r="A222" s="2"/>
      <c r="B222" s="15">
        <v>2</v>
      </c>
      <c r="C222" s="15">
        <v>5</v>
      </c>
      <c r="D222" s="16">
        <f t="shared" si="9"/>
        <v>4</v>
      </c>
      <c r="E222" s="17" t="s">
        <v>590</v>
      </c>
      <c r="F222" s="66" t="s">
        <v>589</v>
      </c>
      <c r="G222" s="18" t="s">
        <v>11</v>
      </c>
      <c r="H222" s="19"/>
      <c r="I222" s="2"/>
    </row>
    <row r="223" spans="1:9" ht="21.6" x14ac:dyDescent="0.3">
      <c r="A223" s="2"/>
      <c r="B223" s="15">
        <v>2</v>
      </c>
      <c r="C223" s="15">
        <v>5</v>
      </c>
      <c r="D223" s="16">
        <f t="shared" si="9"/>
        <v>5</v>
      </c>
      <c r="E223" s="17" t="s">
        <v>592</v>
      </c>
      <c r="F223" s="66" t="s">
        <v>591</v>
      </c>
      <c r="G223" s="18" t="s">
        <v>11</v>
      </c>
      <c r="H223" s="19"/>
      <c r="I223" s="2"/>
    </row>
    <row r="224" spans="1:9" ht="21.6" x14ac:dyDescent="0.3">
      <c r="A224" s="2"/>
      <c r="B224" s="15">
        <v>2</v>
      </c>
      <c r="C224" s="15">
        <v>5</v>
      </c>
      <c r="D224" s="16">
        <f t="shared" si="9"/>
        <v>6</v>
      </c>
      <c r="E224" s="17" t="s">
        <v>593</v>
      </c>
      <c r="F224" s="66" t="s">
        <v>581</v>
      </c>
      <c r="G224" s="18" t="s">
        <v>11</v>
      </c>
      <c r="H224" s="19"/>
      <c r="I224" s="2"/>
    </row>
    <row r="225" spans="1:9" ht="43.2" x14ac:dyDescent="0.3">
      <c r="A225" s="2"/>
      <c r="B225" s="15">
        <v>2</v>
      </c>
      <c r="C225" s="15">
        <v>5</v>
      </c>
      <c r="D225" s="16">
        <f t="shared" si="9"/>
        <v>7</v>
      </c>
      <c r="E225" s="17" t="s">
        <v>597</v>
      </c>
      <c r="F225" s="66" t="s">
        <v>596</v>
      </c>
      <c r="G225" s="18" t="s">
        <v>11</v>
      </c>
      <c r="H225" s="19"/>
      <c r="I225" s="2"/>
    </row>
    <row r="226" spans="1:9" ht="32.4" x14ac:dyDescent="0.3">
      <c r="A226" s="2"/>
      <c r="B226" s="15">
        <v>2</v>
      </c>
      <c r="C226" s="15">
        <v>5</v>
      </c>
      <c r="D226" s="16">
        <f t="shared" si="9"/>
        <v>8</v>
      </c>
      <c r="E226" s="17" t="s">
        <v>595</v>
      </c>
      <c r="F226" s="66" t="s">
        <v>594</v>
      </c>
      <c r="G226" s="18" t="s">
        <v>11</v>
      </c>
      <c r="H226" s="19"/>
      <c r="I226" s="2"/>
    </row>
    <row r="227" spans="1:9" ht="54" x14ac:dyDescent="0.3">
      <c r="A227" s="2"/>
      <c r="B227" s="15">
        <v>2</v>
      </c>
      <c r="C227" s="15">
        <v>5</v>
      </c>
      <c r="D227" s="16">
        <f t="shared" si="9"/>
        <v>9</v>
      </c>
      <c r="E227" s="17" t="s">
        <v>598</v>
      </c>
      <c r="F227" s="66" t="s">
        <v>599</v>
      </c>
      <c r="G227" s="18" t="s">
        <v>11</v>
      </c>
      <c r="H227" s="19"/>
      <c r="I227" s="2"/>
    </row>
    <row r="228" spans="1:9" ht="21.6" x14ac:dyDescent="0.3">
      <c r="A228" s="2"/>
      <c r="B228" s="15">
        <v>2</v>
      </c>
      <c r="C228" s="15">
        <v>5</v>
      </c>
      <c r="D228" s="16">
        <f t="shared" si="9"/>
        <v>10</v>
      </c>
      <c r="E228" s="17" t="s">
        <v>601</v>
      </c>
      <c r="F228" s="66" t="s">
        <v>600</v>
      </c>
      <c r="G228" s="18" t="s">
        <v>11</v>
      </c>
      <c r="H228" s="19"/>
      <c r="I228" s="2"/>
    </row>
    <row r="229" spans="1:9" ht="13.2" x14ac:dyDescent="0.3">
      <c r="A229" s="2"/>
      <c r="B229" s="15">
        <v>2</v>
      </c>
      <c r="C229" s="15">
        <v>5</v>
      </c>
      <c r="D229" s="16">
        <f t="shared" si="9"/>
        <v>11</v>
      </c>
      <c r="E229" s="17" t="s">
        <v>602</v>
      </c>
      <c r="F229" s="66" t="s">
        <v>604</v>
      </c>
      <c r="G229" s="18" t="s">
        <v>11</v>
      </c>
      <c r="H229" s="19"/>
      <c r="I229" s="2"/>
    </row>
    <row r="230" spans="1:9" ht="21.6" x14ac:dyDescent="0.3">
      <c r="A230" s="2"/>
      <c r="B230" s="15">
        <v>2</v>
      </c>
      <c r="C230" s="15">
        <v>5</v>
      </c>
      <c r="D230" s="16">
        <f t="shared" si="9"/>
        <v>12</v>
      </c>
      <c r="E230" s="17" t="s">
        <v>605</v>
      </c>
      <c r="F230" s="66" t="s">
        <v>603</v>
      </c>
      <c r="G230" s="18" t="s">
        <v>11</v>
      </c>
      <c r="H230" s="19"/>
      <c r="I230" s="2"/>
    </row>
    <row r="231" spans="1:9" ht="32.4" x14ac:dyDescent="0.3">
      <c r="A231" s="2"/>
      <c r="B231" s="15">
        <v>2</v>
      </c>
      <c r="C231" s="15">
        <v>5</v>
      </c>
      <c r="D231" s="16">
        <f t="shared" si="9"/>
        <v>13</v>
      </c>
      <c r="E231" s="17" t="s">
        <v>425</v>
      </c>
      <c r="F231" s="66" t="s">
        <v>606</v>
      </c>
      <c r="G231" s="18" t="s">
        <v>11</v>
      </c>
      <c r="H231" s="19"/>
      <c r="I231" s="2"/>
    </row>
    <row r="232" spans="1:9" ht="21.6" x14ac:dyDescent="0.3">
      <c r="A232" s="2"/>
      <c r="B232" s="15">
        <v>2</v>
      </c>
      <c r="C232" s="15">
        <v>5</v>
      </c>
      <c r="D232" s="16">
        <f t="shared" si="9"/>
        <v>14</v>
      </c>
      <c r="E232" s="17" t="s">
        <v>426</v>
      </c>
      <c r="F232" s="66" t="s">
        <v>582</v>
      </c>
      <c r="G232" s="18" t="s">
        <v>11</v>
      </c>
      <c r="H232" s="19"/>
      <c r="I232" s="2"/>
    </row>
    <row r="233" spans="1:9" ht="32.4" x14ac:dyDescent="0.3">
      <c r="A233" s="2"/>
      <c r="B233" s="15">
        <v>2</v>
      </c>
      <c r="C233" s="15">
        <v>5</v>
      </c>
      <c r="D233" s="16">
        <f t="shared" si="9"/>
        <v>15</v>
      </c>
      <c r="E233" s="17" t="s">
        <v>608</v>
      </c>
      <c r="F233" s="66" t="s">
        <v>607</v>
      </c>
      <c r="G233" s="18" t="s">
        <v>11</v>
      </c>
      <c r="H233" s="19"/>
      <c r="I233" s="2"/>
    </row>
    <row r="234" spans="1:9" ht="43.2" x14ac:dyDescent="0.3">
      <c r="A234" s="2"/>
      <c r="B234" s="15">
        <v>2</v>
      </c>
      <c r="C234" s="15">
        <v>5</v>
      </c>
      <c r="D234" s="16">
        <f t="shared" si="9"/>
        <v>16</v>
      </c>
      <c r="E234" s="17" t="s">
        <v>441</v>
      </c>
      <c r="F234" s="66" t="s">
        <v>679</v>
      </c>
      <c r="G234" s="18" t="s">
        <v>11</v>
      </c>
      <c r="H234" s="19"/>
      <c r="I234" s="2"/>
    </row>
    <row r="235" spans="1:9" ht="21.6" x14ac:dyDescent="0.3">
      <c r="A235" s="2"/>
      <c r="B235" s="15">
        <v>2</v>
      </c>
      <c r="C235" s="15">
        <v>5</v>
      </c>
      <c r="D235" s="16">
        <f t="shared" si="9"/>
        <v>17</v>
      </c>
      <c r="E235" s="17" t="s">
        <v>610</v>
      </c>
      <c r="F235" s="66" t="s">
        <v>609</v>
      </c>
      <c r="G235" s="18" t="s">
        <v>11</v>
      </c>
      <c r="H235" s="19"/>
      <c r="I235" s="2"/>
    </row>
    <row r="236" spans="1:9" ht="32.4" x14ac:dyDescent="0.3">
      <c r="A236" s="2"/>
      <c r="B236" s="15">
        <v>2</v>
      </c>
      <c r="C236" s="15">
        <v>5</v>
      </c>
      <c r="D236" s="16">
        <f t="shared" si="9"/>
        <v>18</v>
      </c>
      <c r="E236" s="17" t="s">
        <v>611</v>
      </c>
      <c r="F236" s="66" t="s">
        <v>612</v>
      </c>
      <c r="G236" s="18" t="s">
        <v>11</v>
      </c>
      <c r="H236" s="19"/>
      <c r="I236" s="2"/>
    </row>
    <row r="237" spans="1:9" ht="21.6" x14ac:dyDescent="0.3">
      <c r="A237" s="2"/>
      <c r="B237" s="15">
        <v>2</v>
      </c>
      <c r="C237" s="15">
        <v>5</v>
      </c>
      <c r="D237" s="16">
        <f t="shared" si="9"/>
        <v>19</v>
      </c>
      <c r="E237" s="17" t="s">
        <v>613</v>
      </c>
      <c r="F237" s="66" t="s">
        <v>417</v>
      </c>
      <c r="G237" s="18" t="s">
        <v>11</v>
      </c>
      <c r="H237" s="19"/>
      <c r="I237" s="2"/>
    </row>
    <row r="238" spans="1:9" ht="43.2" x14ac:dyDescent="0.3">
      <c r="A238" s="2"/>
      <c r="B238" s="15">
        <v>2</v>
      </c>
      <c r="C238" s="15">
        <v>5</v>
      </c>
      <c r="D238" s="16">
        <f t="shared" si="9"/>
        <v>20</v>
      </c>
      <c r="E238" s="17" t="s">
        <v>450</v>
      </c>
      <c r="F238" s="66" t="s">
        <v>449</v>
      </c>
      <c r="G238" s="18" t="s">
        <v>11</v>
      </c>
      <c r="H238" s="19"/>
      <c r="I238" s="2"/>
    </row>
    <row r="239" spans="1:9" ht="32.4" x14ac:dyDescent="0.3">
      <c r="A239" s="2"/>
      <c r="B239" s="15">
        <v>2</v>
      </c>
      <c r="C239" s="15">
        <v>5</v>
      </c>
      <c r="D239" s="16">
        <f t="shared" si="9"/>
        <v>21</v>
      </c>
      <c r="E239" s="17" t="s">
        <v>452</v>
      </c>
      <c r="F239" s="66" t="s">
        <v>451</v>
      </c>
      <c r="G239" s="18" t="s">
        <v>11</v>
      </c>
      <c r="H239" s="19"/>
      <c r="I239" s="2"/>
    </row>
    <row r="240" spans="1:9" ht="32.4" x14ac:dyDescent="0.3">
      <c r="A240" s="2"/>
      <c r="B240" s="15">
        <v>2</v>
      </c>
      <c r="C240" s="15">
        <v>5</v>
      </c>
      <c r="D240" s="16">
        <f t="shared" si="9"/>
        <v>22</v>
      </c>
      <c r="E240" s="17" t="s">
        <v>454</v>
      </c>
      <c r="F240" s="66" t="s">
        <v>453</v>
      </c>
      <c r="G240" s="18" t="s">
        <v>11</v>
      </c>
      <c r="H240" s="19"/>
      <c r="I240" s="2"/>
    </row>
    <row r="241" spans="1:9" ht="32.4" x14ac:dyDescent="0.3">
      <c r="A241" s="2"/>
      <c r="B241" s="15">
        <v>2</v>
      </c>
      <c r="C241" s="15">
        <v>5</v>
      </c>
      <c r="D241" s="16">
        <f t="shared" si="9"/>
        <v>23</v>
      </c>
      <c r="E241" s="17" t="s">
        <v>456</v>
      </c>
      <c r="F241" s="66" t="s">
        <v>455</v>
      </c>
      <c r="G241" s="18" t="s">
        <v>11</v>
      </c>
      <c r="H241" s="19"/>
      <c r="I241" s="2"/>
    </row>
    <row r="242" spans="1:9" ht="21.6" x14ac:dyDescent="0.3">
      <c r="A242" s="2"/>
      <c r="B242" s="15">
        <v>2</v>
      </c>
      <c r="C242" s="15">
        <v>5</v>
      </c>
      <c r="D242" s="16">
        <f t="shared" si="9"/>
        <v>24</v>
      </c>
      <c r="E242" s="17" t="s">
        <v>552</v>
      </c>
      <c r="F242" s="66" t="s">
        <v>457</v>
      </c>
      <c r="G242" s="18" t="s">
        <v>11</v>
      </c>
      <c r="H242" s="19"/>
      <c r="I242" s="2"/>
    </row>
    <row r="243" spans="1:9" ht="54" x14ac:dyDescent="0.3">
      <c r="A243" s="2"/>
      <c r="B243" s="15">
        <v>2</v>
      </c>
      <c r="C243" s="15">
        <v>5</v>
      </c>
      <c r="D243" s="16">
        <f t="shared" si="9"/>
        <v>25</v>
      </c>
      <c r="E243" s="17" t="s">
        <v>554</v>
      </c>
      <c r="F243" s="66" t="s">
        <v>553</v>
      </c>
      <c r="G243" s="18" t="s">
        <v>11</v>
      </c>
      <c r="H243" s="19"/>
      <c r="I243" s="2"/>
    </row>
    <row r="244" spans="1:9" ht="32.4" x14ac:dyDescent="0.3">
      <c r="A244" s="2"/>
      <c r="B244" s="15">
        <v>2</v>
      </c>
      <c r="C244" s="15">
        <v>5</v>
      </c>
      <c r="D244" s="16">
        <f t="shared" si="9"/>
        <v>26</v>
      </c>
      <c r="E244" s="17" t="s">
        <v>615</v>
      </c>
      <c r="F244" s="66" t="s">
        <v>614</v>
      </c>
      <c r="G244" s="18" t="s">
        <v>11</v>
      </c>
      <c r="H244" s="19"/>
      <c r="I244" s="2"/>
    </row>
    <row r="245" spans="1:9" ht="18.75" customHeight="1" x14ac:dyDescent="0.3">
      <c r="A245" s="2"/>
      <c r="B245" s="10" t="s">
        <v>23</v>
      </c>
      <c r="C245" s="11"/>
      <c r="D245" s="11"/>
      <c r="E245" s="12" t="str">
        <f>IF(B245=0,"",VLOOKUP(B245,Daten!$A$2:$B$56,2,FALSE))</f>
        <v>Schutzleitfaden-206</v>
      </c>
      <c r="F245" s="12" t="str">
        <f>VLOOKUP(E245,Daten!$B$2:$C$56,2,)</f>
        <v>Befüllen von Säcken</v>
      </c>
      <c r="G245" s="13"/>
      <c r="H245" s="14"/>
      <c r="I245" s="2"/>
    </row>
    <row r="246" spans="1:9" ht="21.6" x14ac:dyDescent="0.3">
      <c r="A246" s="2"/>
      <c r="B246" s="15">
        <v>2</v>
      </c>
      <c r="C246" s="15">
        <v>6</v>
      </c>
      <c r="D246" s="16">
        <f>ROW(A246)-(ROW(A$245))</f>
        <v>1</v>
      </c>
      <c r="E246" s="17" t="s">
        <v>617</v>
      </c>
      <c r="F246" s="66" t="s">
        <v>616</v>
      </c>
      <c r="G246" s="18" t="s">
        <v>11</v>
      </c>
      <c r="H246" s="19"/>
      <c r="I246" s="2"/>
    </row>
    <row r="247" spans="1:9" ht="21.6" x14ac:dyDescent="0.3">
      <c r="A247" s="2"/>
      <c r="B247" s="15">
        <v>2</v>
      </c>
      <c r="C247" s="15">
        <v>6</v>
      </c>
      <c r="D247" s="16">
        <f t="shared" ref="D247:D272" si="10">ROW(A247)-(ROW(A$245))</f>
        <v>2</v>
      </c>
      <c r="E247" s="17" t="s">
        <v>619</v>
      </c>
      <c r="F247" s="66" t="s">
        <v>618</v>
      </c>
      <c r="G247" s="18" t="s">
        <v>11</v>
      </c>
      <c r="H247" s="19"/>
      <c r="I247" s="2"/>
    </row>
    <row r="248" spans="1:9" ht="32.4" x14ac:dyDescent="0.3">
      <c r="A248" s="2"/>
      <c r="B248" s="15">
        <v>2</v>
      </c>
      <c r="C248" s="15">
        <v>6</v>
      </c>
      <c r="D248" s="16">
        <f t="shared" si="10"/>
        <v>3</v>
      </c>
      <c r="E248" s="17" t="s">
        <v>621</v>
      </c>
      <c r="F248" s="66" t="s">
        <v>620</v>
      </c>
      <c r="G248" s="18" t="s">
        <v>11</v>
      </c>
      <c r="H248" s="19"/>
      <c r="I248" s="2"/>
    </row>
    <row r="249" spans="1:9" ht="21.6" x14ac:dyDescent="0.3">
      <c r="A249" s="2"/>
      <c r="B249" s="15">
        <v>2</v>
      </c>
      <c r="C249" s="15">
        <v>6</v>
      </c>
      <c r="D249" s="16">
        <f t="shared" si="10"/>
        <v>4</v>
      </c>
      <c r="E249" s="17" t="s">
        <v>622</v>
      </c>
      <c r="F249" s="66" t="s">
        <v>624</v>
      </c>
      <c r="G249" s="18" t="s">
        <v>11</v>
      </c>
      <c r="H249" s="19"/>
      <c r="I249" s="2"/>
    </row>
    <row r="250" spans="1:9" ht="54" x14ac:dyDescent="0.3">
      <c r="A250" s="2"/>
      <c r="B250" s="15">
        <v>2</v>
      </c>
      <c r="C250" s="15">
        <v>6</v>
      </c>
      <c r="D250" s="16">
        <f t="shared" si="10"/>
        <v>5</v>
      </c>
      <c r="E250" s="17" t="s">
        <v>623</v>
      </c>
      <c r="F250" s="66" t="s">
        <v>626</v>
      </c>
      <c r="G250" s="18" t="s">
        <v>11</v>
      </c>
      <c r="H250" s="19"/>
      <c r="I250" s="2"/>
    </row>
    <row r="251" spans="1:9" ht="21.6" x14ac:dyDescent="0.3">
      <c r="A251" s="2"/>
      <c r="B251" s="15">
        <v>2</v>
      </c>
      <c r="C251" s="15">
        <v>6</v>
      </c>
      <c r="D251" s="16">
        <f t="shared" si="10"/>
        <v>6</v>
      </c>
      <c r="E251" s="17" t="s">
        <v>629</v>
      </c>
      <c r="F251" s="66" t="s">
        <v>625</v>
      </c>
      <c r="G251" s="18" t="s">
        <v>11</v>
      </c>
      <c r="H251" s="19"/>
      <c r="I251" s="2"/>
    </row>
    <row r="252" spans="1:9" ht="32.4" x14ac:dyDescent="0.3">
      <c r="A252" s="2"/>
      <c r="B252" s="15">
        <v>2</v>
      </c>
      <c r="C252" s="15">
        <v>6</v>
      </c>
      <c r="D252" s="16">
        <f t="shared" si="10"/>
        <v>7</v>
      </c>
      <c r="E252" s="17" t="s">
        <v>628</v>
      </c>
      <c r="F252" s="66" t="s">
        <v>627</v>
      </c>
      <c r="G252" s="18" t="s">
        <v>11</v>
      </c>
      <c r="H252" s="19"/>
      <c r="I252" s="2"/>
    </row>
    <row r="253" spans="1:9" ht="21.6" x14ac:dyDescent="0.3">
      <c r="A253" s="2"/>
      <c r="B253" s="15">
        <v>2</v>
      </c>
      <c r="C253" s="15">
        <v>6</v>
      </c>
      <c r="D253" s="16">
        <f t="shared" si="10"/>
        <v>8</v>
      </c>
      <c r="E253" s="17" t="s">
        <v>631</v>
      </c>
      <c r="F253" s="66" t="s">
        <v>630</v>
      </c>
      <c r="G253" s="18" t="s">
        <v>11</v>
      </c>
      <c r="H253" s="19"/>
      <c r="I253" s="2"/>
    </row>
    <row r="254" spans="1:9" ht="32.4" x14ac:dyDescent="0.3">
      <c r="A254" s="2"/>
      <c r="B254" s="15">
        <v>2</v>
      </c>
      <c r="C254" s="15">
        <v>6</v>
      </c>
      <c r="D254" s="16">
        <f t="shared" si="10"/>
        <v>9</v>
      </c>
      <c r="E254" s="17" t="s">
        <v>425</v>
      </c>
      <c r="F254" s="66" t="s">
        <v>606</v>
      </c>
      <c r="G254" s="18" t="s">
        <v>11</v>
      </c>
      <c r="H254" s="19"/>
      <c r="I254" s="2"/>
    </row>
    <row r="255" spans="1:9" ht="21.6" x14ac:dyDescent="0.3">
      <c r="A255" s="2"/>
      <c r="B255" s="15">
        <v>2</v>
      </c>
      <c r="C255" s="15">
        <v>6</v>
      </c>
      <c r="D255" s="16">
        <f t="shared" si="10"/>
        <v>10</v>
      </c>
      <c r="E255" s="17" t="s">
        <v>426</v>
      </c>
      <c r="F255" s="66" t="s">
        <v>582</v>
      </c>
      <c r="G255" s="18" t="s">
        <v>11</v>
      </c>
      <c r="H255" s="19"/>
      <c r="I255" s="2"/>
    </row>
    <row r="256" spans="1:9" ht="21.6" x14ac:dyDescent="0.3">
      <c r="A256" s="2"/>
      <c r="B256" s="15">
        <v>2</v>
      </c>
      <c r="C256" s="15">
        <v>6</v>
      </c>
      <c r="D256" s="16">
        <f t="shared" si="10"/>
        <v>11</v>
      </c>
      <c r="E256" s="17" t="s">
        <v>635</v>
      </c>
      <c r="F256" s="66" t="s">
        <v>634</v>
      </c>
      <c r="G256" s="18" t="s">
        <v>11</v>
      </c>
      <c r="H256" s="19"/>
      <c r="I256" s="2"/>
    </row>
    <row r="257" spans="1:9" ht="64.8" x14ac:dyDescent="0.3">
      <c r="A257" s="2"/>
      <c r="B257" s="15">
        <v>2</v>
      </c>
      <c r="C257" s="15">
        <v>6</v>
      </c>
      <c r="D257" s="16">
        <f t="shared" si="10"/>
        <v>12</v>
      </c>
      <c r="E257" s="17" t="s">
        <v>637</v>
      </c>
      <c r="F257" s="66" t="s">
        <v>636</v>
      </c>
      <c r="G257" s="18" t="s">
        <v>11</v>
      </c>
      <c r="H257" s="19"/>
      <c r="I257" s="2"/>
    </row>
    <row r="258" spans="1:9" ht="32.4" x14ac:dyDescent="0.3">
      <c r="A258" s="2"/>
      <c r="B258" s="15">
        <v>2</v>
      </c>
      <c r="C258" s="15">
        <v>6</v>
      </c>
      <c r="D258" s="16">
        <f t="shared" si="10"/>
        <v>13</v>
      </c>
      <c r="E258" s="17" t="s">
        <v>633</v>
      </c>
      <c r="F258" s="66" t="s">
        <v>632</v>
      </c>
      <c r="G258" s="18" t="s">
        <v>11</v>
      </c>
      <c r="H258" s="19"/>
      <c r="I258" s="2"/>
    </row>
    <row r="259" spans="1:9" ht="21.6" x14ac:dyDescent="0.3">
      <c r="A259" s="2"/>
      <c r="B259" s="15">
        <v>2</v>
      </c>
      <c r="C259" s="15">
        <v>6</v>
      </c>
      <c r="D259" s="16">
        <f t="shared" si="10"/>
        <v>14</v>
      </c>
      <c r="E259" s="17" t="s">
        <v>639</v>
      </c>
      <c r="F259" s="66" t="s">
        <v>638</v>
      </c>
      <c r="G259" s="18" t="s">
        <v>11</v>
      </c>
      <c r="H259" s="19"/>
      <c r="I259" s="2"/>
    </row>
    <row r="260" spans="1:9" ht="43.2" x14ac:dyDescent="0.3">
      <c r="A260" s="2"/>
      <c r="B260" s="15">
        <v>2</v>
      </c>
      <c r="C260" s="15">
        <v>6</v>
      </c>
      <c r="D260" s="16">
        <f t="shared" si="10"/>
        <v>15</v>
      </c>
      <c r="E260" s="17" t="s">
        <v>441</v>
      </c>
      <c r="F260" s="66" t="s">
        <v>679</v>
      </c>
      <c r="G260" s="18" t="s">
        <v>11</v>
      </c>
      <c r="H260" s="19"/>
      <c r="I260" s="2"/>
    </row>
    <row r="261" spans="1:9" ht="32.4" x14ac:dyDescent="0.3">
      <c r="A261" s="2"/>
      <c r="B261" s="15">
        <v>2</v>
      </c>
      <c r="C261" s="15">
        <v>6</v>
      </c>
      <c r="D261" s="16">
        <f t="shared" si="10"/>
        <v>16</v>
      </c>
      <c r="E261" s="17" t="s">
        <v>640</v>
      </c>
      <c r="F261" s="66" t="s">
        <v>641</v>
      </c>
      <c r="G261" s="18" t="s">
        <v>11</v>
      </c>
      <c r="H261" s="19"/>
      <c r="I261" s="2"/>
    </row>
    <row r="262" spans="1:9" ht="21.6" x14ac:dyDescent="0.3">
      <c r="A262" s="2"/>
      <c r="B262" s="15">
        <v>2</v>
      </c>
      <c r="C262" s="15">
        <v>6</v>
      </c>
      <c r="D262" s="16">
        <f t="shared" si="10"/>
        <v>17</v>
      </c>
      <c r="E262" s="17" t="s">
        <v>643</v>
      </c>
      <c r="F262" s="66" t="s">
        <v>642</v>
      </c>
      <c r="G262" s="18" t="s">
        <v>11</v>
      </c>
      <c r="H262" s="19"/>
      <c r="I262" s="2"/>
    </row>
    <row r="263" spans="1:9" ht="43.2" x14ac:dyDescent="0.3">
      <c r="A263" s="2"/>
      <c r="B263" s="15">
        <v>2</v>
      </c>
      <c r="C263" s="15">
        <v>6</v>
      </c>
      <c r="D263" s="16">
        <f t="shared" si="10"/>
        <v>18</v>
      </c>
      <c r="E263" s="17" t="s">
        <v>450</v>
      </c>
      <c r="F263" s="66" t="s">
        <v>449</v>
      </c>
      <c r="G263" s="18" t="s">
        <v>11</v>
      </c>
      <c r="H263" s="19"/>
      <c r="I263" s="2"/>
    </row>
    <row r="264" spans="1:9" ht="32.4" x14ac:dyDescent="0.3">
      <c r="A264" s="2"/>
      <c r="B264" s="15">
        <v>2</v>
      </c>
      <c r="C264" s="15">
        <v>6</v>
      </c>
      <c r="D264" s="16">
        <f t="shared" si="10"/>
        <v>19</v>
      </c>
      <c r="E264" s="17" t="s">
        <v>452</v>
      </c>
      <c r="F264" s="66" t="s">
        <v>451</v>
      </c>
      <c r="G264" s="18" t="s">
        <v>11</v>
      </c>
      <c r="H264" s="19"/>
      <c r="I264" s="2"/>
    </row>
    <row r="265" spans="1:9" ht="32.4" x14ac:dyDescent="0.3">
      <c r="A265" s="2"/>
      <c r="B265" s="15">
        <v>2</v>
      </c>
      <c r="C265" s="15">
        <v>6</v>
      </c>
      <c r="D265" s="16">
        <f t="shared" si="10"/>
        <v>20</v>
      </c>
      <c r="E265" s="17" t="s">
        <v>454</v>
      </c>
      <c r="F265" s="66" t="s">
        <v>453</v>
      </c>
      <c r="G265" s="18" t="s">
        <v>11</v>
      </c>
      <c r="H265" s="19"/>
      <c r="I265" s="2"/>
    </row>
    <row r="266" spans="1:9" ht="32.4" x14ac:dyDescent="0.3">
      <c r="A266" s="2"/>
      <c r="B266" s="15">
        <v>2</v>
      </c>
      <c r="C266" s="15">
        <v>6</v>
      </c>
      <c r="D266" s="16">
        <f t="shared" si="10"/>
        <v>21</v>
      </c>
      <c r="E266" s="17" t="s">
        <v>456</v>
      </c>
      <c r="F266" s="66" t="s">
        <v>455</v>
      </c>
      <c r="G266" s="18" t="s">
        <v>11</v>
      </c>
      <c r="H266" s="19"/>
      <c r="I266" s="2"/>
    </row>
    <row r="267" spans="1:9" ht="21.6" x14ac:dyDescent="0.3">
      <c r="A267" s="2"/>
      <c r="B267" s="15">
        <v>2</v>
      </c>
      <c r="C267" s="15">
        <v>6</v>
      </c>
      <c r="D267" s="16">
        <f t="shared" si="10"/>
        <v>22</v>
      </c>
      <c r="E267" s="17" t="s">
        <v>552</v>
      </c>
      <c r="F267" s="66" t="s">
        <v>457</v>
      </c>
      <c r="G267" s="18" t="s">
        <v>11</v>
      </c>
      <c r="H267" s="19"/>
      <c r="I267" s="2"/>
    </row>
    <row r="268" spans="1:9" ht="54" x14ac:dyDescent="0.3">
      <c r="A268" s="2"/>
      <c r="B268" s="15">
        <v>2</v>
      </c>
      <c r="C268" s="15">
        <v>6</v>
      </c>
      <c r="D268" s="16">
        <f t="shared" si="10"/>
        <v>23</v>
      </c>
      <c r="E268" s="17" t="s">
        <v>554</v>
      </c>
      <c r="F268" s="66" t="s">
        <v>553</v>
      </c>
      <c r="G268" s="18" t="s">
        <v>11</v>
      </c>
      <c r="H268" s="19"/>
      <c r="I268" s="2"/>
    </row>
    <row r="269" spans="1:9" ht="43.2" x14ac:dyDescent="0.3">
      <c r="A269" s="2"/>
      <c r="B269" s="15">
        <v>2</v>
      </c>
      <c r="C269" s="15">
        <v>6</v>
      </c>
      <c r="D269" s="16">
        <f t="shared" si="10"/>
        <v>24</v>
      </c>
      <c r="E269" s="17" t="s">
        <v>645</v>
      </c>
      <c r="F269" s="66" t="s">
        <v>644</v>
      </c>
      <c r="G269" s="18" t="s">
        <v>11</v>
      </c>
      <c r="H269" s="19"/>
      <c r="I269" s="2"/>
    </row>
    <row r="270" spans="1:9" ht="32.4" x14ac:dyDescent="0.3">
      <c r="A270" s="2"/>
      <c r="B270" s="15">
        <v>2</v>
      </c>
      <c r="C270" s="15">
        <v>6</v>
      </c>
      <c r="D270" s="16">
        <f t="shared" si="10"/>
        <v>25</v>
      </c>
      <c r="E270" s="17" t="s">
        <v>615</v>
      </c>
      <c r="F270" s="66" t="s">
        <v>614</v>
      </c>
      <c r="G270" s="18" t="s">
        <v>11</v>
      </c>
      <c r="H270" s="19"/>
      <c r="I270" s="2"/>
    </row>
    <row r="271" spans="1:9" ht="21.6" x14ac:dyDescent="0.3">
      <c r="A271" s="2"/>
      <c r="B271" s="15">
        <v>2</v>
      </c>
      <c r="C271" s="15">
        <v>6</v>
      </c>
      <c r="D271" s="16">
        <f t="shared" si="10"/>
        <v>26</v>
      </c>
      <c r="E271" s="17" t="s">
        <v>647</v>
      </c>
      <c r="F271" s="66" t="s">
        <v>646</v>
      </c>
      <c r="G271" s="18" t="s">
        <v>11</v>
      </c>
      <c r="H271" s="19"/>
      <c r="I271" s="2"/>
    </row>
    <row r="272" spans="1:9" ht="32.4" x14ac:dyDescent="0.3">
      <c r="A272" s="2"/>
      <c r="B272" s="15">
        <v>2</v>
      </c>
      <c r="C272" s="15">
        <v>6</v>
      </c>
      <c r="D272" s="16">
        <f t="shared" si="10"/>
        <v>27</v>
      </c>
      <c r="E272" s="17" t="s">
        <v>649</v>
      </c>
      <c r="F272" s="66" t="s">
        <v>648</v>
      </c>
      <c r="G272" s="18" t="s">
        <v>11</v>
      </c>
      <c r="H272" s="19"/>
      <c r="I272" s="2"/>
    </row>
    <row r="273" spans="1:9" ht="18.75" customHeight="1" x14ac:dyDescent="0.3">
      <c r="A273" s="2"/>
      <c r="B273" s="10" t="s">
        <v>58</v>
      </c>
      <c r="C273" s="11"/>
      <c r="D273" s="11"/>
      <c r="E273" s="12" t="str">
        <f>IF(B273=0,"",VLOOKUP(B273,Daten!$A$2:$B$56,2,FALSE))</f>
        <v>Schutzleitfaden-208</v>
      </c>
      <c r="F273" s="12" t="str">
        <f>VLOOKUP(E273,Daten!$B$2:$C$56,2,)</f>
        <v>Entleeren von Säcken</v>
      </c>
      <c r="G273" s="13"/>
      <c r="H273" s="14"/>
      <c r="I273" s="2"/>
    </row>
    <row r="274" spans="1:9" ht="21.6" x14ac:dyDescent="0.3">
      <c r="A274" s="2"/>
      <c r="B274" s="15">
        <v>2</v>
      </c>
      <c r="C274" s="15">
        <v>7</v>
      </c>
      <c r="D274" s="16">
        <f>ROW(A274)-(ROW(A$273))</f>
        <v>1</v>
      </c>
      <c r="E274" s="17" t="s">
        <v>651</v>
      </c>
      <c r="F274" s="66" t="s">
        <v>650</v>
      </c>
      <c r="G274" s="18" t="s">
        <v>11</v>
      </c>
      <c r="H274" s="19"/>
      <c r="I274" s="2"/>
    </row>
    <row r="275" spans="1:9" ht="21.6" x14ac:dyDescent="0.3">
      <c r="A275" s="2"/>
      <c r="B275" s="15">
        <v>2</v>
      </c>
      <c r="C275" s="15">
        <v>7</v>
      </c>
      <c r="D275" s="16">
        <f t="shared" ref="D275:D296" si="11">ROW(A275)-(ROW(A$273))</f>
        <v>2</v>
      </c>
      <c r="E275" s="17" t="s">
        <v>619</v>
      </c>
      <c r="F275" s="66" t="s">
        <v>652</v>
      </c>
      <c r="G275" s="18" t="s">
        <v>11</v>
      </c>
      <c r="H275" s="19"/>
      <c r="I275" s="2"/>
    </row>
    <row r="276" spans="1:9" ht="21.6" x14ac:dyDescent="0.3">
      <c r="A276" s="2"/>
      <c r="B276" s="15">
        <v>2</v>
      </c>
      <c r="C276" s="15">
        <v>7</v>
      </c>
      <c r="D276" s="16">
        <f t="shared" si="11"/>
        <v>3</v>
      </c>
      <c r="E276" s="17" t="s">
        <v>657</v>
      </c>
      <c r="F276" s="66" t="s">
        <v>653</v>
      </c>
      <c r="G276" s="18" t="s">
        <v>11</v>
      </c>
      <c r="H276" s="19"/>
      <c r="I276" s="2"/>
    </row>
    <row r="277" spans="1:9" ht="54" x14ac:dyDescent="0.3">
      <c r="A277" s="2"/>
      <c r="B277" s="15">
        <v>2</v>
      </c>
      <c r="C277" s="15">
        <v>7</v>
      </c>
      <c r="D277" s="16">
        <f t="shared" si="11"/>
        <v>4</v>
      </c>
      <c r="E277" s="17" t="s">
        <v>659</v>
      </c>
      <c r="F277" s="66" t="s">
        <v>661</v>
      </c>
      <c r="G277" s="18" t="s">
        <v>11</v>
      </c>
      <c r="H277" s="19"/>
      <c r="I277" s="2"/>
    </row>
    <row r="278" spans="1:9" ht="43.2" x14ac:dyDescent="0.3">
      <c r="A278" s="2"/>
      <c r="B278" s="15">
        <v>2</v>
      </c>
      <c r="C278" s="15">
        <v>7</v>
      </c>
      <c r="D278" s="16">
        <f t="shared" si="11"/>
        <v>5</v>
      </c>
      <c r="E278" s="17" t="s">
        <v>660</v>
      </c>
      <c r="F278" s="66" t="s">
        <v>658</v>
      </c>
      <c r="G278" s="18" t="s">
        <v>11</v>
      </c>
      <c r="H278" s="19"/>
      <c r="I278" s="2"/>
    </row>
    <row r="279" spans="1:9" ht="32.4" x14ac:dyDescent="0.3">
      <c r="A279" s="2"/>
      <c r="B279" s="15">
        <v>2</v>
      </c>
      <c r="C279" s="15">
        <v>7</v>
      </c>
      <c r="D279" s="16">
        <f t="shared" si="11"/>
        <v>6</v>
      </c>
      <c r="E279" s="17" t="s">
        <v>628</v>
      </c>
      <c r="F279" s="66" t="s">
        <v>627</v>
      </c>
      <c r="G279" s="18" t="s">
        <v>11</v>
      </c>
      <c r="H279" s="19"/>
      <c r="I279" s="2"/>
    </row>
    <row r="280" spans="1:9" ht="21.6" x14ac:dyDescent="0.3">
      <c r="A280" s="2"/>
      <c r="B280" s="15">
        <v>2</v>
      </c>
      <c r="C280" s="15">
        <v>7</v>
      </c>
      <c r="D280" s="16">
        <f t="shared" si="11"/>
        <v>7</v>
      </c>
      <c r="E280" s="17" t="s">
        <v>631</v>
      </c>
      <c r="F280" s="66" t="s">
        <v>630</v>
      </c>
      <c r="G280" s="18" t="s">
        <v>11</v>
      </c>
      <c r="H280" s="19"/>
      <c r="I280" s="2"/>
    </row>
    <row r="281" spans="1:9" ht="32.4" x14ac:dyDescent="0.3">
      <c r="A281" s="2"/>
      <c r="B281" s="15">
        <v>2</v>
      </c>
      <c r="C281" s="15">
        <v>7</v>
      </c>
      <c r="D281" s="16">
        <f t="shared" si="11"/>
        <v>8</v>
      </c>
      <c r="E281" s="17" t="s">
        <v>425</v>
      </c>
      <c r="F281" s="66" t="s">
        <v>606</v>
      </c>
      <c r="G281" s="18" t="s">
        <v>11</v>
      </c>
      <c r="H281" s="19"/>
      <c r="I281" s="2"/>
    </row>
    <row r="282" spans="1:9" ht="21.6" x14ac:dyDescent="0.3">
      <c r="A282" s="2"/>
      <c r="B282" s="15">
        <v>2</v>
      </c>
      <c r="C282" s="15">
        <v>7</v>
      </c>
      <c r="D282" s="16">
        <f t="shared" si="11"/>
        <v>9</v>
      </c>
      <c r="E282" s="17" t="s">
        <v>426</v>
      </c>
      <c r="F282" s="66" t="s">
        <v>582</v>
      </c>
      <c r="G282" s="18" t="s">
        <v>11</v>
      </c>
      <c r="H282" s="19"/>
      <c r="I282" s="2"/>
    </row>
    <row r="283" spans="1:9" ht="39.6" customHeight="1" x14ac:dyDescent="0.3">
      <c r="A283" s="2"/>
      <c r="B283" s="15">
        <v>2</v>
      </c>
      <c r="C283" s="15">
        <v>7</v>
      </c>
      <c r="D283" s="16">
        <f t="shared" si="11"/>
        <v>10</v>
      </c>
      <c r="E283" s="17" t="s">
        <v>531</v>
      </c>
      <c r="F283" s="66" t="s">
        <v>530</v>
      </c>
      <c r="G283" s="18" t="s">
        <v>11</v>
      </c>
      <c r="H283" s="19"/>
      <c r="I283" s="2"/>
    </row>
    <row r="284" spans="1:9" ht="21.6" x14ac:dyDescent="0.3">
      <c r="A284" s="2"/>
      <c r="B284" s="15">
        <v>2</v>
      </c>
      <c r="C284" s="15">
        <v>7</v>
      </c>
      <c r="D284" s="16">
        <f t="shared" si="11"/>
        <v>11</v>
      </c>
      <c r="E284" s="17" t="s">
        <v>533</v>
      </c>
      <c r="F284" s="66" t="s">
        <v>654</v>
      </c>
      <c r="G284" s="18" t="s">
        <v>11</v>
      </c>
      <c r="H284" s="19"/>
      <c r="I284" s="2"/>
    </row>
    <row r="285" spans="1:9" ht="64.8" x14ac:dyDescent="0.3">
      <c r="A285" s="2"/>
      <c r="B285" s="15">
        <v>2</v>
      </c>
      <c r="C285" s="15">
        <v>7</v>
      </c>
      <c r="D285" s="16">
        <f t="shared" si="11"/>
        <v>12</v>
      </c>
      <c r="E285" s="17" t="s">
        <v>535</v>
      </c>
      <c r="F285" s="66" t="s">
        <v>655</v>
      </c>
      <c r="G285" s="18" t="s">
        <v>11</v>
      </c>
      <c r="H285" s="19"/>
      <c r="I285" s="2"/>
    </row>
    <row r="286" spans="1:9" ht="32.4" x14ac:dyDescent="0.3">
      <c r="A286" s="2"/>
      <c r="B286" s="15">
        <v>2</v>
      </c>
      <c r="C286" s="15">
        <v>7</v>
      </c>
      <c r="D286" s="16">
        <f t="shared" si="11"/>
        <v>13</v>
      </c>
      <c r="E286" s="17" t="s">
        <v>539</v>
      </c>
      <c r="F286" s="66" t="s">
        <v>538</v>
      </c>
      <c r="G286" s="18" t="s">
        <v>11</v>
      </c>
      <c r="H286" s="19"/>
      <c r="I286" s="2"/>
    </row>
    <row r="287" spans="1:9" ht="21.6" x14ac:dyDescent="0.3">
      <c r="A287" s="2"/>
      <c r="B287" s="15">
        <v>2</v>
      </c>
      <c r="C287" s="15">
        <v>7</v>
      </c>
      <c r="D287" s="16">
        <f t="shared" si="11"/>
        <v>14</v>
      </c>
      <c r="E287" s="17" t="s">
        <v>639</v>
      </c>
      <c r="F287" s="66" t="s">
        <v>638</v>
      </c>
      <c r="G287" s="18" t="s">
        <v>11</v>
      </c>
      <c r="H287" s="19"/>
      <c r="I287" s="2"/>
    </row>
    <row r="288" spans="1:9" ht="43.2" x14ac:dyDescent="0.3">
      <c r="A288" s="2"/>
      <c r="B288" s="15">
        <v>2</v>
      </c>
      <c r="C288" s="15">
        <v>7</v>
      </c>
      <c r="D288" s="16">
        <f t="shared" si="11"/>
        <v>15</v>
      </c>
      <c r="E288" s="17" t="s">
        <v>441</v>
      </c>
      <c r="F288" s="66" t="s">
        <v>440</v>
      </c>
      <c r="G288" s="18" t="s">
        <v>11</v>
      </c>
      <c r="H288" s="19"/>
      <c r="I288" s="2"/>
    </row>
    <row r="289" spans="1:9" ht="32.4" x14ac:dyDescent="0.3">
      <c r="A289" s="2"/>
      <c r="B289" s="15">
        <v>2</v>
      </c>
      <c r="C289" s="15">
        <v>7</v>
      </c>
      <c r="D289" s="16">
        <f t="shared" si="11"/>
        <v>16</v>
      </c>
      <c r="E289" s="17" t="s">
        <v>640</v>
      </c>
      <c r="F289" s="66" t="s">
        <v>656</v>
      </c>
      <c r="G289" s="18" t="s">
        <v>11</v>
      </c>
      <c r="H289" s="19"/>
      <c r="I289" s="2"/>
    </row>
    <row r="290" spans="1:9" ht="21.6" x14ac:dyDescent="0.3">
      <c r="A290" s="2"/>
      <c r="B290" s="15">
        <v>2</v>
      </c>
      <c r="C290" s="15">
        <v>7</v>
      </c>
      <c r="D290" s="16">
        <f t="shared" si="11"/>
        <v>17</v>
      </c>
      <c r="E290" s="17" t="s">
        <v>643</v>
      </c>
      <c r="F290" s="66" t="s">
        <v>642</v>
      </c>
      <c r="G290" s="18" t="s">
        <v>11</v>
      </c>
      <c r="H290" s="19"/>
      <c r="I290" s="2"/>
    </row>
    <row r="291" spans="1:9" ht="43.2" x14ac:dyDescent="0.3">
      <c r="A291" s="2"/>
      <c r="B291" s="15">
        <v>2</v>
      </c>
      <c r="C291" s="15">
        <v>7</v>
      </c>
      <c r="D291" s="16">
        <f t="shared" si="11"/>
        <v>18</v>
      </c>
      <c r="E291" s="17" t="s">
        <v>450</v>
      </c>
      <c r="F291" s="66" t="s">
        <v>449</v>
      </c>
      <c r="G291" s="18" t="s">
        <v>11</v>
      </c>
      <c r="H291" s="19"/>
      <c r="I291" s="2"/>
    </row>
    <row r="292" spans="1:9" ht="32.4" x14ac:dyDescent="0.3">
      <c r="A292" s="2"/>
      <c r="B292" s="15">
        <v>2</v>
      </c>
      <c r="C292" s="15">
        <v>7</v>
      </c>
      <c r="D292" s="16">
        <f t="shared" si="11"/>
        <v>19</v>
      </c>
      <c r="E292" s="17" t="s">
        <v>452</v>
      </c>
      <c r="F292" s="66" t="s">
        <v>451</v>
      </c>
      <c r="G292" s="18" t="s">
        <v>11</v>
      </c>
      <c r="H292" s="19"/>
      <c r="I292" s="2"/>
    </row>
    <row r="293" spans="1:9" ht="32.4" x14ac:dyDescent="0.3">
      <c r="A293" s="2"/>
      <c r="B293" s="15">
        <v>2</v>
      </c>
      <c r="C293" s="15">
        <v>7</v>
      </c>
      <c r="D293" s="16">
        <f t="shared" si="11"/>
        <v>20</v>
      </c>
      <c r="E293" s="17" t="s">
        <v>454</v>
      </c>
      <c r="F293" s="66" t="s">
        <v>453</v>
      </c>
      <c r="G293" s="18" t="s">
        <v>11</v>
      </c>
      <c r="H293" s="19"/>
      <c r="I293" s="2"/>
    </row>
    <row r="294" spans="1:9" ht="32.4" x14ac:dyDescent="0.3">
      <c r="A294" s="2"/>
      <c r="B294" s="15">
        <v>2</v>
      </c>
      <c r="C294" s="15">
        <v>7</v>
      </c>
      <c r="D294" s="16">
        <f t="shared" si="11"/>
        <v>21</v>
      </c>
      <c r="E294" s="17" t="s">
        <v>456</v>
      </c>
      <c r="F294" s="66" t="s">
        <v>455</v>
      </c>
      <c r="G294" s="18" t="s">
        <v>11</v>
      </c>
      <c r="H294" s="19"/>
      <c r="I294" s="2"/>
    </row>
    <row r="295" spans="1:9" ht="21.6" x14ac:dyDescent="0.3">
      <c r="A295" s="2"/>
      <c r="B295" s="15">
        <v>2</v>
      </c>
      <c r="C295" s="15">
        <v>7</v>
      </c>
      <c r="D295" s="16">
        <f t="shared" si="11"/>
        <v>22</v>
      </c>
      <c r="E295" s="17" t="s">
        <v>552</v>
      </c>
      <c r="F295" s="66" t="s">
        <v>457</v>
      </c>
      <c r="G295" s="18" t="s">
        <v>11</v>
      </c>
      <c r="H295" s="19"/>
      <c r="I295" s="2"/>
    </row>
    <row r="296" spans="1:9" ht="54" x14ac:dyDescent="0.3">
      <c r="A296" s="2"/>
      <c r="B296" s="15">
        <v>2</v>
      </c>
      <c r="C296" s="15">
        <v>7</v>
      </c>
      <c r="D296" s="16">
        <f t="shared" si="11"/>
        <v>23</v>
      </c>
      <c r="E296" s="17" t="s">
        <v>554</v>
      </c>
      <c r="F296" s="66" t="s">
        <v>553</v>
      </c>
      <c r="G296" s="18" t="s">
        <v>11</v>
      </c>
      <c r="H296" s="19"/>
      <c r="I296" s="2"/>
    </row>
    <row r="297" spans="1:9" ht="18.75" customHeight="1" x14ac:dyDescent="0.3">
      <c r="A297" s="2"/>
      <c r="B297" s="10" t="s">
        <v>59</v>
      </c>
      <c r="C297" s="11"/>
      <c r="D297" s="11"/>
      <c r="E297" s="12" t="str">
        <f>IF(B297=0,"",VLOOKUP(B297,Daten!$A$2:$B$56,2,FALSE))</f>
        <v>Schutzleitfaden-210</v>
      </c>
      <c r="F297" s="12" t="str">
        <f>VLOOKUP(E297,Daten!$B$2:$C$56,2,)</f>
        <v>Beschicken von Kesseln aus Säcken oder Kleingebinden</v>
      </c>
      <c r="G297" s="13"/>
      <c r="H297" s="14"/>
      <c r="I297" s="2"/>
    </row>
    <row r="298" spans="1:9" ht="32.4" x14ac:dyDescent="0.3">
      <c r="A298" s="2"/>
      <c r="B298" s="15">
        <v>2</v>
      </c>
      <c r="C298" s="15">
        <v>8</v>
      </c>
      <c r="D298" s="16">
        <f>ROW(A298)-(ROW(A$297))</f>
        <v>1</v>
      </c>
      <c r="E298" s="17" t="s">
        <v>674</v>
      </c>
      <c r="F298" s="66" t="s">
        <v>673</v>
      </c>
      <c r="G298" s="18" t="s">
        <v>11</v>
      </c>
      <c r="H298" s="19"/>
      <c r="I298" s="2"/>
    </row>
    <row r="299" spans="1:9" ht="32.4" x14ac:dyDescent="0.3">
      <c r="A299" s="2"/>
      <c r="B299" s="15">
        <v>2</v>
      </c>
      <c r="C299" s="15">
        <v>8</v>
      </c>
      <c r="D299" s="16">
        <f t="shared" ref="D299:D319" si="12">ROW(A299)-(ROW(A$297))</f>
        <v>2</v>
      </c>
      <c r="E299" s="17" t="s">
        <v>672</v>
      </c>
      <c r="F299" s="66" t="s">
        <v>671</v>
      </c>
      <c r="G299" s="18" t="s">
        <v>11</v>
      </c>
      <c r="H299" s="19"/>
      <c r="I299" s="2"/>
    </row>
    <row r="300" spans="1:9" ht="21.6" x14ac:dyDescent="0.3">
      <c r="A300" s="2"/>
      <c r="B300" s="15">
        <v>2</v>
      </c>
      <c r="C300" s="15">
        <v>8</v>
      </c>
      <c r="D300" s="16">
        <f t="shared" si="12"/>
        <v>3</v>
      </c>
      <c r="E300" s="17" t="s">
        <v>675</v>
      </c>
      <c r="F300" s="66" t="s">
        <v>670</v>
      </c>
      <c r="G300" s="18" t="s">
        <v>11</v>
      </c>
      <c r="H300" s="19"/>
      <c r="I300" s="2"/>
    </row>
    <row r="301" spans="1:9" ht="43.2" x14ac:dyDescent="0.3">
      <c r="A301" s="2"/>
      <c r="B301" s="15">
        <v>2</v>
      </c>
      <c r="C301" s="15">
        <v>8</v>
      </c>
      <c r="D301" s="16">
        <f t="shared" si="12"/>
        <v>4</v>
      </c>
      <c r="E301" s="17" t="s">
        <v>702</v>
      </c>
      <c r="F301" s="66" t="s">
        <v>676</v>
      </c>
      <c r="G301" s="18" t="s">
        <v>11</v>
      </c>
      <c r="H301" s="19"/>
      <c r="I301" s="2"/>
    </row>
    <row r="302" spans="1:9" ht="21.6" x14ac:dyDescent="0.3">
      <c r="A302" s="2"/>
      <c r="B302" s="15">
        <v>2</v>
      </c>
      <c r="C302" s="15">
        <v>8</v>
      </c>
      <c r="D302" s="16">
        <f t="shared" si="12"/>
        <v>5</v>
      </c>
      <c r="E302" s="17" t="s">
        <v>677</v>
      </c>
      <c r="F302" s="66" t="s">
        <v>678</v>
      </c>
      <c r="G302" s="18" t="s">
        <v>11</v>
      </c>
      <c r="H302" s="19"/>
      <c r="I302" s="2"/>
    </row>
    <row r="303" spans="1:9" ht="21.6" x14ac:dyDescent="0.3">
      <c r="A303" s="2"/>
      <c r="B303" s="15">
        <v>2</v>
      </c>
      <c r="C303" s="15">
        <v>8</v>
      </c>
      <c r="D303" s="16">
        <f t="shared" si="12"/>
        <v>6</v>
      </c>
      <c r="E303" s="17" t="s">
        <v>426</v>
      </c>
      <c r="F303" s="66" t="s">
        <v>582</v>
      </c>
      <c r="G303" s="18" t="s">
        <v>11</v>
      </c>
      <c r="H303" s="19"/>
      <c r="I303" s="2"/>
    </row>
    <row r="304" spans="1:9" ht="21.6" x14ac:dyDescent="0.3">
      <c r="A304" s="2"/>
      <c r="B304" s="15">
        <v>2</v>
      </c>
      <c r="C304" s="15">
        <v>8</v>
      </c>
      <c r="D304" s="16">
        <f t="shared" si="12"/>
        <v>7</v>
      </c>
      <c r="E304" s="17" t="s">
        <v>531</v>
      </c>
      <c r="F304" s="66" t="s">
        <v>530</v>
      </c>
      <c r="G304" s="18" t="s">
        <v>11</v>
      </c>
      <c r="H304" s="19"/>
      <c r="I304" s="2"/>
    </row>
    <row r="305" spans="1:9" ht="21.6" x14ac:dyDescent="0.3">
      <c r="A305" s="2"/>
      <c r="B305" s="15">
        <v>2</v>
      </c>
      <c r="C305" s="15">
        <v>8</v>
      </c>
      <c r="D305" s="16">
        <f t="shared" si="12"/>
        <v>8</v>
      </c>
      <c r="E305" s="17" t="s">
        <v>533</v>
      </c>
      <c r="F305" s="66" t="s">
        <v>654</v>
      </c>
      <c r="G305" s="18" t="s">
        <v>11</v>
      </c>
      <c r="H305" s="19"/>
      <c r="I305" s="2"/>
    </row>
    <row r="306" spans="1:9" ht="75.599999999999994" x14ac:dyDescent="0.3">
      <c r="A306" s="2"/>
      <c r="B306" s="15">
        <v>2</v>
      </c>
      <c r="C306" s="15">
        <v>8</v>
      </c>
      <c r="D306" s="16">
        <f t="shared" si="12"/>
        <v>9</v>
      </c>
      <c r="E306" s="17" t="s">
        <v>535</v>
      </c>
      <c r="F306" s="66" t="s">
        <v>691</v>
      </c>
      <c r="G306" s="18" t="s">
        <v>11</v>
      </c>
      <c r="H306" s="19"/>
      <c r="I306" s="2"/>
    </row>
    <row r="307" spans="1:9" ht="32.4" x14ac:dyDescent="0.3">
      <c r="A307" s="2"/>
      <c r="B307" s="15">
        <v>2</v>
      </c>
      <c r="C307" s="15">
        <v>8</v>
      </c>
      <c r="D307" s="16">
        <f t="shared" si="12"/>
        <v>10</v>
      </c>
      <c r="E307" s="17" t="s">
        <v>669</v>
      </c>
      <c r="F307" s="66" t="s">
        <v>668</v>
      </c>
      <c r="G307" s="18" t="s">
        <v>11</v>
      </c>
      <c r="H307" s="19"/>
      <c r="I307" s="2"/>
    </row>
    <row r="308" spans="1:9" ht="32.4" x14ac:dyDescent="0.3">
      <c r="A308" s="2"/>
      <c r="B308" s="15">
        <v>2</v>
      </c>
      <c r="C308" s="15">
        <v>8</v>
      </c>
      <c r="D308" s="16">
        <f t="shared" si="12"/>
        <v>11</v>
      </c>
      <c r="E308" s="17" t="s">
        <v>662</v>
      </c>
      <c r="F308" s="66" t="s">
        <v>663</v>
      </c>
      <c r="G308" s="18" t="s">
        <v>11</v>
      </c>
      <c r="H308" s="19"/>
      <c r="I308" s="2"/>
    </row>
    <row r="309" spans="1:9" ht="21.6" x14ac:dyDescent="0.3">
      <c r="A309" s="2"/>
      <c r="B309" s="15">
        <v>2</v>
      </c>
      <c r="C309" s="15">
        <v>8</v>
      </c>
      <c r="D309" s="16">
        <f t="shared" si="12"/>
        <v>12</v>
      </c>
      <c r="E309" s="17" t="s">
        <v>665</v>
      </c>
      <c r="F309" s="66" t="s">
        <v>664</v>
      </c>
      <c r="G309" s="18" t="s">
        <v>11</v>
      </c>
      <c r="H309" s="19"/>
      <c r="I309" s="2"/>
    </row>
    <row r="310" spans="1:9" ht="43.2" x14ac:dyDescent="0.3">
      <c r="A310" s="2"/>
      <c r="B310" s="15">
        <v>2</v>
      </c>
      <c r="C310" s="15">
        <v>8</v>
      </c>
      <c r="D310" s="16">
        <f t="shared" si="12"/>
        <v>13</v>
      </c>
      <c r="E310" s="17" t="s">
        <v>666</v>
      </c>
      <c r="F310" s="66" t="s">
        <v>667</v>
      </c>
      <c r="G310" s="18" t="s">
        <v>11</v>
      </c>
      <c r="H310" s="19"/>
      <c r="I310" s="2"/>
    </row>
    <row r="311" spans="1:9" ht="43.2" x14ac:dyDescent="0.3">
      <c r="A311" s="2"/>
      <c r="B311" s="15">
        <v>2</v>
      </c>
      <c r="C311" s="15">
        <v>8</v>
      </c>
      <c r="D311" s="16">
        <f t="shared" si="12"/>
        <v>14</v>
      </c>
      <c r="E311" s="17" t="s">
        <v>450</v>
      </c>
      <c r="F311" s="66" t="s">
        <v>449</v>
      </c>
      <c r="G311" s="18" t="s">
        <v>11</v>
      </c>
      <c r="H311" s="19"/>
      <c r="I311" s="2"/>
    </row>
    <row r="312" spans="1:9" ht="32.4" x14ac:dyDescent="0.3">
      <c r="A312" s="2"/>
      <c r="B312" s="15">
        <v>2</v>
      </c>
      <c r="C312" s="15">
        <v>8</v>
      </c>
      <c r="D312" s="16">
        <f t="shared" si="12"/>
        <v>15</v>
      </c>
      <c r="E312" s="17" t="s">
        <v>452</v>
      </c>
      <c r="F312" s="66" t="s">
        <v>451</v>
      </c>
      <c r="G312" s="18" t="s">
        <v>11</v>
      </c>
      <c r="H312" s="19"/>
      <c r="I312" s="2"/>
    </row>
    <row r="313" spans="1:9" ht="32.4" x14ac:dyDescent="0.3">
      <c r="A313" s="2"/>
      <c r="B313" s="15">
        <v>2</v>
      </c>
      <c r="C313" s="15">
        <v>8</v>
      </c>
      <c r="D313" s="16">
        <f t="shared" si="12"/>
        <v>16</v>
      </c>
      <c r="E313" s="17" t="s">
        <v>454</v>
      </c>
      <c r="F313" s="66" t="s">
        <v>453</v>
      </c>
      <c r="G313" s="18" t="s">
        <v>11</v>
      </c>
      <c r="H313" s="19"/>
      <c r="I313" s="2"/>
    </row>
    <row r="314" spans="1:9" ht="32.4" x14ac:dyDescent="0.3">
      <c r="A314" s="2"/>
      <c r="B314" s="15">
        <v>2</v>
      </c>
      <c r="C314" s="15">
        <v>8</v>
      </c>
      <c r="D314" s="16">
        <f t="shared" si="12"/>
        <v>17</v>
      </c>
      <c r="E314" s="17" t="s">
        <v>456</v>
      </c>
      <c r="F314" s="66" t="s">
        <v>455</v>
      </c>
      <c r="G314" s="18" t="s">
        <v>11</v>
      </c>
      <c r="H314" s="19"/>
      <c r="I314" s="2"/>
    </row>
    <row r="315" spans="1:9" ht="21.6" x14ac:dyDescent="0.3">
      <c r="A315" s="2"/>
      <c r="B315" s="15">
        <v>2</v>
      </c>
      <c r="C315" s="15">
        <v>8</v>
      </c>
      <c r="D315" s="16">
        <f t="shared" si="12"/>
        <v>18</v>
      </c>
      <c r="E315" s="17" t="s">
        <v>552</v>
      </c>
      <c r="F315" s="66" t="s">
        <v>457</v>
      </c>
      <c r="G315" s="18" t="s">
        <v>11</v>
      </c>
      <c r="H315" s="19"/>
      <c r="I315" s="2"/>
    </row>
    <row r="316" spans="1:9" ht="54" x14ac:dyDescent="0.3">
      <c r="A316" s="2"/>
      <c r="B316" s="15">
        <v>2</v>
      </c>
      <c r="C316" s="15">
        <v>8</v>
      </c>
      <c r="D316" s="16">
        <f t="shared" si="12"/>
        <v>19</v>
      </c>
      <c r="E316" s="17" t="s">
        <v>554</v>
      </c>
      <c r="F316" s="66" t="s">
        <v>553</v>
      </c>
      <c r="G316" s="18" t="s">
        <v>11</v>
      </c>
      <c r="H316" s="19"/>
      <c r="I316" s="2"/>
    </row>
    <row r="317" spans="1:9" ht="43.2" x14ac:dyDescent="0.3">
      <c r="A317" s="2"/>
      <c r="B317" s="15">
        <v>2</v>
      </c>
      <c r="C317" s="15">
        <v>8</v>
      </c>
      <c r="D317" s="16">
        <f t="shared" si="12"/>
        <v>20</v>
      </c>
      <c r="E317" s="17" t="s">
        <v>645</v>
      </c>
      <c r="F317" s="66" t="s">
        <v>644</v>
      </c>
      <c r="G317" s="18" t="s">
        <v>11</v>
      </c>
      <c r="H317" s="19"/>
      <c r="I317" s="2"/>
    </row>
    <row r="318" spans="1:9" ht="32.4" x14ac:dyDescent="0.3">
      <c r="A318" s="2"/>
      <c r="B318" s="15">
        <v>2</v>
      </c>
      <c r="C318" s="15">
        <v>8</v>
      </c>
      <c r="D318" s="16">
        <f t="shared" si="12"/>
        <v>21</v>
      </c>
      <c r="E318" s="17" t="s">
        <v>615</v>
      </c>
      <c r="F318" s="66" t="s">
        <v>614</v>
      </c>
      <c r="G318" s="18" t="s">
        <v>11</v>
      </c>
      <c r="H318" s="19"/>
      <c r="I318" s="2"/>
    </row>
    <row r="319" spans="1:9" ht="21.6" x14ac:dyDescent="0.3">
      <c r="A319" s="2"/>
      <c r="B319" s="15">
        <v>2</v>
      </c>
      <c r="C319" s="15">
        <v>8</v>
      </c>
      <c r="D319" s="16">
        <f t="shared" si="12"/>
        <v>22</v>
      </c>
      <c r="E319" s="17" t="s">
        <v>647</v>
      </c>
      <c r="F319" s="66" t="s">
        <v>646</v>
      </c>
      <c r="G319" s="18" t="s">
        <v>11</v>
      </c>
      <c r="H319" s="19"/>
      <c r="I319" s="2"/>
    </row>
    <row r="320" spans="1:9" ht="18.75" customHeight="1" x14ac:dyDescent="0.3">
      <c r="A320" s="2"/>
      <c r="B320" s="10" t="s">
        <v>60</v>
      </c>
      <c r="C320" s="11"/>
      <c r="D320" s="11"/>
      <c r="E320" s="12" t="str">
        <f>IF(B320=0,"",VLOOKUP(B320,Daten!$A$2:$B$56,2,FALSE))</f>
        <v>Schutzleitfaden-211</v>
      </c>
      <c r="F320" s="12" t="str">
        <f>VLOOKUP(E320,Daten!$B$2:$C$56,2,)</f>
        <v>Befüllung und Entleerung von Containern (IBC)</v>
      </c>
      <c r="G320" s="13"/>
      <c r="H320" s="14"/>
      <c r="I320" s="2"/>
    </row>
    <row r="321" spans="1:9" ht="21.6" x14ac:dyDescent="0.3">
      <c r="A321" s="2"/>
      <c r="B321" s="15">
        <v>2</v>
      </c>
      <c r="C321" s="15">
        <v>9</v>
      </c>
      <c r="D321" s="16">
        <f>ROW(A321)-(ROW(A$320))</f>
        <v>1</v>
      </c>
      <c r="E321" s="17" t="s">
        <v>700</v>
      </c>
      <c r="F321" s="66" t="s">
        <v>699</v>
      </c>
      <c r="G321" s="18" t="s">
        <v>11</v>
      </c>
      <c r="H321" s="19"/>
      <c r="I321" s="2"/>
    </row>
    <row r="322" spans="1:9" ht="21.6" x14ac:dyDescent="0.3">
      <c r="A322" s="2"/>
      <c r="B322" s="15">
        <v>2</v>
      </c>
      <c r="C322" s="15">
        <v>9</v>
      </c>
      <c r="D322" s="16">
        <f t="shared" ref="D322:D340" si="13">ROW(A322)-(ROW(A$320))</f>
        <v>2</v>
      </c>
      <c r="E322" s="17" t="s">
        <v>698</v>
      </c>
      <c r="F322" s="66" t="s">
        <v>697</v>
      </c>
      <c r="G322" s="18" t="s">
        <v>11</v>
      </c>
      <c r="H322" s="19"/>
      <c r="I322" s="2"/>
    </row>
    <row r="323" spans="1:9" ht="13.2" x14ac:dyDescent="0.3">
      <c r="A323" s="2"/>
      <c r="B323" s="15">
        <v>2</v>
      </c>
      <c r="C323" s="15">
        <v>9</v>
      </c>
      <c r="D323" s="16">
        <f t="shared" si="13"/>
        <v>3</v>
      </c>
      <c r="E323" s="17" t="s">
        <v>696</v>
      </c>
      <c r="F323" s="66" t="s">
        <v>695</v>
      </c>
      <c r="G323" s="18" t="s">
        <v>11</v>
      </c>
      <c r="H323" s="19"/>
      <c r="I323" s="2"/>
    </row>
    <row r="324" spans="1:9" ht="13.2" x14ac:dyDescent="0.3">
      <c r="A324" s="2"/>
      <c r="B324" s="15">
        <v>2</v>
      </c>
      <c r="C324" s="15">
        <v>9</v>
      </c>
      <c r="D324" s="16">
        <f t="shared" si="13"/>
        <v>4</v>
      </c>
      <c r="E324" s="17" t="s">
        <v>694</v>
      </c>
      <c r="F324" s="66" t="s">
        <v>692</v>
      </c>
      <c r="G324" s="18" t="s">
        <v>11</v>
      </c>
      <c r="H324" s="19"/>
      <c r="I324" s="2"/>
    </row>
    <row r="325" spans="1:9" ht="32.4" x14ac:dyDescent="0.3">
      <c r="A325" s="2"/>
      <c r="B325" s="15">
        <v>2</v>
      </c>
      <c r="C325" s="15">
        <v>9</v>
      </c>
      <c r="D325" s="16">
        <f t="shared" si="13"/>
        <v>5</v>
      </c>
      <c r="E325" s="17" t="s">
        <v>531</v>
      </c>
      <c r="F325" s="66" t="s">
        <v>693</v>
      </c>
      <c r="G325" s="18" t="s">
        <v>11</v>
      </c>
      <c r="H325" s="19"/>
      <c r="I325" s="2"/>
    </row>
    <row r="326" spans="1:9" ht="21.6" x14ac:dyDescent="0.3">
      <c r="A326" s="2"/>
      <c r="B326" s="15">
        <v>2</v>
      </c>
      <c r="C326" s="15">
        <v>9</v>
      </c>
      <c r="D326" s="16">
        <f t="shared" si="13"/>
        <v>6</v>
      </c>
      <c r="E326" s="17" t="s">
        <v>690</v>
      </c>
      <c r="F326" s="66" t="s">
        <v>689</v>
      </c>
      <c r="G326" s="18" t="s">
        <v>11</v>
      </c>
      <c r="H326" s="19"/>
      <c r="I326" s="2"/>
    </row>
    <row r="327" spans="1:9" ht="21.6" x14ac:dyDescent="0.3">
      <c r="A327" s="2"/>
      <c r="B327" s="15">
        <v>2</v>
      </c>
      <c r="C327" s="15">
        <v>9</v>
      </c>
      <c r="D327" s="16">
        <f t="shared" si="13"/>
        <v>7</v>
      </c>
      <c r="E327" s="17" t="s">
        <v>686</v>
      </c>
      <c r="F327" s="66" t="s">
        <v>687</v>
      </c>
      <c r="G327" s="18" t="s">
        <v>11</v>
      </c>
      <c r="H327" s="19"/>
      <c r="I327" s="2"/>
    </row>
    <row r="328" spans="1:9" ht="21.6" x14ac:dyDescent="0.3">
      <c r="A328" s="2"/>
      <c r="B328" s="15">
        <v>2</v>
      </c>
      <c r="C328" s="15">
        <v>9</v>
      </c>
      <c r="D328" s="16">
        <f t="shared" si="13"/>
        <v>8</v>
      </c>
      <c r="E328" s="17" t="s">
        <v>685</v>
      </c>
      <c r="F328" s="66" t="s">
        <v>684</v>
      </c>
      <c r="G328" s="18" t="s">
        <v>11</v>
      </c>
      <c r="H328" s="19"/>
      <c r="I328" s="2"/>
    </row>
    <row r="329" spans="1:9" ht="21.6" x14ac:dyDescent="0.3">
      <c r="A329" s="2"/>
      <c r="B329" s="15">
        <v>2</v>
      </c>
      <c r="C329" s="15">
        <v>9</v>
      </c>
      <c r="D329" s="16">
        <f t="shared" si="13"/>
        <v>9</v>
      </c>
      <c r="E329" s="17" t="s">
        <v>683</v>
      </c>
      <c r="F329" s="66" t="s">
        <v>682</v>
      </c>
      <c r="G329" s="18" t="s">
        <v>11</v>
      </c>
      <c r="H329" s="19"/>
      <c r="I329" s="2"/>
    </row>
    <row r="330" spans="1:9" ht="32.4" x14ac:dyDescent="0.3">
      <c r="A330" s="2"/>
      <c r="B330" s="15">
        <v>2</v>
      </c>
      <c r="C330" s="15">
        <v>9</v>
      </c>
      <c r="D330" s="16">
        <f t="shared" si="13"/>
        <v>10</v>
      </c>
      <c r="E330" s="17" t="s">
        <v>633</v>
      </c>
      <c r="F330" s="66" t="s">
        <v>632</v>
      </c>
      <c r="G330" s="18" t="s">
        <v>11</v>
      </c>
      <c r="H330" s="19"/>
      <c r="I330" s="2"/>
    </row>
    <row r="331" spans="1:9" ht="21.6" x14ac:dyDescent="0.3">
      <c r="A331" s="2"/>
      <c r="B331" s="15">
        <v>2</v>
      </c>
      <c r="C331" s="15">
        <v>9</v>
      </c>
      <c r="D331" s="16">
        <f t="shared" si="13"/>
        <v>11</v>
      </c>
      <c r="E331" s="17" t="s">
        <v>665</v>
      </c>
      <c r="F331" s="66" t="s">
        <v>664</v>
      </c>
      <c r="G331" s="18" t="s">
        <v>11</v>
      </c>
      <c r="H331" s="19"/>
      <c r="I331" s="2"/>
    </row>
    <row r="332" spans="1:9" ht="43.2" x14ac:dyDescent="0.3">
      <c r="A332" s="2"/>
      <c r="B332" s="15">
        <v>2</v>
      </c>
      <c r="C332" s="15">
        <v>9</v>
      </c>
      <c r="D332" s="16">
        <f t="shared" si="13"/>
        <v>12</v>
      </c>
      <c r="E332" s="17" t="s">
        <v>441</v>
      </c>
      <c r="F332" s="66" t="s">
        <v>679</v>
      </c>
      <c r="G332" s="18" t="s">
        <v>11</v>
      </c>
      <c r="H332" s="19"/>
      <c r="I332" s="2"/>
    </row>
    <row r="333" spans="1:9" ht="32.4" x14ac:dyDescent="0.3">
      <c r="A333" s="2"/>
      <c r="B333" s="15">
        <v>2</v>
      </c>
      <c r="C333" s="15">
        <v>9</v>
      </c>
      <c r="D333" s="16">
        <f t="shared" si="13"/>
        <v>13</v>
      </c>
      <c r="E333" s="17" t="s">
        <v>662</v>
      </c>
      <c r="F333" s="66" t="s">
        <v>680</v>
      </c>
      <c r="G333" s="18" t="s">
        <v>11</v>
      </c>
      <c r="H333" s="19"/>
      <c r="I333" s="2"/>
    </row>
    <row r="334" spans="1:9" ht="21.6" x14ac:dyDescent="0.3">
      <c r="A334" s="2"/>
      <c r="B334" s="15">
        <v>2</v>
      </c>
      <c r="C334" s="15">
        <v>9</v>
      </c>
      <c r="D334" s="16">
        <f t="shared" si="13"/>
        <v>14</v>
      </c>
      <c r="E334" s="17" t="s">
        <v>688</v>
      </c>
      <c r="F334" s="66" t="s">
        <v>681</v>
      </c>
      <c r="G334" s="18" t="s">
        <v>11</v>
      </c>
      <c r="H334" s="19"/>
      <c r="I334" s="2"/>
    </row>
    <row r="335" spans="1:9" ht="43.2" x14ac:dyDescent="0.3">
      <c r="A335" s="2"/>
      <c r="B335" s="15">
        <v>2</v>
      </c>
      <c r="C335" s="15">
        <v>9</v>
      </c>
      <c r="D335" s="16">
        <f t="shared" si="13"/>
        <v>15</v>
      </c>
      <c r="E335" s="17" t="s">
        <v>450</v>
      </c>
      <c r="F335" s="66" t="s">
        <v>449</v>
      </c>
      <c r="G335" s="18" t="s">
        <v>11</v>
      </c>
      <c r="H335" s="19"/>
      <c r="I335" s="2"/>
    </row>
    <row r="336" spans="1:9" ht="32.4" x14ac:dyDescent="0.3">
      <c r="A336" s="2"/>
      <c r="B336" s="15">
        <v>2</v>
      </c>
      <c r="C336" s="15">
        <v>9</v>
      </c>
      <c r="D336" s="16">
        <f t="shared" si="13"/>
        <v>16</v>
      </c>
      <c r="E336" s="17" t="s">
        <v>452</v>
      </c>
      <c r="F336" s="66" t="s">
        <v>451</v>
      </c>
      <c r="G336" s="18" t="s">
        <v>11</v>
      </c>
      <c r="H336" s="19"/>
      <c r="I336" s="2"/>
    </row>
    <row r="337" spans="1:9" ht="32.4" x14ac:dyDescent="0.3">
      <c r="A337" s="2"/>
      <c r="B337" s="15">
        <v>2</v>
      </c>
      <c r="C337" s="15">
        <v>9</v>
      </c>
      <c r="D337" s="16">
        <f t="shared" si="13"/>
        <v>17</v>
      </c>
      <c r="E337" s="17" t="s">
        <v>454</v>
      </c>
      <c r="F337" s="66" t="s">
        <v>453</v>
      </c>
      <c r="G337" s="18" t="s">
        <v>11</v>
      </c>
      <c r="H337" s="19"/>
      <c r="I337" s="2"/>
    </row>
    <row r="338" spans="1:9" ht="32.4" x14ac:dyDescent="0.3">
      <c r="A338" s="2"/>
      <c r="B338" s="15">
        <v>2</v>
      </c>
      <c r="C338" s="15">
        <v>9</v>
      </c>
      <c r="D338" s="16">
        <f t="shared" si="13"/>
        <v>18</v>
      </c>
      <c r="E338" s="17" t="s">
        <v>456</v>
      </c>
      <c r="F338" s="66" t="s">
        <v>455</v>
      </c>
      <c r="G338" s="18" t="s">
        <v>11</v>
      </c>
      <c r="H338" s="19"/>
      <c r="I338" s="2"/>
    </row>
    <row r="339" spans="1:9" ht="21.6" x14ac:dyDescent="0.3">
      <c r="A339" s="2"/>
      <c r="B339" s="15">
        <v>2</v>
      </c>
      <c r="C339" s="15">
        <v>9</v>
      </c>
      <c r="D339" s="16">
        <f t="shared" si="13"/>
        <v>19</v>
      </c>
      <c r="E339" s="17" t="s">
        <v>552</v>
      </c>
      <c r="F339" s="66" t="s">
        <v>457</v>
      </c>
      <c r="G339" s="18" t="s">
        <v>11</v>
      </c>
      <c r="H339" s="19"/>
      <c r="I339" s="2"/>
    </row>
    <row r="340" spans="1:9" ht="54" x14ac:dyDescent="0.3">
      <c r="A340" s="2"/>
      <c r="B340" s="15">
        <v>2</v>
      </c>
      <c r="C340" s="15">
        <v>9</v>
      </c>
      <c r="D340" s="16">
        <f t="shared" si="13"/>
        <v>20</v>
      </c>
      <c r="E340" s="17" t="s">
        <v>554</v>
      </c>
      <c r="F340" s="66" t="s">
        <v>553</v>
      </c>
      <c r="G340" s="18" t="s">
        <v>11</v>
      </c>
      <c r="H340" s="19"/>
      <c r="I340" s="2"/>
    </row>
    <row r="341" spans="1:9" ht="18.75" customHeight="1" x14ac:dyDescent="0.3">
      <c r="A341" s="2"/>
      <c r="B341" s="10" t="s">
        <v>61</v>
      </c>
      <c r="C341" s="11"/>
      <c r="D341" s="11"/>
      <c r="E341" s="12" t="str">
        <f>IF(B341=0,"",VLOOKUP(B341,Daten!$A$2:$B$56,2,FALSE))</f>
        <v>Schutzleitfaden-212</v>
      </c>
      <c r="F341" s="12" t="str">
        <f>VLOOKUP(E341,Daten!$B$2:$C$56,2,)</f>
        <v>Befüllen von Fässern</v>
      </c>
      <c r="G341" s="13"/>
      <c r="H341" s="14"/>
      <c r="I341" s="2"/>
    </row>
    <row r="342" spans="1:9" ht="21.6" x14ac:dyDescent="0.3">
      <c r="A342" s="2"/>
      <c r="B342" s="15">
        <v>2</v>
      </c>
      <c r="C342" s="15">
        <v>10</v>
      </c>
      <c r="D342" s="16">
        <f>ROW(A342)-(ROW(A$341))</f>
        <v>1</v>
      </c>
      <c r="E342" s="17" t="s">
        <v>714</v>
      </c>
      <c r="F342" s="66" t="s">
        <v>715</v>
      </c>
      <c r="G342" s="18" t="s">
        <v>11</v>
      </c>
      <c r="H342" s="19"/>
      <c r="I342" s="2"/>
    </row>
    <row r="343" spans="1:9" ht="21.6" x14ac:dyDescent="0.3">
      <c r="A343" s="2"/>
      <c r="B343" s="15">
        <v>2</v>
      </c>
      <c r="C343" s="15">
        <v>10</v>
      </c>
      <c r="D343" s="16">
        <f t="shared" ref="D343:D364" si="14">ROW(A343)-(ROW(A$341))</f>
        <v>2</v>
      </c>
      <c r="E343" s="17" t="s">
        <v>713</v>
      </c>
      <c r="F343" s="66" t="s">
        <v>712</v>
      </c>
      <c r="G343" s="18" t="s">
        <v>11</v>
      </c>
      <c r="H343" s="19"/>
      <c r="I343" s="2"/>
    </row>
    <row r="344" spans="1:9" ht="32.4" x14ac:dyDescent="0.3">
      <c r="A344" s="2"/>
      <c r="B344" s="15">
        <v>2</v>
      </c>
      <c r="C344" s="15">
        <v>10</v>
      </c>
      <c r="D344" s="16">
        <f t="shared" si="14"/>
        <v>3</v>
      </c>
      <c r="E344" s="17" t="s">
        <v>711</v>
      </c>
      <c r="F344" s="66" t="s">
        <v>710</v>
      </c>
      <c r="G344" s="18" t="s">
        <v>11</v>
      </c>
      <c r="H344" s="19"/>
      <c r="I344" s="2"/>
    </row>
    <row r="345" spans="1:9" ht="54" x14ac:dyDescent="0.3">
      <c r="A345" s="2"/>
      <c r="B345" s="15">
        <v>2</v>
      </c>
      <c r="C345" s="15">
        <v>10</v>
      </c>
      <c r="D345" s="16">
        <f t="shared" si="14"/>
        <v>4</v>
      </c>
      <c r="E345" s="17" t="s">
        <v>709</v>
      </c>
      <c r="F345" s="66" t="s">
        <v>716</v>
      </c>
      <c r="G345" s="18" t="s">
        <v>11</v>
      </c>
      <c r="H345" s="19"/>
      <c r="I345" s="2"/>
    </row>
    <row r="346" spans="1:9" ht="21.6" x14ac:dyDescent="0.3">
      <c r="A346" s="2"/>
      <c r="B346" s="15">
        <v>2</v>
      </c>
      <c r="C346" s="15">
        <v>10</v>
      </c>
      <c r="D346" s="16">
        <f t="shared" si="14"/>
        <v>5</v>
      </c>
      <c r="E346" s="17" t="s">
        <v>686</v>
      </c>
      <c r="F346" s="66" t="s">
        <v>708</v>
      </c>
      <c r="G346" s="18" t="s">
        <v>11</v>
      </c>
      <c r="H346" s="19"/>
      <c r="I346" s="2"/>
    </row>
    <row r="347" spans="1:9" ht="43.2" x14ac:dyDescent="0.3">
      <c r="A347" s="2"/>
      <c r="B347" s="15">
        <v>2</v>
      </c>
      <c r="C347" s="15">
        <v>10</v>
      </c>
      <c r="D347" s="16">
        <f t="shared" si="14"/>
        <v>6</v>
      </c>
      <c r="E347" s="17" t="s">
        <v>707</v>
      </c>
      <c r="F347" s="66" t="s">
        <v>717</v>
      </c>
      <c r="G347" s="18" t="s">
        <v>11</v>
      </c>
      <c r="H347" s="19"/>
      <c r="I347" s="2"/>
    </row>
    <row r="348" spans="1:9" ht="21.6" x14ac:dyDescent="0.3">
      <c r="A348" s="2"/>
      <c r="B348" s="15">
        <v>2</v>
      </c>
      <c r="C348" s="15">
        <v>10</v>
      </c>
      <c r="D348" s="16">
        <f t="shared" si="14"/>
        <v>7</v>
      </c>
      <c r="E348" s="17" t="s">
        <v>168</v>
      </c>
      <c r="F348" s="66" t="s">
        <v>706</v>
      </c>
      <c r="G348" s="18" t="s">
        <v>11</v>
      </c>
      <c r="H348" s="19"/>
      <c r="I348" s="2"/>
    </row>
    <row r="349" spans="1:9" ht="21.6" x14ac:dyDescent="0.3">
      <c r="A349" s="2"/>
      <c r="B349" s="15">
        <v>2</v>
      </c>
      <c r="C349" s="15">
        <v>10</v>
      </c>
      <c r="D349" s="16">
        <f t="shared" si="14"/>
        <v>8</v>
      </c>
      <c r="E349" s="17" t="s">
        <v>705</v>
      </c>
      <c r="F349" s="66" t="s">
        <v>704</v>
      </c>
      <c r="G349" s="18" t="s">
        <v>11</v>
      </c>
      <c r="H349" s="19"/>
      <c r="I349" s="2"/>
    </row>
    <row r="350" spans="1:9" ht="21.6" x14ac:dyDescent="0.3">
      <c r="A350" s="2"/>
      <c r="B350" s="15">
        <v>2</v>
      </c>
      <c r="C350" s="15">
        <v>10</v>
      </c>
      <c r="D350" s="16">
        <f t="shared" si="14"/>
        <v>9</v>
      </c>
      <c r="E350" s="17" t="s">
        <v>631</v>
      </c>
      <c r="F350" s="66" t="s">
        <v>703</v>
      </c>
      <c r="G350" s="18" t="s">
        <v>11</v>
      </c>
      <c r="H350" s="19"/>
      <c r="I350" s="2"/>
    </row>
    <row r="351" spans="1:9" ht="21.6" x14ac:dyDescent="0.3">
      <c r="A351" s="2"/>
      <c r="B351" s="15">
        <v>2</v>
      </c>
      <c r="C351" s="15">
        <v>10</v>
      </c>
      <c r="D351" s="16">
        <f t="shared" si="14"/>
        <v>10</v>
      </c>
      <c r="E351" s="17" t="s">
        <v>426</v>
      </c>
      <c r="F351" s="66" t="s">
        <v>413</v>
      </c>
      <c r="G351" s="18" t="s">
        <v>11</v>
      </c>
      <c r="H351" s="19"/>
      <c r="I351" s="2"/>
    </row>
    <row r="352" spans="1:9" ht="21.6" x14ac:dyDescent="0.3">
      <c r="A352" s="2"/>
      <c r="B352" s="15">
        <v>2</v>
      </c>
      <c r="C352" s="15">
        <v>10</v>
      </c>
      <c r="D352" s="16">
        <f t="shared" si="14"/>
        <v>11</v>
      </c>
      <c r="E352" s="17" t="s">
        <v>434</v>
      </c>
      <c r="F352" s="66" t="s">
        <v>433</v>
      </c>
      <c r="G352" s="18" t="s">
        <v>11</v>
      </c>
      <c r="H352" s="19"/>
      <c r="I352" s="2"/>
    </row>
    <row r="353" spans="1:9" ht="32.4" x14ac:dyDescent="0.3">
      <c r="A353" s="2"/>
      <c r="B353" s="15">
        <v>2</v>
      </c>
      <c r="C353" s="15">
        <v>10</v>
      </c>
      <c r="D353" s="16">
        <f t="shared" si="14"/>
        <v>12</v>
      </c>
      <c r="E353" s="17" t="s">
        <v>436</v>
      </c>
      <c r="F353" s="66" t="s">
        <v>435</v>
      </c>
      <c r="G353" s="18" t="s">
        <v>11</v>
      </c>
      <c r="H353" s="19"/>
      <c r="I353" s="2"/>
    </row>
    <row r="354" spans="1:9" ht="32.4" x14ac:dyDescent="0.3">
      <c r="A354" s="2"/>
      <c r="B354" s="15">
        <v>2</v>
      </c>
      <c r="C354" s="15">
        <v>10</v>
      </c>
      <c r="D354" s="16">
        <f t="shared" si="14"/>
        <v>13</v>
      </c>
      <c r="E354" s="17" t="s">
        <v>615</v>
      </c>
      <c r="F354" s="66" t="s">
        <v>614</v>
      </c>
      <c r="G354" s="18" t="s">
        <v>11</v>
      </c>
      <c r="H354" s="19"/>
      <c r="I354" s="2"/>
    </row>
    <row r="355" spans="1:9" ht="21.6" x14ac:dyDescent="0.3">
      <c r="A355" s="2"/>
      <c r="B355" s="15">
        <v>2</v>
      </c>
      <c r="C355" s="15">
        <v>10</v>
      </c>
      <c r="D355" s="16">
        <f t="shared" si="14"/>
        <v>14</v>
      </c>
      <c r="E355" s="17" t="s">
        <v>533</v>
      </c>
      <c r="F355" s="66" t="s">
        <v>654</v>
      </c>
      <c r="G355" s="18" t="s">
        <v>11</v>
      </c>
      <c r="H355" s="19"/>
      <c r="I355" s="2"/>
    </row>
    <row r="356" spans="1:9" ht="32.4" x14ac:dyDescent="0.3">
      <c r="A356" s="2"/>
      <c r="B356" s="15">
        <v>2</v>
      </c>
      <c r="C356" s="15">
        <v>10</v>
      </c>
      <c r="D356" s="16">
        <f t="shared" si="14"/>
        <v>15</v>
      </c>
      <c r="E356" s="17" t="s">
        <v>662</v>
      </c>
      <c r="F356" s="66" t="s">
        <v>663</v>
      </c>
      <c r="G356" s="18" t="s">
        <v>11</v>
      </c>
      <c r="H356" s="19"/>
      <c r="I356" s="2"/>
    </row>
    <row r="357" spans="1:9" ht="21.6" x14ac:dyDescent="0.3">
      <c r="A357" s="2"/>
      <c r="B357" s="15">
        <v>2</v>
      </c>
      <c r="C357" s="15">
        <v>10</v>
      </c>
      <c r="D357" s="16">
        <f t="shared" si="14"/>
        <v>16</v>
      </c>
      <c r="E357" s="17" t="s">
        <v>718</v>
      </c>
      <c r="F357" s="66" t="s">
        <v>701</v>
      </c>
      <c r="G357" s="18" t="s">
        <v>11</v>
      </c>
      <c r="H357" s="19"/>
      <c r="I357" s="2"/>
    </row>
    <row r="358" spans="1:9" ht="21.6" x14ac:dyDescent="0.3">
      <c r="A358" s="2"/>
      <c r="B358" s="15">
        <v>2</v>
      </c>
      <c r="C358" s="15">
        <v>10</v>
      </c>
      <c r="D358" s="16">
        <f t="shared" si="14"/>
        <v>17</v>
      </c>
      <c r="E358" s="17" t="s">
        <v>688</v>
      </c>
      <c r="F358" s="66" t="s">
        <v>681</v>
      </c>
      <c r="G358" s="18" t="s">
        <v>11</v>
      </c>
      <c r="H358" s="19"/>
      <c r="I358" s="2"/>
    </row>
    <row r="359" spans="1:9" ht="43.2" x14ac:dyDescent="0.3">
      <c r="A359" s="2"/>
      <c r="B359" s="15">
        <v>2</v>
      </c>
      <c r="C359" s="15">
        <v>10</v>
      </c>
      <c r="D359" s="16">
        <f t="shared" si="14"/>
        <v>18</v>
      </c>
      <c r="E359" s="17" t="s">
        <v>450</v>
      </c>
      <c r="F359" s="66" t="s">
        <v>449</v>
      </c>
      <c r="G359" s="18" t="s">
        <v>11</v>
      </c>
      <c r="H359" s="19"/>
      <c r="I359" s="2"/>
    </row>
    <row r="360" spans="1:9" ht="32.4" x14ac:dyDescent="0.3">
      <c r="A360" s="2"/>
      <c r="B360" s="15">
        <v>2</v>
      </c>
      <c r="C360" s="15">
        <v>10</v>
      </c>
      <c r="D360" s="16">
        <f t="shared" si="14"/>
        <v>19</v>
      </c>
      <c r="E360" s="17" t="s">
        <v>452</v>
      </c>
      <c r="F360" s="66" t="s">
        <v>451</v>
      </c>
      <c r="G360" s="18" t="s">
        <v>11</v>
      </c>
      <c r="H360" s="19"/>
      <c r="I360" s="2"/>
    </row>
    <row r="361" spans="1:9" ht="32.4" x14ac:dyDescent="0.3">
      <c r="A361" s="2"/>
      <c r="B361" s="15">
        <v>2</v>
      </c>
      <c r="C361" s="15">
        <v>10</v>
      </c>
      <c r="D361" s="16">
        <f t="shared" si="14"/>
        <v>20</v>
      </c>
      <c r="E361" s="17" t="s">
        <v>454</v>
      </c>
      <c r="F361" s="66" t="s">
        <v>453</v>
      </c>
      <c r="G361" s="18" t="s">
        <v>11</v>
      </c>
      <c r="H361" s="19"/>
      <c r="I361" s="2"/>
    </row>
    <row r="362" spans="1:9" ht="32.4" x14ac:dyDescent="0.3">
      <c r="A362" s="2"/>
      <c r="B362" s="15">
        <v>2</v>
      </c>
      <c r="C362" s="15">
        <v>10</v>
      </c>
      <c r="D362" s="16">
        <f t="shared" si="14"/>
        <v>21</v>
      </c>
      <c r="E362" s="17" t="s">
        <v>456</v>
      </c>
      <c r="F362" s="66" t="s">
        <v>455</v>
      </c>
      <c r="G362" s="18" t="s">
        <v>11</v>
      </c>
      <c r="H362" s="19"/>
      <c r="I362" s="2"/>
    </row>
    <row r="363" spans="1:9" ht="21.6" x14ac:dyDescent="0.3">
      <c r="A363" s="2"/>
      <c r="B363" s="15">
        <v>2</v>
      </c>
      <c r="C363" s="15">
        <v>10</v>
      </c>
      <c r="D363" s="16">
        <f t="shared" si="14"/>
        <v>22</v>
      </c>
      <c r="E363" s="17" t="s">
        <v>552</v>
      </c>
      <c r="F363" s="66" t="s">
        <v>457</v>
      </c>
      <c r="G363" s="18" t="s">
        <v>11</v>
      </c>
      <c r="H363" s="19"/>
      <c r="I363" s="2"/>
    </row>
    <row r="364" spans="1:9" ht="54" x14ac:dyDescent="0.3">
      <c r="A364" s="2"/>
      <c r="B364" s="15">
        <v>2</v>
      </c>
      <c r="C364" s="15">
        <v>10</v>
      </c>
      <c r="D364" s="16">
        <f t="shared" si="14"/>
        <v>23</v>
      </c>
      <c r="E364" s="17" t="s">
        <v>554</v>
      </c>
      <c r="F364" s="66" t="s">
        <v>553</v>
      </c>
      <c r="G364" s="18" t="s">
        <v>11</v>
      </c>
      <c r="H364" s="19"/>
      <c r="I364" s="2"/>
    </row>
    <row r="365" spans="1:9" ht="18.75" customHeight="1" x14ac:dyDescent="0.3">
      <c r="A365" s="2"/>
      <c r="B365" s="10" t="s">
        <v>62</v>
      </c>
      <c r="C365" s="11"/>
      <c r="D365" s="11"/>
      <c r="E365" s="12" t="str">
        <f>IF(B365=0,"",VLOOKUP(B365,Daten!$A$2:$B$56,2,FALSE))</f>
        <v>Schutzleitfaden-213</v>
      </c>
      <c r="F365" s="12" t="str">
        <f>VLOOKUP(E365,Daten!$B$2:$C$56,2,)</f>
        <v>Entleeren von Fässern mittels Fasspumpe</v>
      </c>
      <c r="G365" s="13"/>
      <c r="H365" s="14"/>
      <c r="I365" s="2"/>
    </row>
    <row r="366" spans="1:9" ht="32.4" x14ac:dyDescent="0.3">
      <c r="A366" s="2"/>
      <c r="B366" s="15">
        <v>2</v>
      </c>
      <c r="C366" s="15">
        <v>11</v>
      </c>
      <c r="D366" s="16">
        <f>ROW(A366)-(ROW(A$365))</f>
        <v>1</v>
      </c>
      <c r="E366" s="17" t="s">
        <v>737</v>
      </c>
      <c r="F366" s="66" t="s">
        <v>736</v>
      </c>
      <c r="G366" s="18" t="s">
        <v>11</v>
      </c>
      <c r="H366" s="19"/>
      <c r="I366" s="2"/>
    </row>
    <row r="367" spans="1:9" ht="13.2" x14ac:dyDescent="0.3">
      <c r="A367" s="2"/>
      <c r="B367" s="15">
        <v>2</v>
      </c>
      <c r="C367" s="15">
        <v>11</v>
      </c>
      <c r="D367" s="16">
        <f t="shared" ref="D367:D383" si="15">ROW(A367)-(ROW(A$365))</f>
        <v>2</v>
      </c>
      <c r="E367" s="17" t="s">
        <v>735</v>
      </c>
      <c r="F367" s="66" t="s">
        <v>734</v>
      </c>
      <c r="G367" s="18" t="s">
        <v>11</v>
      </c>
      <c r="H367" s="19"/>
      <c r="I367" s="2"/>
    </row>
    <row r="368" spans="1:9" ht="21.6" x14ac:dyDescent="0.3">
      <c r="A368" s="2"/>
      <c r="B368" s="15">
        <v>2</v>
      </c>
      <c r="C368" s="15">
        <v>11</v>
      </c>
      <c r="D368" s="16">
        <f t="shared" si="15"/>
        <v>3</v>
      </c>
      <c r="E368" s="17" t="s">
        <v>168</v>
      </c>
      <c r="F368" s="66" t="s">
        <v>738</v>
      </c>
      <c r="G368" s="18" t="s">
        <v>11</v>
      </c>
      <c r="H368" s="19"/>
      <c r="I368" s="2"/>
    </row>
    <row r="369" spans="1:9" ht="32.4" x14ac:dyDescent="0.3">
      <c r="A369" s="2"/>
      <c r="B369" s="15">
        <v>2</v>
      </c>
      <c r="C369" s="15">
        <v>11</v>
      </c>
      <c r="D369" s="16">
        <f t="shared" si="15"/>
        <v>4</v>
      </c>
      <c r="E369" s="17" t="s">
        <v>723</v>
      </c>
      <c r="F369" s="66" t="s">
        <v>722</v>
      </c>
      <c r="G369" s="18" t="s">
        <v>11</v>
      </c>
      <c r="H369" s="19"/>
      <c r="I369" s="2"/>
    </row>
    <row r="370" spans="1:9" ht="21.6" x14ac:dyDescent="0.3">
      <c r="A370" s="2"/>
      <c r="B370" s="15">
        <v>2</v>
      </c>
      <c r="C370" s="15">
        <v>11</v>
      </c>
      <c r="D370" s="16">
        <f t="shared" si="15"/>
        <v>5</v>
      </c>
      <c r="E370" s="17" t="s">
        <v>436</v>
      </c>
      <c r="F370" s="66" t="s">
        <v>721</v>
      </c>
      <c r="G370" s="18" t="s">
        <v>11</v>
      </c>
      <c r="H370" s="19"/>
      <c r="I370" s="2"/>
    </row>
    <row r="371" spans="1:9" ht="21.6" x14ac:dyDescent="0.3">
      <c r="A371" s="2"/>
      <c r="B371" s="15">
        <v>2</v>
      </c>
      <c r="C371" s="15">
        <v>11</v>
      </c>
      <c r="D371" s="16">
        <f t="shared" si="15"/>
        <v>6</v>
      </c>
      <c r="E371" s="17" t="s">
        <v>733</v>
      </c>
      <c r="F371" s="66" t="s">
        <v>732</v>
      </c>
      <c r="G371" s="18" t="s">
        <v>11</v>
      </c>
      <c r="H371" s="19"/>
      <c r="I371" s="2"/>
    </row>
    <row r="372" spans="1:9" ht="21.6" x14ac:dyDescent="0.3">
      <c r="A372" s="2"/>
      <c r="B372" s="15">
        <v>2</v>
      </c>
      <c r="C372" s="15">
        <v>11</v>
      </c>
      <c r="D372" s="16">
        <f t="shared" si="15"/>
        <v>7</v>
      </c>
      <c r="E372" s="17" t="s">
        <v>731</v>
      </c>
      <c r="F372" s="66" t="s">
        <v>730</v>
      </c>
      <c r="G372" s="18" t="s">
        <v>11</v>
      </c>
      <c r="H372" s="19"/>
      <c r="I372" s="2"/>
    </row>
    <row r="373" spans="1:9" ht="32.4" x14ac:dyDescent="0.3">
      <c r="A373" s="2"/>
      <c r="B373" s="15">
        <v>2</v>
      </c>
      <c r="C373" s="15">
        <v>11</v>
      </c>
      <c r="D373" s="16">
        <f t="shared" si="15"/>
        <v>8</v>
      </c>
      <c r="E373" s="17" t="s">
        <v>728</v>
      </c>
      <c r="F373" s="66" t="s">
        <v>729</v>
      </c>
      <c r="G373" s="18" t="s">
        <v>11</v>
      </c>
      <c r="H373" s="19"/>
      <c r="I373" s="2"/>
    </row>
    <row r="374" spans="1:9" ht="43.2" x14ac:dyDescent="0.3">
      <c r="A374" s="2"/>
      <c r="B374" s="15">
        <v>2</v>
      </c>
      <c r="C374" s="15">
        <v>11</v>
      </c>
      <c r="D374" s="16">
        <f t="shared" si="15"/>
        <v>9</v>
      </c>
      <c r="E374" s="17" t="s">
        <v>726</v>
      </c>
      <c r="F374" s="66" t="s">
        <v>725</v>
      </c>
      <c r="G374" s="18" t="s">
        <v>11</v>
      </c>
      <c r="H374" s="19"/>
      <c r="I374" s="2"/>
    </row>
    <row r="375" spans="1:9" ht="21.6" x14ac:dyDescent="0.3">
      <c r="A375" s="2"/>
      <c r="B375" s="15">
        <v>2</v>
      </c>
      <c r="C375" s="15">
        <v>11</v>
      </c>
      <c r="D375" s="16">
        <f t="shared" si="15"/>
        <v>10</v>
      </c>
      <c r="E375" s="17" t="s">
        <v>727</v>
      </c>
      <c r="F375" s="66" t="s">
        <v>724</v>
      </c>
      <c r="G375" s="18" t="s">
        <v>11</v>
      </c>
      <c r="H375" s="19"/>
      <c r="I375" s="2"/>
    </row>
    <row r="376" spans="1:9" ht="32.4" x14ac:dyDescent="0.3">
      <c r="A376" s="2"/>
      <c r="B376" s="15">
        <v>2</v>
      </c>
      <c r="C376" s="15">
        <v>11</v>
      </c>
      <c r="D376" s="16">
        <f t="shared" si="15"/>
        <v>11</v>
      </c>
      <c r="E376" s="17" t="s">
        <v>662</v>
      </c>
      <c r="F376" s="66" t="s">
        <v>680</v>
      </c>
      <c r="G376" s="18" t="s">
        <v>11</v>
      </c>
      <c r="H376" s="19"/>
      <c r="I376" s="2"/>
    </row>
    <row r="377" spans="1:9" ht="21.6" x14ac:dyDescent="0.3">
      <c r="A377" s="2"/>
      <c r="B377" s="15">
        <v>2</v>
      </c>
      <c r="C377" s="15">
        <v>11</v>
      </c>
      <c r="D377" s="16">
        <f t="shared" si="15"/>
        <v>12</v>
      </c>
      <c r="E377" s="17" t="s">
        <v>719</v>
      </c>
      <c r="F377" s="66" t="s">
        <v>720</v>
      </c>
      <c r="G377" s="18" t="s">
        <v>11</v>
      </c>
      <c r="H377" s="19"/>
      <c r="I377" s="2"/>
    </row>
    <row r="378" spans="1:9" ht="43.2" x14ac:dyDescent="0.3">
      <c r="A378" s="2"/>
      <c r="B378" s="15">
        <v>2</v>
      </c>
      <c r="C378" s="15">
        <v>11</v>
      </c>
      <c r="D378" s="16">
        <f t="shared" si="15"/>
        <v>13</v>
      </c>
      <c r="E378" s="17" t="s">
        <v>450</v>
      </c>
      <c r="F378" s="66" t="s">
        <v>449</v>
      </c>
      <c r="G378" s="18" t="s">
        <v>11</v>
      </c>
      <c r="H378" s="19"/>
      <c r="I378" s="2"/>
    </row>
    <row r="379" spans="1:9" ht="32.4" x14ac:dyDescent="0.3">
      <c r="A379" s="2"/>
      <c r="B379" s="15">
        <v>2</v>
      </c>
      <c r="C379" s="15">
        <v>11</v>
      </c>
      <c r="D379" s="16">
        <f t="shared" si="15"/>
        <v>14</v>
      </c>
      <c r="E379" s="17" t="s">
        <v>452</v>
      </c>
      <c r="F379" s="66" t="s">
        <v>451</v>
      </c>
      <c r="G379" s="18" t="s">
        <v>11</v>
      </c>
      <c r="H379" s="19"/>
      <c r="I379" s="2"/>
    </row>
    <row r="380" spans="1:9" ht="32.4" x14ac:dyDescent="0.3">
      <c r="A380" s="2"/>
      <c r="B380" s="15">
        <v>2</v>
      </c>
      <c r="C380" s="15">
        <v>11</v>
      </c>
      <c r="D380" s="16">
        <f t="shared" si="15"/>
        <v>15</v>
      </c>
      <c r="E380" s="17" t="s">
        <v>454</v>
      </c>
      <c r="F380" s="66" t="s">
        <v>453</v>
      </c>
      <c r="G380" s="18" t="s">
        <v>11</v>
      </c>
      <c r="H380" s="19"/>
      <c r="I380" s="2"/>
    </row>
    <row r="381" spans="1:9" ht="32.4" x14ac:dyDescent="0.3">
      <c r="A381" s="2"/>
      <c r="B381" s="15">
        <v>2</v>
      </c>
      <c r="C381" s="15">
        <v>11</v>
      </c>
      <c r="D381" s="16">
        <f t="shared" si="15"/>
        <v>16</v>
      </c>
      <c r="E381" s="17" t="s">
        <v>456</v>
      </c>
      <c r="F381" s="66" t="s">
        <v>455</v>
      </c>
      <c r="G381" s="18" t="s">
        <v>11</v>
      </c>
      <c r="H381" s="19"/>
      <c r="I381" s="2"/>
    </row>
    <row r="382" spans="1:9" ht="21.6" x14ac:dyDescent="0.3">
      <c r="A382" s="2"/>
      <c r="B382" s="15">
        <v>2</v>
      </c>
      <c r="C382" s="15">
        <v>11</v>
      </c>
      <c r="D382" s="16">
        <f t="shared" si="15"/>
        <v>17</v>
      </c>
      <c r="E382" s="17" t="s">
        <v>552</v>
      </c>
      <c r="F382" s="66" t="s">
        <v>457</v>
      </c>
      <c r="G382" s="18" t="s">
        <v>11</v>
      </c>
      <c r="H382" s="19"/>
      <c r="I382" s="2"/>
    </row>
    <row r="383" spans="1:9" ht="54" x14ac:dyDescent="0.3">
      <c r="A383" s="2"/>
      <c r="B383" s="15">
        <v>2</v>
      </c>
      <c r="C383" s="15">
        <v>11</v>
      </c>
      <c r="D383" s="16">
        <f t="shared" si="15"/>
        <v>18</v>
      </c>
      <c r="E383" s="17" t="s">
        <v>554</v>
      </c>
      <c r="F383" s="66" t="s">
        <v>553</v>
      </c>
      <c r="G383" s="18" t="s">
        <v>11</v>
      </c>
      <c r="H383" s="19"/>
      <c r="I383" s="2"/>
    </row>
    <row r="384" spans="1:9" ht="18.75" customHeight="1" x14ac:dyDescent="0.3">
      <c r="A384" s="2"/>
      <c r="B384" s="10" t="s">
        <v>63</v>
      </c>
      <c r="C384" s="11"/>
      <c r="D384" s="11"/>
      <c r="E384" s="12" t="str">
        <f>IF(B384=0,"",VLOOKUP(B384,Daten!$A$2:$B$56,2,FALSE))</f>
        <v>Schutzleitfaden-214</v>
      </c>
      <c r="F384" s="12" t="str">
        <f>VLOOKUP(E384,Daten!$B$2:$C$56,2,)</f>
        <v>Wiegen von Feststoffen</v>
      </c>
      <c r="G384" s="13"/>
      <c r="H384" s="14"/>
      <c r="I384" s="2"/>
    </row>
    <row r="385" spans="1:9" ht="86.4" x14ac:dyDescent="0.3">
      <c r="A385" s="2"/>
      <c r="B385" s="15">
        <v>2</v>
      </c>
      <c r="C385" s="15">
        <v>12</v>
      </c>
      <c r="D385" s="16">
        <f>ROW(A385)-(ROW(A$384))</f>
        <v>1</v>
      </c>
      <c r="E385" s="17" t="s">
        <v>764</v>
      </c>
      <c r="F385" s="66" t="s">
        <v>765</v>
      </c>
      <c r="G385" s="18" t="s">
        <v>11</v>
      </c>
      <c r="H385" s="19"/>
      <c r="I385" s="2"/>
    </row>
    <row r="386" spans="1:9" ht="21.6" x14ac:dyDescent="0.3">
      <c r="A386" s="2"/>
      <c r="B386" s="15">
        <v>2</v>
      </c>
      <c r="C386" s="15">
        <v>12</v>
      </c>
      <c r="D386" s="16">
        <f t="shared" ref="D386:D408" si="16">ROW(A386)-(ROW(A$384))</f>
        <v>2</v>
      </c>
      <c r="E386" s="17" t="s">
        <v>763</v>
      </c>
      <c r="F386" s="66" t="s">
        <v>741</v>
      </c>
      <c r="G386" s="18" t="s">
        <v>11</v>
      </c>
      <c r="H386" s="19"/>
      <c r="I386" s="2"/>
    </row>
    <row r="387" spans="1:9" ht="21.6" x14ac:dyDescent="0.3">
      <c r="A387" s="2"/>
      <c r="B387" s="15">
        <v>2</v>
      </c>
      <c r="C387" s="15">
        <v>12</v>
      </c>
      <c r="D387" s="16">
        <f t="shared" si="16"/>
        <v>3</v>
      </c>
      <c r="E387" s="17" t="s">
        <v>762</v>
      </c>
      <c r="F387" s="66" t="s">
        <v>742</v>
      </c>
      <c r="G387" s="18" t="s">
        <v>11</v>
      </c>
      <c r="H387" s="19"/>
      <c r="I387" s="2"/>
    </row>
    <row r="388" spans="1:9" ht="43.2" x14ac:dyDescent="0.3">
      <c r="A388" s="2"/>
      <c r="B388" s="15">
        <v>2</v>
      </c>
      <c r="C388" s="15">
        <v>12</v>
      </c>
      <c r="D388" s="16">
        <f t="shared" si="16"/>
        <v>4</v>
      </c>
      <c r="E388" s="17" t="s">
        <v>761</v>
      </c>
      <c r="F388" s="66" t="s">
        <v>743</v>
      </c>
      <c r="G388" s="18" t="s">
        <v>11</v>
      </c>
      <c r="H388" s="19"/>
      <c r="I388" s="2"/>
    </row>
    <row r="389" spans="1:9" ht="32.4" x14ac:dyDescent="0.3">
      <c r="A389" s="2"/>
      <c r="B389" s="15">
        <v>2</v>
      </c>
      <c r="C389" s="15">
        <v>12</v>
      </c>
      <c r="D389" s="16">
        <f t="shared" si="16"/>
        <v>5</v>
      </c>
      <c r="E389" s="17" t="s">
        <v>760</v>
      </c>
      <c r="F389" s="66" t="s">
        <v>744</v>
      </c>
      <c r="G389" s="18" t="s">
        <v>11</v>
      </c>
      <c r="H389" s="19"/>
      <c r="I389" s="2"/>
    </row>
    <row r="390" spans="1:9" ht="21.6" x14ac:dyDescent="0.3">
      <c r="A390" s="2"/>
      <c r="B390" s="15">
        <v>2</v>
      </c>
      <c r="C390" s="15">
        <v>12</v>
      </c>
      <c r="D390" s="16">
        <f t="shared" si="16"/>
        <v>6</v>
      </c>
      <c r="E390" s="17" t="s">
        <v>759</v>
      </c>
      <c r="F390" s="66" t="s">
        <v>745</v>
      </c>
      <c r="G390" s="18" t="s">
        <v>11</v>
      </c>
      <c r="H390" s="19"/>
      <c r="I390" s="2"/>
    </row>
    <row r="391" spans="1:9" ht="13.2" x14ac:dyDescent="0.3">
      <c r="A391" s="2"/>
      <c r="B391" s="15">
        <v>2</v>
      </c>
      <c r="C391" s="15">
        <v>12</v>
      </c>
      <c r="D391" s="16">
        <f t="shared" si="16"/>
        <v>7</v>
      </c>
      <c r="E391" s="17" t="s">
        <v>758</v>
      </c>
      <c r="F391" s="66" t="s">
        <v>746</v>
      </c>
      <c r="G391" s="18" t="s">
        <v>11</v>
      </c>
      <c r="H391" s="19"/>
      <c r="I391" s="2"/>
    </row>
    <row r="392" spans="1:9" ht="21.6" x14ac:dyDescent="0.3">
      <c r="A392" s="2"/>
      <c r="B392" s="15">
        <v>2</v>
      </c>
      <c r="C392" s="15">
        <v>12</v>
      </c>
      <c r="D392" s="16">
        <f t="shared" si="16"/>
        <v>8</v>
      </c>
      <c r="E392" s="17" t="s">
        <v>757</v>
      </c>
      <c r="F392" s="66" t="s">
        <v>747</v>
      </c>
      <c r="G392" s="18" t="s">
        <v>11</v>
      </c>
      <c r="H392" s="19"/>
      <c r="I392" s="2"/>
    </row>
    <row r="393" spans="1:9" ht="21.6" x14ac:dyDescent="0.3">
      <c r="A393" s="2"/>
      <c r="B393" s="15">
        <v>2</v>
      </c>
      <c r="C393" s="15">
        <v>12</v>
      </c>
      <c r="D393" s="16">
        <f t="shared" si="16"/>
        <v>9</v>
      </c>
      <c r="E393" s="17" t="s">
        <v>756</v>
      </c>
      <c r="F393" s="66" t="s">
        <v>748</v>
      </c>
      <c r="G393" s="18" t="s">
        <v>11</v>
      </c>
      <c r="H393" s="19"/>
      <c r="I393" s="2"/>
    </row>
    <row r="394" spans="1:9" ht="13.2" x14ac:dyDescent="0.3">
      <c r="A394" s="2"/>
      <c r="B394" s="15">
        <v>2</v>
      </c>
      <c r="C394" s="15">
        <v>12</v>
      </c>
      <c r="D394" s="16">
        <f t="shared" si="16"/>
        <v>10</v>
      </c>
      <c r="E394" s="17" t="s">
        <v>755</v>
      </c>
      <c r="F394" s="66" t="s">
        <v>749</v>
      </c>
      <c r="G394" s="18" t="s">
        <v>11</v>
      </c>
      <c r="H394" s="19"/>
      <c r="I394" s="2"/>
    </row>
    <row r="395" spans="1:9" ht="21.6" x14ac:dyDescent="0.3">
      <c r="A395" s="2"/>
      <c r="B395" s="15">
        <v>2</v>
      </c>
      <c r="C395" s="15">
        <v>12</v>
      </c>
      <c r="D395" s="16">
        <f t="shared" si="16"/>
        <v>11</v>
      </c>
      <c r="E395" s="17" t="s">
        <v>754</v>
      </c>
      <c r="F395" s="66" t="s">
        <v>750</v>
      </c>
      <c r="G395" s="18" t="s">
        <v>11</v>
      </c>
      <c r="H395" s="19"/>
      <c r="I395" s="2"/>
    </row>
    <row r="396" spans="1:9" ht="32.4" x14ac:dyDescent="0.3">
      <c r="A396" s="2"/>
      <c r="B396" s="15">
        <v>2</v>
      </c>
      <c r="C396" s="15">
        <v>12</v>
      </c>
      <c r="D396" s="16">
        <f t="shared" si="16"/>
        <v>12</v>
      </c>
      <c r="E396" s="17" t="s">
        <v>168</v>
      </c>
      <c r="F396" s="66" t="s">
        <v>739</v>
      </c>
      <c r="G396" s="18" t="s">
        <v>11</v>
      </c>
      <c r="H396" s="19"/>
      <c r="I396" s="2"/>
    </row>
    <row r="397" spans="1:9" ht="21.6" x14ac:dyDescent="0.3">
      <c r="A397" s="2"/>
      <c r="B397" s="15">
        <v>2</v>
      </c>
      <c r="C397" s="15">
        <v>12</v>
      </c>
      <c r="D397" s="16">
        <f t="shared" si="16"/>
        <v>13</v>
      </c>
      <c r="E397" s="17" t="s">
        <v>753</v>
      </c>
      <c r="F397" s="66" t="s">
        <v>740</v>
      </c>
      <c r="G397" s="18" t="s">
        <v>11</v>
      </c>
      <c r="H397" s="19"/>
      <c r="I397" s="2"/>
    </row>
    <row r="398" spans="1:9" ht="21.6" x14ac:dyDescent="0.3">
      <c r="A398" s="2"/>
      <c r="B398" s="15">
        <v>2</v>
      </c>
      <c r="C398" s="15">
        <v>12</v>
      </c>
      <c r="D398" s="16">
        <f t="shared" si="16"/>
        <v>14</v>
      </c>
      <c r="E398" s="17" t="s">
        <v>434</v>
      </c>
      <c r="F398" s="66" t="s">
        <v>433</v>
      </c>
      <c r="G398" s="18" t="s">
        <v>11</v>
      </c>
      <c r="H398" s="19"/>
      <c r="I398" s="2"/>
    </row>
    <row r="399" spans="1:9" ht="32.4" x14ac:dyDescent="0.3">
      <c r="A399" s="2"/>
      <c r="B399" s="15">
        <v>2</v>
      </c>
      <c r="C399" s="15">
        <v>12</v>
      </c>
      <c r="D399" s="16">
        <f t="shared" si="16"/>
        <v>15</v>
      </c>
      <c r="E399" s="17" t="s">
        <v>436</v>
      </c>
      <c r="F399" s="66" t="s">
        <v>435</v>
      </c>
      <c r="G399" s="18" t="s">
        <v>11</v>
      </c>
      <c r="H399" s="19"/>
      <c r="I399" s="2"/>
    </row>
    <row r="400" spans="1:9" ht="32.4" x14ac:dyDescent="0.3">
      <c r="A400" s="2"/>
      <c r="B400" s="15">
        <v>2</v>
      </c>
      <c r="C400" s="15">
        <v>12</v>
      </c>
      <c r="D400" s="16">
        <f t="shared" si="16"/>
        <v>16</v>
      </c>
      <c r="E400" s="17" t="s">
        <v>662</v>
      </c>
      <c r="F400" s="66" t="s">
        <v>680</v>
      </c>
      <c r="G400" s="18" t="s">
        <v>11</v>
      </c>
      <c r="H400" s="19"/>
      <c r="I400" s="2"/>
    </row>
    <row r="401" spans="1:9" ht="21.6" x14ac:dyDescent="0.3">
      <c r="A401" s="2"/>
      <c r="B401" s="15">
        <v>2</v>
      </c>
      <c r="C401" s="15">
        <v>12</v>
      </c>
      <c r="D401" s="16">
        <f t="shared" si="16"/>
        <v>17</v>
      </c>
      <c r="E401" s="17" t="s">
        <v>665</v>
      </c>
      <c r="F401" s="66" t="s">
        <v>664</v>
      </c>
      <c r="G401" s="18" t="s">
        <v>11</v>
      </c>
      <c r="H401" s="19"/>
      <c r="I401" s="2"/>
    </row>
    <row r="402" spans="1:9" ht="32.4" x14ac:dyDescent="0.3">
      <c r="A402" s="2"/>
      <c r="B402" s="15">
        <v>2</v>
      </c>
      <c r="C402" s="15">
        <v>12</v>
      </c>
      <c r="D402" s="16">
        <f t="shared" si="16"/>
        <v>18</v>
      </c>
      <c r="E402" s="17" t="s">
        <v>752</v>
      </c>
      <c r="F402" s="66" t="s">
        <v>751</v>
      </c>
      <c r="G402" s="18" t="s">
        <v>11</v>
      </c>
      <c r="H402" s="19"/>
      <c r="I402" s="2"/>
    </row>
    <row r="403" spans="1:9" ht="43.2" x14ac:dyDescent="0.3">
      <c r="A403" s="2"/>
      <c r="B403" s="15">
        <v>2</v>
      </c>
      <c r="C403" s="15">
        <v>12</v>
      </c>
      <c r="D403" s="16">
        <f t="shared" si="16"/>
        <v>19</v>
      </c>
      <c r="E403" s="17" t="s">
        <v>450</v>
      </c>
      <c r="F403" s="66" t="s">
        <v>449</v>
      </c>
      <c r="G403" s="18" t="s">
        <v>11</v>
      </c>
      <c r="H403" s="19"/>
      <c r="I403" s="2"/>
    </row>
    <row r="404" spans="1:9" ht="32.4" x14ac:dyDescent="0.3">
      <c r="A404" s="2"/>
      <c r="B404" s="15">
        <v>2</v>
      </c>
      <c r="C404" s="15">
        <v>12</v>
      </c>
      <c r="D404" s="16">
        <f t="shared" si="16"/>
        <v>20</v>
      </c>
      <c r="E404" s="17" t="s">
        <v>452</v>
      </c>
      <c r="F404" s="66" t="s">
        <v>451</v>
      </c>
      <c r="G404" s="18" t="s">
        <v>11</v>
      </c>
      <c r="H404" s="19"/>
      <c r="I404" s="2"/>
    </row>
    <row r="405" spans="1:9" ht="32.4" x14ac:dyDescent="0.3">
      <c r="A405" s="2"/>
      <c r="B405" s="15">
        <v>2</v>
      </c>
      <c r="C405" s="15">
        <v>12</v>
      </c>
      <c r="D405" s="16">
        <f t="shared" si="16"/>
        <v>21</v>
      </c>
      <c r="E405" s="17" t="s">
        <v>454</v>
      </c>
      <c r="F405" s="66" t="s">
        <v>453</v>
      </c>
      <c r="G405" s="18" t="s">
        <v>11</v>
      </c>
      <c r="H405" s="19"/>
      <c r="I405" s="2"/>
    </row>
    <row r="406" spans="1:9" ht="32.4" x14ac:dyDescent="0.3">
      <c r="A406" s="2"/>
      <c r="B406" s="15">
        <v>2</v>
      </c>
      <c r="C406" s="15">
        <v>12</v>
      </c>
      <c r="D406" s="16">
        <f t="shared" si="16"/>
        <v>22</v>
      </c>
      <c r="E406" s="17" t="s">
        <v>456</v>
      </c>
      <c r="F406" s="66" t="s">
        <v>455</v>
      </c>
      <c r="G406" s="18" t="s">
        <v>11</v>
      </c>
      <c r="H406" s="19"/>
      <c r="I406" s="2"/>
    </row>
    <row r="407" spans="1:9" ht="21.6" x14ac:dyDescent="0.3">
      <c r="A407" s="2"/>
      <c r="B407" s="15">
        <v>2</v>
      </c>
      <c r="C407" s="15">
        <v>12</v>
      </c>
      <c r="D407" s="16">
        <f t="shared" si="16"/>
        <v>23</v>
      </c>
      <c r="E407" s="17" t="s">
        <v>552</v>
      </c>
      <c r="F407" s="66" t="s">
        <v>457</v>
      </c>
      <c r="G407" s="18" t="s">
        <v>11</v>
      </c>
      <c r="H407" s="19"/>
      <c r="I407" s="2"/>
    </row>
    <row r="408" spans="1:9" ht="54" x14ac:dyDescent="0.3">
      <c r="A408" s="2"/>
      <c r="B408" s="15">
        <v>2</v>
      </c>
      <c r="C408" s="15">
        <v>12</v>
      </c>
      <c r="D408" s="16">
        <f t="shared" si="16"/>
        <v>24</v>
      </c>
      <c r="E408" s="17" t="s">
        <v>554</v>
      </c>
      <c r="F408" s="66" t="s">
        <v>553</v>
      </c>
      <c r="G408" s="18" t="s">
        <v>11</v>
      </c>
      <c r="H408" s="19"/>
      <c r="I408" s="2"/>
    </row>
    <row r="409" spans="1:9" ht="18.75" customHeight="1" x14ac:dyDescent="0.3">
      <c r="A409" s="2"/>
      <c r="B409" s="10" t="s">
        <v>64</v>
      </c>
      <c r="C409" s="11"/>
      <c r="D409" s="11"/>
      <c r="E409" s="12" t="str">
        <f>IF(B409=0,"",VLOOKUP(B409,Daten!$A$2:$B$56,2,FALSE))</f>
        <v>Schutzleitfaden-215</v>
      </c>
      <c r="F409" s="12" t="str">
        <f>VLOOKUP(E409,Daten!$B$2:$C$56,2,)</f>
        <v>Mischen von Feststoffen mit anderen Feststoffen oder Flüssigkeiten</v>
      </c>
      <c r="G409" s="13"/>
      <c r="H409" s="14"/>
      <c r="I409" s="2"/>
    </row>
    <row r="410" spans="1:9" ht="32.4" x14ac:dyDescent="0.3">
      <c r="A410" s="2"/>
      <c r="B410" s="15">
        <v>2</v>
      </c>
      <c r="C410" s="15">
        <v>13</v>
      </c>
      <c r="D410" s="16">
        <f>ROW(A410)-(ROW(A$409))</f>
        <v>1</v>
      </c>
      <c r="E410" s="17" t="s">
        <v>778</v>
      </c>
      <c r="F410" s="66" t="s">
        <v>770</v>
      </c>
      <c r="G410" s="18" t="s">
        <v>11</v>
      </c>
      <c r="H410" s="19"/>
      <c r="I410" s="2"/>
    </row>
    <row r="411" spans="1:9" ht="21.6" x14ac:dyDescent="0.3">
      <c r="A411" s="2"/>
      <c r="B411" s="15">
        <v>2</v>
      </c>
      <c r="C411" s="15">
        <v>13</v>
      </c>
      <c r="D411" s="16">
        <f t="shared" ref="D411:D428" si="17">ROW(A411)-(ROW(A$409))</f>
        <v>2</v>
      </c>
      <c r="E411" s="17" t="s">
        <v>777</v>
      </c>
      <c r="F411" s="66" t="s">
        <v>769</v>
      </c>
      <c r="G411" s="18" t="s">
        <v>11</v>
      </c>
      <c r="H411" s="19"/>
      <c r="I411" s="2"/>
    </row>
    <row r="412" spans="1:9" ht="32.4" x14ac:dyDescent="0.3">
      <c r="A412" s="2"/>
      <c r="B412" s="15">
        <v>2</v>
      </c>
      <c r="C412" s="15">
        <v>13</v>
      </c>
      <c r="D412" s="16">
        <f t="shared" si="17"/>
        <v>3</v>
      </c>
      <c r="E412" s="17" t="s">
        <v>773</v>
      </c>
      <c r="F412" s="66" t="s">
        <v>772</v>
      </c>
      <c r="G412" s="18" t="s">
        <v>11</v>
      </c>
      <c r="H412" s="19"/>
      <c r="I412" s="2"/>
    </row>
    <row r="413" spans="1:9" ht="32.4" x14ac:dyDescent="0.3">
      <c r="A413" s="2"/>
      <c r="B413" s="15">
        <v>2</v>
      </c>
      <c r="C413" s="15">
        <v>13</v>
      </c>
      <c r="D413" s="16">
        <f t="shared" si="17"/>
        <v>4</v>
      </c>
      <c r="E413" s="17" t="s">
        <v>775</v>
      </c>
      <c r="F413" s="66" t="s">
        <v>771</v>
      </c>
      <c r="G413" s="18" t="s">
        <v>11</v>
      </c>
      <c r="H413" s="19"/>
      <c r="I413" s="2"/>
    </row>
    <row r="414" spans="1:9" ht="43.2" x14ac:dyDescent="0.3">
      <c r="A414" s="2"/>
      <c r="B414" s="15">
        <v>2</v>
      </c>
      <c r="C414" s="15">
        <v>13</v>
      </c>
      <c r="D414" s="16">
        <f t="shared" si="17"/>
        <v>5</v>
      </c>
      <c r="E414" s="17" t="s">
        <v>776</v>
      </c>
      <c r="F414" s="66" t="s">
        <v>774</v>
      </c>
      <c r="G414" s="18" t="s">
        <v>11</v>
      </c>
      <c r="H414" s="19"/>
      <c r="I414" s="2"/>
    </row>
    <row r="415" spans="1:9" ht="21.6" x14ac:dyDescent="0.3">
      <c r="A415" s="2"/>
      <c r="B415" s="15">
        <v>2</v>
      </c>
      <c r="C415" s="15">
        <v>13</v>
      </c>
      <c r="D415" s="16">
        <f t="shared" si="17"/>
        <v>6</v>
      </c>
      <c r="E415" s="17" t="s">
        <v>754</v>
      </c>
      <c r="F415" s="66" t="s">
        <v>750</v>
      </c>
      <c r="G415" s="18" t="s">
        <v>11</v>
      </c>
      <c r="H415" s="19"/>
      <c r="I415" s="2"/>
    </row>
    <row r="416" spans="1:9" ht="21.6" x14ac:dyDescent="0.3">
      <c r="A416" s="2"/>
      <c r="B416" s="15">
        <v>2</v>
      </c>
      <c r="C416" s="15">
        <v>13</v>
      </c>
      <c r="D416" s="16">
        <f t="shared" si="17"/>
        <v>7</v>
      </c>
      <c r="E416" s="17" t="s">
        <v>759</v>
      </c>
      <c r="F416" s="66" t="s">
        <v>768</v>
      </c>
      <c r="G416" s="18" t="s">
        <v>11</v>
      </c>
      <c r="H416" s="19"/>
      <c r="I416" s="2"/>
    </row>
    <row r="417" spans="1:9" ht="32.4" x14ac:dyDescent="0.3">
      <c r="A417" s="2"/>
      <c r="B417" s="15">
        <v>2</v>
      </c>
      <c r="C417" s="15">
        <v>13</v>
      </c>
      <c r="D417" s="16">
        <f t="shared" si="17"/>
        <v>8</v>
      </c>
      <c r="E417" s="17" t="s">
        <v>168</v>
      </c>
      <c r="F417" s="66" t="s">
        <v>739</v>
      </c>
      <c r="G417" s="18" t="s">
        <v>11</v>
      </c>
      <c r="H417" s="19"/>
      <c r="I417" s="2"/>
    </row>
    <row r="418" spans="1:9" ht="21.6" x14ac:dyDescent="0.3">
      <c r="A418" s="2"/>
      <c r="B418" s="15">
        <v>2</v>
      </c>
      <c r="C418" s="15">
        <v>13</v>
      </c>
      <c r="D418" s="16">
        <f t="shared" si="17"/>
        <v>9</v>
      </c>
      <c r="E418" s="17" t="s">
        <v>753</v>
      </c>
      <c r="F418" s="66" t="s">
        <v>740</v>
      </c>
      <c r="G418" s="18" t="s">
        <v>11</v>
      </c>
      <c r="H418" s="19"/>
      <c r="I418" s="2"/>
    </row>
    <row r="419" spans="1:9" ht="21.6" x14ac:dyDescent="0.3">
      <c r="A419" s="2"/>
      <c r="B419" s="15">
        <v>2</v>
      </c>
      <c r="C419" s="15">
        <v>13</v>
      </c>
      <c r="D419" s="16">
        <f t="shared" si="17"/>
        <v>10</v>
      </c>
      <c r="E419" s="17" t="s">
        <v>434</v>
      </c>
      <c r="F419" s="66" t="s">
        <v>433</v>
      </c>
      <c r="G419" s="18" t="s">
        <v>11</v>
      </c>
      <c r="H419" s="19"/>
      <c r="I419" s="2"/>
    </row>
    <row r="420" spans="1:9" ht="32.4" x14ac:dyDescent="0.3">
      <c r="A420" s="2"/>
      <c r="B420" s="15">
        <v>2</v>
      </c>
      <c r="C420" s="15">
        <v>13</v>
      </c>
      <c r="D420" s="16">
        <f t="shared" si="17"/>
        <v>11</v>
      </c>
      <c r="E420" s="17" t="s">
        <v>436</v>
      </c>
      <c r="F420" s="66" t="s">
        <v>435</v>
      </c>
      <c r="G420" s="18" t="s">
        <v>11</v>
      </c>
      <c r="H420" s="19"/>
      <c r="I420" s="2"/>
    </row>
    <row r="421" spans="1:9" ht="32.4" x14ac:dyDescent="0.3">
      <c r="A421" s="2"/>
      <c r="B421" s="15">
        <v>2</v>
      </c>
      <c r="C421" s="15">
        <v>13</v>
      </c>
      <c r="D421" s="16">
        <f t="shared" si="17"/>
        <v>12</v>
      </c>
      <c r="E421" s="17" t="s">
        <v>767</v>
      </c>
      <c r="F421" s="66" t="s">
        <v>663</v>
      </c>
      <c r="G421" s="18" t="s">
        <v>11</v>
      </c>
      <c r="H421" s="19"/>
      <c r="I421" s="2"/>
    </row>
    <row r="422" spans="1:9" ht="21.6" x14ac:dyDescent="0.3">
      <c r="A422" s="2"/>
      <c r="B422" s="15">
        <v>2</v>
      </c>
      <c r="C422" s="15">
        <v>13</v>
      </c>
      <c r="D422" s="16">
        <f t="shared" si="17"/>
        <v>13</v>
      </c>
      <c r="E422" s="17" t="s">
        <v>665</v>
      </c>
      <c r="F422" s="66" t="s">
        <v>766</v>
      </c>
      <c r="G422" s="18" t="s">
        <v>11</v>
      </c>
      <c r="H422" s="19"/>
      <c r="I422" s="2"/>
    </row>
    <row r="423" spans="1:9" ht="43.2" x14ac:dyDescent="0.3">
      <c r="A423" s="2"/>
      <c r="B423" s="15">
        <v>2</v>
      </c>
      <c r="C423" s="15">
        <v>13</v>
      </c>
      <c r="D423" s="16">
        <f t="shared" si="17"/>
        <v>14</v>
      </c>
      <c r="E423" s="17" t="s">
        <v>450</v>
      </c>
      <c r="F423" s="66" t="s">
        <v>449</v>
      </c>
      <c r="G423" s="18" t="s">
        <v>11</v>
      </c>
      <c r="H423" s="19"/>
      <c r="I423" s="2"/>
    </row>
    <row r="424" spans="1:9" ht="32.4" x14ac:dyDescent="0.3">
      <c r="A424" s="2"/>
      <c r="B424" s="15">
        <v>2</v>
      </c>
      <c r="C424" s="15">
        <v>13</v>
      </c>
      <c r="D424" s="16">
        <f t="shared" si="17"/>
        <v>15</v>
      </c>
      <c r="E424" s="17" t="s">
        <v>452</v>
      </c>
      <c r="F424" s="66" t="s">
        <v>451</v>
      </c>
      <c r="G424" s="18" t="s">
        <v>11</v>
      </c>
      <c r="H424" s="19"/>
      <c r="I424" s="2"/>
    </row>
    <row r="425" spans="1:9" ht="32.4" x14ac:dyDescent="0.3">
      <c r="A425" s="2"/>
      <c r="B425" s="15">
        <v>2</v>
      </c>
      <c r="C425" s="15">
        <v>13</v>
      </c>
      <c r="D425" s="16">
        <f t="shared" si="17"/>
        <v>16</v>
      </c>
      <c r="E425" s="17" t="s">
        <v>454</v>
      </c>
      <c r="F425" s="66" t="s">
        <v>453</v>
      </c>
      <c r="G425" s="18" t="s">
        <v>11</v>
      </c>
      <c r="H425" s="19"/>
      <c r="I425" s="2"/>
    </row>
    <row r="426" spans="1:9" ht="32.4" x14ac:dyDescent="0.3">
      <c r="A426" s="2"/>
      <c r="B426" s="15">
        <v>2</v>
      </c>
      <c r="C426" s="15">
        <v>13</v>
      </c>
      <c r="D426" s="16">
        <f t="shared" si="17"/>
        <v>17</v>
      </c>
      <c r="E426" s="17" t="s">
        <v>456</v>
      </c>
      <c r="F426" s="66" t="s">
        <v>455</v>
      </c>
      <c r="G426" s="18" t="s">
        <v>11</v>
      </c>
      <c r="H426" s="19"/>
      <c r="I426" s="2"/>
    </row>
    <row r="427" spans="1:9" ht="21.6" x14ac:dyDescent="0.3">
      <c r="A427" s="2"/>
      <c r="B427" s="15">
        <v>2</v>
      </c>
      <c r="C427" s="15">
        <v>13</v>
      </c>
      <c r="D427" s="16">
        <f t="shared" si="17"/>
        <v>18</v>
      </c>
      <c r="E427" s="17" t="s">
        <v>552</v>
      </c>
      <c r="F427" s="66" t="s">
        <v>457</v>
      </c>
      <c r="G427" s="18" t="s">
        <v>11</v>
      </c>
      <c r="H427" s="19"/>
      <c r="I427" s="2"/>
    </row>
    <row r="428" spans="1:9" ht="54" x14ac:dyDescent="0.3">
      <c r="A428" s="2"/>
      <c r="B428" s="15">
        <v>2</v>
      </c>
      <c r="C428" s="15">
        <v>13</v>
      </c>
      <c r="D428" s="16">
        <f t="shared" si="17"/>
        <v>19</v>
      </c>
      <c r="E428" s="17" t="s">
        <v>554</v>
      </c>
      <c r="F428" s="66" t="s">
        <v>553</v>
      </c>
      <c r="G428" s="18" t="s">
        <v>11</v>
      </c>
      <c r="H428" s="19"/>
      <c r="I428" s="2"/>
    </row>
    <row r="429" spans="1:9" ht="18.75" customHeight="1" x14ac:dyDescent="0.3">
      <c r="A429" s="2"/>
      <c r="B429" s="10" t="s">
        <v>65</v>
      </c>
      <c r="C429" s="11"/>
      <c r="D429" s="11"/>
      <c r="E429" s="12" t="str">
        <f>IF(B429=0,"",VLOOKUP(B429,Daten!$A$2:$B$56,2,FALSE))</f>
        <v>Schutzleitfaden-217</v>
      </c>
      <c r="F429" s="12" t="str">
        <f>VLOOKUP(E429,Daten!$B$2:$C$56,2,)</f>
        <v>Mischen von Flüssigkeiten mit anderen Flüssigkeiten oder Feststoffen in Fässern o. ä.</v>
      </c>
      <c r="G429" s="13"/>
      <c r="H429" s="14"/>
      <c r="I429" s="2"/>
    </row>
    <row r="430" spans="1:9" ht="32.4" x14ac:dyDescent="0.3">
      <c r="A430" s="2"/>
      <c r="B430" s="15">
        <v>2</v>
      </c>
      <c r="C430" s="15">
        <v>14</v>
      </c>
      <c r="D430" s="16">
        <f>ROW(A430)-(ROW(A$429))</f>
        <v>1</v>
      </c>
      <c r="E430" s="17" t="s">
        <v>778</v>
      </c>
      <c r="F430" s="66" t="s">
        <v>770</v>
      </c>
      <c r="G430" s="18" t="s">
        <v>11</v>
      </c>
      <c r="H430" s="19"/>
      <c r="I430" s="2"/>
    </row>
    <row r="431" spans="1:9" ht="21.6" x14ac:dyDescent="0.3">
      <c r="A431" s="2"/>
      <c r="B431" s="15">
        <v>2</v>
      </c>
      <c r="C431" s="15">
        <v>14</v>
      </c>
      <c r="D431" s="16">
        <f t="shared" ref="D431:D448" si="18">ROW(A431)-(ROW(A$429))</f>
        <v>2</v>
      </c>
      <c r="E431" s="17" t="s">
        <v>777</v>
      </c>
      <c r="F431" s="66" t="s">
        <v>769</v>
      </c>
      <c r="G431" s="18" t="s">
        <v>11</v>
      </c>
      <c r="H431" s="19"/>
      <c r="I431" s="2"/>
    </row>
    <row r="432" spans="1:9" ht="32.4" x14ac:dyDescent="0.3">
      <c r="A432" s="2"/>
      <c r="B432" s="15">
        <v>2</v>
      </c>
      <c r="C432" s="15">
        <v>14</v>
      </c>
      <c r="D432" s="16">
        <f t="shared" si="18"/>
        <v>3</v>
      </c>
      <c r="E432" s="17" t="s">
        <v>773</v>
      </c>
      <c r="F432" s="66" t="s">
        <v>772</v>
      </c>
      <c r="G432" s="18" t="s">
        <v>11</v>
      </c>
      <c r="H432" s="19"/>
      <c r="I432" s="2"/>
    </row>
    <row r="433" spans="1:9" ht="32.4" x14ac:dyDescent="0.3">
      <c r="A433" s="2"/>
      <c r="B433" s="15">
        <v>2</v>
      </c>
      <c r="C433" s="15">
        <v>14</v>
      </c>
      <c r="D433" s="16">
        <f t="shared" si="18"/>
        <v>4</v>
      </c>
      <c r="E433" s="17" t="s">
        <v>775</v>
      </c>
      <c r="F433" s="66" t="s">
        <v>771</v>
      </c>
      <c r="G433" s="18" t="s">
        <v>11</v>
      </c>
      <c r="H433" s="19"/>
      <c r="I433" s="2"/>
    </row>
    <row r="434" spans="1:9" ht="43.2" x14ac:dyDescent="0.3">
      <c r="A434" s="2"/>
      <c r="B434" s="15">
        <v>2</v>
      </c>
      <c r="C434" s="15">
        <v>14</v>
      </c>
      <c r="D434" s="16">
        <f t="shared" si="18"/>
        <v>5</v>
      </c>
      <c r="E434" s="17" t="s">
        <v>776</v>
      </c>
      <c r="F434" s="66" t="s">
        <v>774</v>
      </c>
      <c r="G434" s="18" t="s">
        <v>11</v>
      </c>
      <c r="H434" s="19"/>
      <c r="I434" s="2"/>
    </row>
    <row r="435" spans="1:9" ht="21.6" x14ac:dyDescent="0.3">
      <c r="A435" s="2"/>
      <c r="B435" s="15">
        <v>2</v>
      </c>
      <c r="C435" s="15">
        <v>14</v>
      </c>
      <c r="D435" s="16">
        <f t="shared" si="18"/>
        <v>6</v>
      </c>
      <c r="E435" s="17" t="s">
        <v>754</v>
      </c>
      <c r="F435" s="66" t="s">
        <v>750</v>
      </c>
      <c r="G435" s="18" t="s">
        <v>11</v>
      </c>
      <c r="H435" s="19"/>
      <c r="I435" s="2"/>
    </row>
    <row r="436" spans="1:9" ht="21.6" x14ac:dyDescent="0.3">
      <c r="A436" s="2"/>
      <c r="B436" s="15">
        <v>2</v>
      </c>
      <c r="C436" s="15">
        <v>14</v>
      </c>
      <c r="D436" s="16">
        <f t="shared" si="18"/>
        <v>7</v>
      </c>
      <c r="E436" s="17" t="s">
        <v>759</v>
      </c>
      <c r="F436" s="66" t="s">
        <v>768</v>
      </c>
      <c r="G436" s="18" t="s">
        <v>11</v>
      </c>
      <c r="H436" s="19"/>
      <c r="I436" s="2"/>
    </row>
    <row r="437" spans="1:9" ht="32.4" x14ac:dyDescent="0.3">
      <c r="A437" s="2"/>
      <c r="B437" s="15">
        <v>2</v>
      </c>
      <c r="C437" s="15">
        <v>14</v>
      </c>
      <c r="D437" s="16">
        <f t="shared" si="18"/>
        <v>8</v>
      </c>
      <c r="E437" s="17" t="s">
        <v>168</v>
      </c>
      <c r="F437" s="66" t="s">
        <v>739</v>
      </c>
      <c r="G437" s="18" t="s">
        <v>11</v>
      </c>
      <c r="H437" s="19"/>
      <c r="I437" s="2"/>
    </row>
    <row r="438" spans="1:9" ht="21.6" x14ac:dyDescent="0.3">
      <c r="A438" s="2"/>
      <c r="B438" s="15">
        <v>2</v>
      </c>
      <c r="C438" s="15">
        <v>14</v>
      </c>
      <c r="D438" s="16">
        <f t="shared" si="18"/>
        <v>9</v>
      </c>
      <c r="E438" s="17" t="s">
        <v>753</v>
      </c>
      <c r="F438" s="66" t="s">
        <v>740</v>
      </c>
      <c r="G438" s="18" t="s">
        <v>11</v>
      </c>
      <c r="H438" s="19"/>
      <c r="I438" s="2"/>
    </row>
    <row r="439" spans="1:9" ht="21.6" x14ac:dyDescent="0.3">
      <c r="A439" s="2"/>
      <c r="B439" s="15">
        <v>2</v>
      </c>
      <c r="C439" s="15">
        <v>14</v>
      </c>
      <c r="D439" s="16">
        <f t="shared" si="18"/>
        <v>10</v>
      </c>
      <c r="E439" s="17" t="s">
        <v>434</v>
      </c>
      <c r="F439" s="66" t="s">
        <v>433</v>
      </c>
      <c r="G439" s="18" t="s">
        <v>11</v>
      </c>
      <c r="H439" s="19"/>
      <c r="I439" s="2"/>
    </row>
    <row r="440" spans="1:9" ht="32.4" x14ac:dyDescent="0.3">
      <c r="A440" s="2"/>
      <c r="B440" s="15">
        <v>2</v>
      </c>
      <c r="C440" s="15">
        <v>14</v>
      </c>
      <c r="D440" s="16">
        <f t="shared" si="18"/>
        <v>11</v>
      </c>
      <c r="E440" s="17" t="s">
        <v>436</v>
      </c>
      <c r="F440" s="66" t="s">
        <v>435</v>
      </c>
      <c r="G440" s="18" t="s">
        <v>11</v>
      </c>
      <c r="H440" s="19"/>
      <c r="I440" s="2"/>
    </row>
    <row r="441" spans="1:9" ht="32.4" x14ac:dyDescent="0.3">
      <c r="A441" s="2"/>
      <c r="B441" s="15">
        <v>2</v>
      </c>
      <c r="C441" s="15">
        <v>14</v>
      </c>
      <c r="D441" s="16">
        <f t="shared" si="18"/>
        <v>12</v>
      </c>
      <c r="E441" s="17" t="s">
        <v>767</v>
      </c>
      <c r="F441" s="66" t="s">
        <v>663</v>
      </c>
      <c r="G441" s="18" t="s">
        <v>11</v>
      </c>
      <c r="H441" s="19"/>
      <c r="I441" s="2"/>
    </row>
    <row r="442" spans="1:9" ht="21.6" x14ac:dyDescent="0.3">
      <c r="A442" s="2"/>
      <c r="B442" s="15">
        <v>2</v>
      </c>
      <c r="C442" s="15">
        <v>14</v>
      </c>
      <c r="D442" s="16">
        <f t="shared" si="18"/>
        <v>13</v>
      </c>
      <c r="E442" s="17" t="s">
        <v>665</v>
      </c>
      <c r="F442" s="66" t="s">
        <v>766</v>
      </c>
      <c r="G442" s="18" t="s">
        <v>11</v>
      </c>
      <c r="H442" s="19"/>
      <c r="I442" s="2"/>
    </row>
    <row r="443" spans="1:9" ht="43.2" x14ac:dyDescent="0.3">
      <c r="A443" s="2"/>
      <c r="B443" s="15">
        <v>2</v>
      </c>
      <c r="C443" s="15">
        <v>14</v>
      </c>
      <c r="D443" s="16">
        <f t="shared" si="18"/>
        <v>14</v>
      </c>
      <c r="E443" s="17" t="s">
        <v>450</v>
      </c>
      <c r="F443" s="66" t="s">
        <v>449</v>
      </c>
      <c r="G443" s="18" t="s">
        <v>11</v>
      </c>
      <c r="H443" s="19"/>
      <c r="I443" s="2"/>
    </row>
    <row r="444" spans="1:9" ht="32.4" x14ac:dyDescent="0.3">
      <c r="A444" s="2"/>
      <c r="B444" s="15">
        <v>2</v>
      </c>
      <c r="C444" s="15">
        <v>14</v>
      </c>
      <c r="D444" s="16">
        <f t="shared" si="18"/>
        <v>15</v>
      </c>
      <c r="E444" s="17" t="s">
        <v>452</v>
      </c>
      <c r="F444" s="66" t="s">
        <v>451</v>
      </c>
      <c r="G444" s="18" t="s">
        <v>11</v>
      </c>
      <c r="H444" s="19"/>
      <c r="I444" s="2"/>
    </row>
    <row r="445" spans="1:9" ht="32.4" x14ac:dyDescent="0.3">
      <c r="A445" s="2"/>
      <c r="B445" s="15">
        <v>2</v>
      </c>
      <c r="C445" s="15">
        <v>14</v>
      </c>
      <c r="D445" s="16">
        <f t="shared" si="18"/>
        <v>16</v>
      </c>
      <c r="E445" s="17" t="s">
        <v>454</v>
      </c>
      <c r="F445" s="66" t="s">
        <v>453</v>
      </c>
      <c r="G445" s="18" t="s">
        <v>11</v>
      </c>
      <c r="H445" s="19"/>
      <c r="I445" s="2"/>
    </row>
    <row r="446" spans="1:9" ht="32.4" x14ac:dyDescent="0.3">
      <c r="A446" s="2"/>
      <c r="B446" s="15">
        <v>2</v>
      </c>
      <c r="C446" s="15">
        <v>14</v>
      </c>
      <c r="D446" s="16">
        <f t="shared" si="18"/>
        <v>17</v>
      </c>
      <c r="E446" s="17" t="s">
        <v>456</v>
      </c>
      <c r="F446" s="66" t="s">
        <v>455</v>
      </c>
      <c r="G446" s="18" t="s">
        <v>11</v>
      </c>
      <c r="H446" s="19"/>
      <c r="I446" s="2"/>
    </row>
    <row r="447" spans="1:9" ht="21.6" x14ac:dyDescent="0.3">
      <c r="A447" s="2"/>
      <c r="B447" s="15">
        <v>2</v>
      </c>
      <c r="C447" s="15">
        <v>14</v>
      </c>
      <c r="D447" s="16">
        <f t="shared" si="18"/>
        <v>18</v>
      </c>
      <c r="E447" s="17" t="s">
        <v>552</v>
      </c>
      <c r="F447" s="66" t="s">
        <v>457</v>
      </c>
      <c r="G447" s="18" t="s">
        <v>11</v>
      </c>
      <c r="H447" s="19"/>
      <c r="I447" s="2"/>
    </row>
    <row r="448" spans="1:9" ht="54" x14ac:dyDescent="0.3">
      <c r="A448" s="2"/>
      <c r="B448" s="15">
        <v>2</v>
      </c>
      <c r="C448" s="15">
        <v>14</v>
      </c>
      <c r="D448" s="16">
        <f t="shared" si="18"/>
        <v>19</v>
      </c>
      <c r="E448" s="17" t="s">
        <v>554</v>
      </c>
      <c r="F448" s="66" t="s">
        <v>553</v>
      </c>
      <c r="G448" s="18" t="s">
        <v>11</v>
      </c>
      <c r="H448" s="19"/>
      <c r="I448" s="2"/>
    </row>
    <row r="449" spans="1:9" ht="18.75" customHeight="1" x14ac:dyDescent="0.3">
      <c r="A449" s="2"/>
      <c r="B449" s="10" t="s">
        <v>66</v>
      </c>
      <c r="C449" s="11"/>
      <c r="D449" s="11"/>
      <c r="E449" s="12" t="str">
        <f>IF(B449=0,"",VLOOKUP(B449,Daten!$A$2:$B$56,2,FALSE))</f>
        <v>Schutzleitfaden-222</v>
      </c>
      <c r="F449" s="12" t="str">
        <f>VLOOKUP(E449,Daten!$B$2:$C$56,2,)</f>
        <v>Pulverbeschichtung</v>
      </c>
      <c r="G449" s="13"/>
      <c r="H449" s="14"/>
      <c r="I449" s="2"/>
    </row>
    <row r="450" spans="1:9" ht="13.2" x14ac:dyDescent="0.3">
      <c r="A450" s="2"/>
      <c r="B450" s="15">
        <v>2</v>
      </c>
      <c r="C450" s="15">
        <v>15</v>
      </c>
      <c r="D450" s="16">
        <f>ROW(A450)-(ROW(A$449))</f>
        <v>1</v>
      </c>
      <c r="E450" s="17" t="s">
        <v>192</v>
      </c>
      <c r="F450" s="66" t="s">
        <v>782</v>
      </c>
      <c r="G450" s="18" t="s">
        <v>11</v>
      </c>
      <c r="H450" s="19"/>
      <c r="I450" s="2"/>
    </row>
    <row r="451" spans="1:9" ht="21.6" x14ac:dyDescent="0.3">
      <c r="A451" s="2"/>
      <c r="B451" s="15">
        <v>2</v>
      </c>
      <c r="C451" s="15">
        <v>15</v>
      </c>
      <c r="D451" s="16">
        <f t="shared" ref="D451:D475" si="19">ROW(A451)-(ROW(A$449))</f>
        <v>2</v>
      </c>
      <c r="E451" s="17" t="s">
        <v>784</v>
      </c>
      <c r="F451" s="66" t="s">
        <v>783</v>
      </c>
      <c r="G451" s="18" t="s">
        <v>11</v>
      </c>
      <c r="H451" s="19"/>
      <c r="I451" s="2"/>
    </row>
    <row r="452" spans="1:9" ht="21.6" x14ac:dyDescent="0.3">
      <c r="A452" s="2"/>
      <c r="B452" s="15">
        <v>2</v>
      </c>
      <c r="C452" s="15">
        <v>15</v>
      </c>
      <c r="D452" s="16">
        <f t="shared" si="19"/>
        <v>3</v>
      </c>
      <c r="E452" s="17" t="s">
        <v>786</v>
      </c>
      <c r="F452" s="66" t="s">
        <v>785</v>
      </c>
      <c r="G452" s="18" t="s">
        <v>11</v>
      </c>
      <c r="H452" s="19"/>
      <c r="I452" s="2"/>
    </row>
    <row r="453" spans="1:9" ht="21.6" x14ac:dyDescent="0.3">
      <c r="A453" s="2"/>
      <c r="B453" s="15">
        <v>2</v>
      </c>
      <c r="C453" s="15">
        <v>15</v>
      </c>
      <c r="D453" s="16">
        <f t="shared" si="19"/>
        <v>4</v>
      </c>
      <c r="E453" s="17" t="s">
        <v>792</v>
      </c>
      <c r="F453" s="66" t="s">
        <v>787</v>
      </c>
      <c r="G453" s="18" t="s">
        <v>11</v>
      </c>
      <c r="H453" s="19"/>
      <c r="I453" s="2"/>
    </row>
    <row r="454" spans="1:9" ht="21.6" x14ac:dyDescent="0.3">
      <c r="A454" s="2"/>
      <c r="B454" s="15">
        <v>2</v>
      </c>
      <c r="C454" s="15">
        <v>15</v>
      </c>
      <c r="D454" s="16">
        <f t="shared" si="19"/>
        <v>5</v>
      </c>
      <c r="E454" s="17" t="s">
        <v>788</v>
      </c>
      <c r="F454" s="66" t="s">
        <v>791</v>
      </c>
      <c r="G454" s="18" t="s">
        <v>11</v>
      </c>
      <c r="H454" s="19"/>
      <c r="I454" s="2"/>
    </row>
    <row r="455" spans="1:9" ht="21.6" x14ac:dyDescent="0.3">
      <c r="A455" s="2"/>
      <c r="B455" s="15">
        <v>2</v>
      </c>
      <c r="C455" s="15">
        <v>15</v>
      </c>
      <c r="D455" s="16">
        <f t="shared" si="19"/>
        <v>6</v>
      </c>
      <c r="E455" s="17" t="s">
        <v>789</v>
      </c>
      <c r="F455" s="66" t="s">
        <v>790</v>
      </c>
      <c r="G455" s="18" t="s">
        <v>11</v>
      </c>
      <c r="H455" s="19"/>
      <c r="I455" s="2"/>
    </row>
    <row r="456" spans="1:9" ht="21.6" x14ac:dyDescent="0.3">
      <c r="A456" s="2"/>
      <c r="B456" s="15">
        <v>2</v>
      </c>
      <c r="C456" s="15">
        <v>15</v>
      </c>
      <c r="D456" s="16">
        <f t="shared" si="19"/>
        <v>7</v>
      </c>
      <c r="E456" s="17" t="s">
        <v>794</v>
      </c>
      <c r="F456" s="66" t="s">
        <v>793</v>
      </c>
      <c r="G456" s="18" t="s">
        <v>11</v>
      </c>
      <c r="H456" s="19"/>
      <c r="I456" s="2"/>
    </row>
    <row r="457" spans="1:9" ht="21.6" x14ac:dyDescent="0.3">
      <c r="A457" s="2"/>
      <c r="B457" s="15">
        <v>2</v>
      </c>
      <c r="C457" s="15">
        <v>15</v>
      </c>
      <c r="D457" s="16">
        <f t="shared" si="19"/>
        <v>8</v>
      </c>
      <c r="E457" s="17" t="s">
        <v>796</v>
      </c>
      <c r="F457" s="66" t="s">
        <v>795</v>
      </c>
      <c r="G457" s="18" t="s">
        <v>11</v>
      </c>
      <c r="H457" s="19"/>
      <c r="I457" s="2"/>
    </row>
    <row r="458" spans="1:9" ht="32.4" x14ac:dyDescent="0.3">
      <c r="A458" s="2"/>
      <c r="B458" s="15">
        <v>2</v>
      </c>
      <c r="C458" s="15">
        <v>15</v>
      </c>
      <c r="D458" s="16">
        <f t="shared" si="19"/>
        <v>9</v>
      </c>
      <c r="E458" s="17" t="s">
        <v>797</v>
      </c>
      <c r="F458" s="66" t="s">
        <v>799</v>
      </c>
      <c r="G458" s="18" t="s">
        <v>11</v>
      </c>
      <c r="H458" s="19"/>
      <c r="I458" s="2"/>
    </row>
    <row r="459" spans="1:9" ht="21.6" x14ac:dyDescent="0.3">
      <c r="A459" s="2"/>
      <c r="B459" s="15">
        <v>2</v>
      </c>
      <c r="C459" s="15">
        <v>15</v>
      </c>
      <c r="D459" s="16">
        <f t="shared" si="19"/>
        <v>10</v>
      </c>
      <c r="E459" s="17" t="s">
        <v>798</v>
      </c>
      <c r="F459" s="66" t="s">
        <v>781</v>
      </c>
      <c r="G459" s="18" t="s">
        <v>11</v>
      </c>
      <c r="H459" s="19"/>
      <c r="I459" s="2"/>
    </row>
    <row r="460" spans="1:9" ht="21.6" x14ac:dyDescent="0.3">
      <c r="A460" s="2"/>
      <c r="B460" s="15">
        <v>2</v>
      </c>
      <c r="C460" s="15">
        <v>15</v>
      </c>
      <c r="D460" s="16">
        <f t="shared" si="19"/>
        <v>11</v>
      </c>
      <c r="E460" s="17" t="s">
        <v>801</v>
      </c>
      <c r="F460" s="66" t="s">
        <v>800</v>
      </c>
      <c r="G460" s="18" t="s">
        <v>11</v>
      </c>
      <c r="H460" s="19"/>
      <c r="I460" s="2"/>
    </row>
    <row r="461" spans="1:9" ht="21.6" x14ac:dyDescent="0.3">
      <c r="A461" s="2"/>
      <c r="B461" s="15">
        <v>2</v>
      </c>
      <c r="C461" s="15">
        <v>15</v>
      </c>
      <c r="D461" s="16">
        <f t="shared" si="19"/>
        <v>12</v>
      </c>
      <c r="E461" s="17" t="s">
        <v>802</v>
      </c>
      <c r="F461" s="66" t="s">
        <v>803</v>
      </c>
      <c r="G461" s="18" t="s">
        <v>11</v>
      </c>
      <c r="H461" s="19"/>
      <c r="I461" s="2"/>
    </row>
    <row r="462" spans="1:9" ht="32.4" x14ac:dyDescent="0.3">
      <c r="A462" s="2"/>
      <c r="B462" s="15">
        <v>2</v>
      </c>
      <c r="C462" s="15">
        <v>15</v>
      </c>
      <c r="D462" s="16">
        <f t="shared" si="19"/>
        <v>13</v>
      </c>
      <c r="E462" s="17" t="s">
        <v>361</v>
      </c>
      <c r="F462" s="66" t="s">
        <v>804</v>
      </c>
      <c r="G462" s="18" t="s">
        <v>11</v>
      </c>
      <c r="H462" s="19"/>
      <c r="I462" s="2"/>
    </row>
    <row r="463" spans="1:9" ht="21.6" x14ac:dyDescent="0.3">
      <c r="A463" s="2"/>
      <c r="B463" s="15">
        <v>2</v>
      </c>
      <c r="C463" s="15">
        <v>15</v>
      </c>
      <c r="D463" s="16">
        <f t="shared" si="19"/>
        <v>14</v>
      </c>
      <c r="E463" s="17" t="s">
        <v>754</v>
      </c>
      <c r="F463" s="66" t="s">
        <v>750</v>
      </c>
      <c r="G463" s="18" t="s">
        <v>11</v>
      </c>
      <c r="H463" s="19"/>
      <c r="I463" s="2"/>
    </row>
    <row r="464" spans="1:9" ht="32.4" x14ac:dyDescent="0.3">
      <c r="A464" s="2"/>
      <c r="B464" s="15">
        <v>2</v>
      </c>
      <c r="C464" s="15">
        <v>15</v>
      </c>
      <c r="D464" s="16">
        <f t="shared" si="19"/>
        <v>15</v>
      </c>
      <c r="E464" s="17" t="s">
        <v>168</v>
      </c>
      <c r="F464" s="66" t="s">
        <v>739</v>
      </c>
      <c r="G464" s="18" t="s">
        <v>11</v>
      </c>
      <c r="H464" s="19"/>
      <c r="I464" s="2"/>
    </row>
    <row r="465" spans="1:9" ht="21.6" x14ac:dyDescent="0.3">
      <c r="A465" s="2"/>
      <c r="B465" s="15">
        <v>2</v>
      </c>
      <c r="C465" s="15">
        <v>15</v>
      </c>
      <c r="D465" s="16">
        <f t="shared" si="19"/>
        <v>16</v>
      </c>
      <c r="E465" s="17" t="s">
        <v>780</v>
      </c>
      <c r="F465" s="66" t="s">
        <v>740</v>
      </c>
      <c r="G465" s="18" t="s">
        <v>11</v>
      </c>
      <c r="H465" s="19"/>
      <c r="I465" s="2"/>
    </row>
    <row r="466" spans="1:9" ht="54" x14ac:dyDescent="0.3">
      <c r="A466" s="2"/>
      <c r="B466" s="15">
        <v>2</v>
      </c>
      <c r="C466" s="15">
        <v>15</v>
      </c>
      <c r="D466" s="16">
        <f t="shared" si="19"/>
        <v>17</v>
      </c>
      <c r="E466" s="17" t="s">
        <v>434</v>
      </c>
      <c r="F466" s="66" t="s">
        <v>779</v>
      </c>
      <c r="G466" s="18" t="s">
        <v>11</v>
      </c>
      <c r="H466" s="19"/>
      <c r="I466" s="2"/>
    </row>
    <row r="467" spans="1:9" ht="32.4" x14ac:dyDescent="0.3">
      <c r="A467" s="2"/>
      <c r="B467" s="15">
        <v>2</v>
      </c>
      <c r="C467" s="15">
        <v>15</v>
      </c>
      <c r="D467" s="16">
        <f t="shared" si="19"/>
        <v>18</v>
      </c>
      <c r="E467" s="17" t="s">
        <v>436</v>
      </c>
      <c r="F467" s="66" t="s">
        <v>435</v>
      </c>
      <c r="G467" s="18" t="s">
        <v>11</v>
      </c>
      <c r="H467" s="19"/>
      <c r="I467" s="2"/>
    </row>
    <row r="468" spans="1:9" ht="32.4" x14ac:dyDescent="0.3">
      <c r="A468" s="2"/>
      <c r="B468" s="15">
        <v>2</v>
      </c>
      <c r="C468" s="15">
        <v>15</v>
      </c>
      <c r="D468" s="16">
        <f t="shared" si="19"/>
        <v>19</v>
      </c>
      <c r="E468" s="17" t="s">
        <v>662</v>
      </c>
      <c r="F468" s="66" t="s">
        <v>680</v>
      </c>
      <c r="G468" s="18" t="s">
        <v>11</v>
      </c>
      <c r="H468" s="19"/>
      <c r="I468" s="2"/>
    </row>
    <row r="469" spans="1:9" ht="21.6" x14ac:dyDescent="0.3">
      <c r="A469" s="2"/>
      <c r="B469" s="15">
        <v>2</v>
      </c>
      <c r="C469" s="15">
        <v>15</v>
      </c>
      <c r="D469" s="16">
        <f t="shared" si="19"/>
        <v>20</v>
      </c>
      <c r="E469" s="17" t="s">
        <v>665</v>
      </c>
      <c r="F469" s="66" t="s">
        <v>811</v>
      </c>
      <c r="G469" s="18" t="s">
        <v>11</v>
      </c>
      <c r="H469" s="19"/>
      <c r="I469" s="2"/>
    </row>
    <row r="470" spans="1:9" ht="43.2" x14ac:dyDescent="0.3">
      <c r="A470" s="2"/>
      <c r="B470" s="15">
        <v>2</v>
      </c>
      <c r="C470" s="15">
        <v>15</v>
      </c>
      <c r="D470" s="16">
        <f t="shared" si="19"/>
        <v>21</v>
      </c>
      <c r="E470" s="17" t="s">
        <v>450</v>
      </c>
      <c r="F470" s="66" t="s">
        <v>449</v>
      </c>
      <c r="G470" s="18" t="s">
        <v>11</v>
      </c>
      <c r="H470" s="19"/>
      <c r="I470" s="2"/>
    </row>
    <row r="471" spans="1:9" ht="32.4" x14ac:dyDescent="0.3">
      <c r="A471" s="2"/>
      <c r="B471" s="15">
        <v>2</v>
      </c>
      <c r="C471" s="15">
        <v>15</v>
      </c>
      <c r="D471" s="16">
        <f t="shared" si="19"/>
        <v>22</v>
      </c>
      <c r="E471" s="17" t="s">
        <v>452</v>
      </c>
      <c r="F471" s="66" t="s">
        <v>451</v>
      </c>
      <c r="G471" s="18" t="s">
        <v>11</v>
      </c>
      <c r="H471" s="19"/>
      <c r="I471" s="2"/>
    </row>
    <row r="472" spans="1:9" ht="32.4" x14ac:dyDescent="0.3">
      <c r="A472" s="2"/>
      <c r="B472" s="15">
        <v>2</v>
      </c>
      <c r="C472" s="15">
        <v>15</v>
      </c>
      <c r="D472" s="16">
        <f t="shared" si="19"/>
        <v>23</v>
      </c>
      <c r="E472" s="17" t="s">
        <v>454</v>
      </c>
      <c r="F472" s="66" t="s">
        <v>453</v>
      </c>
      <c r="G472" s="18" t="s">
        <v>11</v>
      </c>
      <c r="H472" s="19"/>
      <c r="I472" s="2"/>
    </row>
    <row r="473" spans="1:9" ht="32.4" x14ac:dyDescent="0.3">
      <c r="A473" s="2"/>
      <c r="B473" s="15">
        <v>2</v>
      </c>
      <c r="C473" s="15">
        <v>15</v>
      </c>
      <c r="D473" s="16">
        <f t="shared" si="19"/>
        <v>24</v>
      </c>
      <c r="E473" s="17" t="s">
        <v>456</v>
      </c>
      <c r="F473" s="66" t="s">
        <v>455</v>
      </c>
      <c r="G473" s="18" t="s">
        <v>11</v>
      </c>
      <c r="H473" s="19"/>
      <c r="I473" s="2"/>
    </row>
    <row r="474" spans="1:9" ht="21.6" x14ac:dyDescent="0.3">
      <c r="A474" s="2"/>
      <c r="B474" s="15">
        <v>2</v>
      </c>
      <c r="C474" s="15">
        <v>15</v>
      </c>
      <c r="D474" s="16">
        <f t="shared" si="19"/>
        <v>25</v>
      </c>
      <c r="E474" s="17" t="s">
        <v>552</v>
      </c>
      <c r="F474" s="66" t="s">
        <v>457</v>
      </c>
      <c r="G474" s="18" t="s">
        <v>11</v>
      </c>
      <c r="H474" s="19"/>
      <c r="I474" s="2"/>
    </row>
    <row r="475" spans="1:9" ht="54" x14ac:dyDescent="0.3">
      <c r="A475" s="2"/>
      <c r="B475" s="15">
        <v>2</v>
      </c>
      <c r="C475" s="15">
        <v>15</v>
      </c>
      <c r="D475" s="16">
        <f t="shared" si="19"/>
        <v>26</v>
      </c>
      <c r="E475" s="17" t="s">
        <v>554</v>
      </c>
      <c r="F475" s="66" t="s">
        <v>553</v>
      </c>
      <c r="G475" s="18" t="s">
        <v>11</v>
      </c>
      <c r="H475" s="19"/>
      <c r="I475" s="2"/>
    </row>
    <row r="476" spans="1:9" ht="18.75" customHeight="1" x14ac:dyDescent="0.3">
      <c r="A476" s="2"/>
      <c r="B476" s="10" t="s">
        <v>67</v>
      </c>
      <c r="C476" s="11"/>
      <c r="D476" s="11"/>
      <c r="E476" s="12" t="str">
        <f>IF(B476=0,"",VLOOKUP(B476,Daten!$A$2:$B$56,2,FALSE))</f>
        <v>Schutzleitfaden-223</v>
      </c>
      <c r="F476" s="12" t="str">
        <f>VLOOKUP(E476,Daten!$B$2:$C$56,2,)</f>
        <v>Laminieren (Batch)</v>
      </c>
      <c r="G476" s="13"/>
      <c r="H476" s="14"/>
      <c r="I476" s="2"/>
    </row>
    <row r="477" spans="1:9" ht="13.2" x14ac:dyDescent="0.3">
      <c r="A477" s="2"/>
      <c r="B477" s="15">
        <v>2</v>
      </c>
      <c r="C477" s="15">
        <v>16</v>
      </c>
      <c r="D477" s="16">
        <f>ROW(A477)-(ROW(A$476))</f>
        <v>1</v>
      </c>
      <c r="E477" s="17" t="s">
        <v>192</v>
      </c>
      <c r="F477" s="66" t="s">
        <v>782</v>
      </c>
      <c r="G477" s="18" t="s">
        <v>11</v>
      </c>
      <c r="H477" s="19"/>
      <c r="I477" s="2"/>
    </row>
    <row r="478" spans="1:9" ht="32.4" x14ac:dyDescent="0.3">
      <c r="A478" s="2"/>
      <c r="B478" s="15">
        <v>2</v>
      </c>
      <c r="C478" s="15">
        <v>16</v>
      </c>
      <c r="D478" s="16">
        <f t="shared" ref="D478:D496" si="20">ROW(A478)-(ROW(A$476))</f>
        <v>2</v>
      </c>
      <c r="E478" s="17" t="s">
        <v>819</v>
      </c>
      <c r="F478" s="66" t="s">
        <v>818</v>
      </c>
      <c r="G478" s="18" t="s">
        <v>11</v>
      </c>
      <c r="H478" s="19"/>
      <c r="I478" s="2"/>
    </row>
    <row r="479" spans="1:9" ht="21.6" x14ac:dyDescent="0.3">
      <c r="A479" s="2"/>
      <c r="B479" s="15">
        <v>2</v>
      </c>
      <c r="C479" s="15">
        <v>16</v>
      </c>
      <c r="D479" s="16">
        <f t="shared" si="20"/>
        <v>3</v>
      </c>
      <c r="E479" s="17" t="s">
        <v>821</v>
      </c>
      <c r="F479" s="66" t="s">
        <v>820</v>
      </c>
      <c r="G479" s="18" t="s">
        <v>11</v>
      </c>
      <c r="H479" s="19"/>
      <c r="I479" s="2"/>
    </row>
    <row r="480" spans="1:9" ht="32.4" x14ac:dyDescent="0.3">
      <c r="A480" s="2"/>
      <c r="B480" s="15">
        <v>2</v>
      </c>
      <c r="C480" s="15">
        <v>16</v>
      </c>
      <c r="D480" s="16">
        <f t="shared" si="20"/>
        <v>4</v>
      </c>
      <c r="E480" s="17" t="s">
        <v>754</v>
      </c>
      <c r="F480" s="66" t="s">
        <v>817</v>
      </c>
      <c r="G480" s="18" t="s">
        <v>11</v>
      </c>
      <c r="H480" s="19"/>
      <c r="I480" s="2"/>
    </row>
    <row r="481" spans="1:9" ht="43.2" x14ac:dyDescent="0.3">
      <c r="A481" s="2"/>
      <c r="B481" s="15">
        <v>2</v>
      </c>
      <c r="C481" s="15">
        <v>16</v>
      </c>
      <c r="D481" s="16">
        <f t="shared" si="20"/>
        <v>5</v>
      </c>
      <c r="E481" s="17" t="s">
        <v>815</v>
      </c>
      <c r="F481" s="66" t="s">
        <v>816</v>
      </c>
      <c r="G481" s="18" t="s">
        <v>11</v>
      </c>
      <c r="H481" s="19"/>
      <c r="I481" s="2"/>
    </row>
    <row r="482" spans="1:9" ht="32.4" x14ac:dyDescent="0.3">
      <c r="A482" s="2"/>
      <c r="B482" s="15">
        <v>2</v>
      </c>
      <c r="C482" s="15">
        <v>16</v>
      </c>
      <c r="D482" s="16">
        <f t="shared" si="20"/>
        <v>6</v>
      </c>
      <c r="E482" s="17" t="s">
        <v>168</v>
      </c>
      <c r="F482" s="66" t="s">
        <v>739</v>
      </c>
      <c r="G482" s="18" t="s">
        <v>11</v>
      </c>
      <c r="H482" s="19"/>
      <c r="I482" s="2"/>
    </row>
    <row r="483" spans="1:9" ht="43.2" x14ac:dyDescent="0.3">
      <c r="A483" s="2"/>
      <c r="B483" s="15">
        <v>2</v>
      </c>
      <c r="C483" s="15">
        <v>16</v>
      </c>
      <c r="D483" s="16">
        <f t="shared" si="20"/>
        <v>7</v>
      </c>
      <c r="E483" s="17" t="s">
        <v>814</v>
      </c>
      <c r="F483" s="66" t="s">
        <v>427</v>
      </c>
      <c r="G483" s="18" t="s">
        <v>11</v>
      </c>
      <c r="H483" s="19"/>
      <c r="I483" s="2"/>
    </row>
    <row r="484" spans="1:9" ht="21.6" x14ac:dyDescent="0.3">
      <c r="A484" s="2"/>
      <c r="B484" s="15">
        <v>2</v>
      </c>
      <c r="C484" s="15">
        <v>16</v>
      </c>
      <c r="D484" s="16">
        <f t="shared" si="20"/>
        <v>8</v>
      </c>
      <c r="E484" s="17" t="s">
        <v>780</v>
      </c>
      <c r="F484" s="66" t="s">
        <v>740</v>
      </c>
      <c r="G484" s="18" t="s">
        <v>11</v>
      </c>
      <c r="H484" s="19"/>
      <c r="I484" s="2"/>
    </row>
    <row r="485" spans="1:9" ht="13.2" x14ac:dyDescent="0.3">
      <c r="A485" s="2"/>
      <c r="B485" s="15">
        <v>2</v>
      </c>
      <c r="C485" s="15">
        <v>16</v>
      </c>
      <c r="D485" s="16">
        <f t="shared" si="20"/>
        <v>9</v>
      </c>
      <c r="E485" s="17" t="s">
        <v>813</v>
      </c>
      <c r="F485" s="66" t="s">
        <v>812</v>
      </c>
      <c r="G485" s="18" t="s">
        <v>11</v>
      </c>
      <c r="H485" s="19"/>
      <c r="I485" s="2"/>
    </row>
    <row r="486" spans="1:9" ht="54" x14ac:dyDescent="0.3">
      <c r="A486" s="2"/>
      <c r="B486" s="15">
        <v>2</v>
      </c>
      <c r="C486" s="15">
        <v>16</v>
      </c>
      <c r="D486" s="16">
        <f t="shared" si="20"/>
        <v>10</v>
      </c>
      <c r="E486" s="17" t="s">
        <v>434</v>
      </c>
      <c r="F486" s="66" t="s">
        <v>779</v>
      </c>
      <c r="G486" s="18" t="s">
        <v>11</v>
      </c>
      <c r="H486" s="19"/>
      <c r="I486" s="2"/>
    </row>
    <row r="487" spans="1:9" ht="21.6" x14ac:dyDescent="0.3">
      <c r="A487" s="2"/>
      <c r="B487" s="15">
        <v>2</v>
      </c>
      <c r="C487" s="15">
        <v>16</v>
      </c>
      <c r="D487" s="16">
        <f t="shared" si="20"/>
        <v>11</v>
      </c>
      <c r="E487" s="17" t="s">
        <v>807</v>
      </c>
      <c r="F487" s="66" t="s">
        <v>808</v>
      </c>
      <c r="G487" s="18" t="s">
        <v>11</v>
      </c>
      <c r="H487" s="19"/>
      <c r="I487" s="2"/>
    </row>
    <row r="488" spans="1:9" ht="43.2" x14ac:dyDescent="0.3">
      <c r="A488" s="2"/>
      <c r="B488" s="15">
        <v>2</v>
      </c>
      <c r="C488" s="15">
        <v>16</v>
      </c>
      <c r="D488" s="16">
        <f t="shared" si="20"/>
        <v>12</v>
      </c>
      <c r="E488" s="17" t="s">
        <v>806</v>
      </c>
      <c r="F488" s="66" t="s">
        <v>805</v>
      </c>
      <c r="G488" s="18" t="s">
        <v>11</v>
      </c>
      <c r="H488" s="19"/>
      <c r="I488" s="2"/>
    </row>
    <row r="489" spans="1:9" ht="32.4" x14ac:dyDescent="0.3">
      <c r="A489" s="2"/>
      <c r="B489" s="15">
        <v>2</v>
      </c>
      <c r="C489" s="15">
        <v>16</v>
      </c>
      <c r="D489" s="16">
        <f t="shared" si="20"/>
        <v>13</v>
      </c>
      <c r="E489" s="17" t="s">
        <v>809</v>
      </c>
      <c r="F489" s="66" t="s">
        <v>810</v>
      </c>
      <c r="G489" s="18" t="s">
        <v>11</v>
      </c>
      <c r="H489" s="19"/>
      <c r="I489" s="2"/>
    </row>
    <row r="490" spans="1:9" ht="21.6" x14ac:dyDescent="0.3">
      <c r="A490" s="2"/>
      <c r="B490" s="15">
        <v>2</v>
      </c>
      <c r="C490" s="15">
        <v>16</v>
      </c>
      <c r="D490" s="16">
        <f t="shared" si="20"/>
        <v>14</v>
      </c>
      <c r="E490" s="17" t="s">
        <v>665</v>
      </c>
      <c r="F490" s="66" t="s">
        <v>811</v>
      </c>
      <c r="G490" s="18" t="s">
        <v>11</v>
      </c>
      <c r="H490" s="19"/>
      <c r="I490" s="2"/>
    </row>
    <row r="491" spans="1:9" ht="43.2" x14ac:dyDescent="0.3">
      <c r="A491" s="2"/>
      <c r="B491" s="15">
        <v>2</v>
      </c>
      <c r="C491" s="15">
        <v>16</v>
      </c>
      <c r="D491" s="16">
        <f t="shared" si="20"/>
        <v>15</v>
      </c>
      <c r="E491" s="17" t="s">
        <v>450</v>
      </c>
      <c r="F491" s="66" t="s">
        <v>449</v>
      </c>
      <c r="G491" s="18" t="s">
        <v>11</v>
      </c>
      <c r="H491" s="19"/>
      <c r="I491" s="2"/>
    </row>
    <row r="492" spans="1:9" ht="32.4" x14ac:dyDescent="0.3">
      <c r="A492" s="2"/>
      <c r="B492" s="15">
        <v>2</v>
      </c>
      <c r="C492" s="15">
        <v>16</v>
      </c>
      <c r="D492" s="16">
        <f t="shared" si="20"/>
        <v>16</v>
      </c>
      <c r="E492" s="17" t="s">
        <v>452</v>
      </c>
      <c r="F492" s="66" t="s">
        <v>451</v>
      </c>
      <c r="G492" s="18" t="s">
        <v>11</v>
      </c>
      <c r="H492" s="19"/>
      <c r="I492" s="2"/>
    </row>
    <row r="493" spans="1:9" ht="32.4" x14ac:dyDescent="0.3">
      <c r="A493" s="2"/>
      <c r="B493" s="15">
        <v>2</v>
      </c>
      <c r="C493" s="15">
        <v>16</v>
      </c>
      <c r="D493" s="16">
        <f t="shared" si="20"/>
        <v>17</v>
      </c>
      <c r="E493" s="17" t="s">
        <v>454</v>
      </c>
      <c r="F493" s="66" t="s">
        <v>453</v>
      </c>
      <c r="G493" s="18" t="s">
        <v>11</v>
      </c>
      <c r="H493" s="19"/>
      <c r="I493" s="2"/>
    </row>
    <row r="494" spans="1:9" ht="32.4" x14ac:dyDescent="0.3">
      <c r="A494" s="2"/>
      <c r="B494" s="15">
        <v>2</v>
      </c>
      <c r="C494" s="15">
        <v>16</v>
      </c>
      <c r="D494" s="16">
        <f t="shared" si="20"/>
        <v>18</v>
      </c>
      <c r="E494" s="17" t="s">
        <v>456</v>
      </c>
      <c r="F494" s="66" t="s">
        <v>455</v>
      </c>
      <c r="G494" s="18" t="s">
        <v>11</v>
      </c>
      <c r="H494" s="19"/>
      <c r="I494" s="2"/>
    </row>
    <row r="495" spans="1:9" ht="21.6" x14ac:dyDescent="0.3">
      <c r="A495" s="2"/>
      <c r="B495" s="15">
        <v>2</v>
      </c>
      <c r="C495" s="15">
        <v>16</v>
      </c>
      <c r="D495" s="16">
        <f t="shared" si="20"/>
        <v>19</v>
      </c>
      <c r="E495" s="17" t="s">
        <v>552</v>
      </c>
      <c r="F495" s="66" t="s">
        <v>457</v>
      </c>
      <c r="G495" s="18" t="s">
        <v>11</v>
      </c>
      <c r="H495" s="19"/>
      <c r="I495" s="2"/>
    </row>
    <row r="496" spans="1:9" ht="54" x14ac:dyDescent="0.3">
      <c r="A496" s="2"/>
      <c r="B496" s="15">
        <v>2</v>
      </c>
      <c r="C496" s="15">
        <v>16</v>
      </c>
      <c r="D496" s="16">
        <f t="shared" si="20"/>
        <v>20</v>
      </c>
      <c r="E496" s="17" t="s">
        <v>554</v>
      </c>
      <c r="F496" s="66" t="s">
        <v>553</v>
      </c>
      <c r="G496" s="18" t="s">
        <v>11</v>
      </c>
      <c r="H496" s="19"/>
      <c r="I496" s="2"/>
    </row>
    <row r="497" spans="1:9" ht="18.75" customHeight="1" x14ac:dyDescent="0.3">
      <c r="A497" s="2"/>
      <c r="B497" s="10" t="s">
        <v>68</v>
      </c>
      <c r="C497" s="11"/>
      <c r="D497" s="11"/>
      <c r="E497" s="12" t="str">
        <f>IF(B497=0,"",VLOOKUP(B497,Daten!$A$2:$B$56,2,FALSE))</f>
        <v>Schutzleitfaden-228</v>
      </c>
      <c r="F497" s="12" t="str">
        <f>VLOOKUP(E497,Daten!$B$2:$C$56,2,)</f>
        <v>Trockenschrank (Horden- oder Tellertrockner)</v>
      </c>
      <c r="G497" s="13"/>
      <c r="H497" s="14"/>
      <c r="I497" s="2"/>
    </row>
    <row r="498" spans="1:9" ht="13.2" x14ac:dyDescent="0.3">
      <c r="A498" s="2"/>
      <c r="B498" s="15">
        <v>2</v>
      </c>
      <c r="C498" s="15">
        <v>17</v>
      </c>
      <c r="D498" s="16">
        <f>ROW(A498)-(ROW(A$497))</f>
        <v>1</v>
      </c>
      <c r="E498" s="17" t="s">
        <v>192</v>
      </c>
      <c r="F498" s="66" t="s">
        <v>782</v>
      </c>
      <c r="G498" s="18" t="s">
        <v>11</v>
      </c>
      <c r="H498" s="19"/>
      <c r="I498" s="2"/>
    </row>
    <row r="499" spans="1:9" ht="21.6" x14ac:dyDescent="0.3">
      <c r="A499" s="2"/>
      <c r="B499" s="15">
        <v>2</v>
      </c>
      <c r="C499" s="15">
        <v>17</v>
      </c>
      <c r="D499" s="16">
        <f t="shared" ref="D499:D518" si="21">ROW(A499)-(ROW(A$497))</f>
        <v>2</v>
      </c>
      <c r="E499" s="17" t="s">
        <v>834</v>
      </c>
      <c r="F499" s="66" t="s">
        <v>833</v>
      </c>
      <c r="G499" s="18" t="s">
        <v>11</v>
      </c>
      <c r="H499" s="19"/>
      <c r="I499" s="2"/>
    </row>
    <row r="500" spans="1:9" ht="32.4" x14ac:dyDescent="0.3">
      <c r="A500" s="2"/>
      <c r="B500" s="15">
        <v>2</v>
      </c>
      <c r="C500" s="15">
        <v>17</v>
      </c>
      <c r="D500" s="16">
        <f t="shared" si="21"/>
        <v>3</v>
      </c>
      <c r="E500" s="17" t="s">
        <v>832</v>
      </c>
      <c r="F500" s="66" t="s">
        <v>831</v>
      </c>
      <c r="G500" s="18" t="s">
        <v>11</v>
      </c>
      <c r="H500" s="19"/>
      <c r="I500" s="2"/>
    </row>
    <row r="501" spans="1:9" ht="21.6" x14ac:dyDescent="0.3">
      <c r="A501" s="2"/>
      <c r="B501" s="15">
        <v>2</v>
      </c>
      <c r="C501" s="15">
        <v>17</v>
      </c>
      <c r="D501" s="16">
        <f t="shared" si="21"/>
        <v>4</v>
      </c>
      <c r="E501" s="17" t="s">
        <v>830</v>
      </c>
      <c r="F501" s="66" t="s">
        <v>824</v>
      </c>
      <c r="G501" s="18" t="s">
        <v>11</v>
      </c>
      <c r="H501" s="19"/>
      <c r="I501" s="2"/>
    </row>
    <row r="502" spans="1:9" ht="32.4" x14ac:dyDescent="0.3">
      <c r="A502" s="2"/>
      <c r="B502" s="15">
        <v>2</v>
      </c>
      <c r="C502" s="15">
        <v>17</v>
      </c>
      <c r="D502" s="16">
        <f t="shared" si="21"/>
        <v>5</v>
      </c>
      <c r="E502" s="17" t="s">
        <v>829</v>
      </c>
      <c r="F502" s="66" t="s">
        <v>828</v>
      </c>
      <c r="G502" s="18" t="s">
        <v>11</v>
      </c>
      <c r="H502" s="19"/>
      <c r="I502" s="2"/>
    </row>
    <row r="503" spans="1:9" ht="21.6" x14ac:dyDescent="0.3">
      <c r="A503" s="2"/>
      <c r="B503" s="15">
        <v>2</v>
      </c>
      <c r="C503" s="15">
        <v>17</v>
      </c>
      <c r="D503" s="16">
        <f t="shared" si="21"/>
        <v>6</v>
      </c>
      <c r="E503" s="17" t="s">
        <v>827</v>
      </c>
      <c r="F503" s="66" t="s">
        <v>826</v>
      </c>
      <c r="G503" s="18" t="s">
        <v>11</v>
      </c>
      <c r="H503" s="19"/>
      <c r="I503" s="2"/>
    </row>
    <row r="504" spans="1:9" ht="86.4" x14ac:dyDescent="0.3">
      <c r="A504" s="2"/>
      <c r="B504" s="15">
        <v>2</v>
      </c>
      <c r="C504" s="15">
        <v>17</v>
      </c>
      <c r="D504" s="16">
        <f t="shared" si="21"/>
        <v>7</v>
      </c>
      <c r="E504" s="17" t="s">
        <v>796</v>
      </c>
      <c r="F504" s="66" t="s">
        <v>825</v>
      </c>
      <c r="G504" s="18" t="s">
        <v>11</v>
      </c>
      <c r="H504" s="19"/>
      <c r="I504" s="2"/>
    </row>
    <row r="505" spans="1:9" ht="21.6" x14ac:dyDescent="0.3">
      <c r="A505" s="2"/>
      <c r="B505" s="15">
        <v>2</v>
      </c>
      <c r="C505" s="15">
        <v>17</v>
      </c>
      <c r="D505" s="16">
        <f t="shared" si="21"/>
        <v>8</v>
      </c>
      <c r="E505" s="17" t="s">
        <v>754</v>
      </c>
      <c r="F505" s="66" t="s">
        <v>750</v>
      </c>
      <c r="G505" s="18" t="s">
        <v>11</v>
      </c>
      <c r="H505" s="19"/>
      <c r="I505" s="2"/>
    </row>
    <row r="506" spans="1:9" ht="21.6" x14ac:dyDescent="0.3">
      <c r="A506" s="2"/>
      <c r="B506" s="15">
        <v>2</v>
      </c>
      <c r="C506" s="15">
        <v>17</v>
      </c>
      <c r="D506" s="16">
        <f t="shared" si="21"/>
        <v>9</v>
      </c>
      <c r="E506" s="17" t="s">
        <v>780</v>
      </c>
      <c r="F506" s="66" t="s">
        <v>740</v>
      </c>
      <c r="G506" s="18" t="s">
        <v>11</v>
      </c>
      <c r="H506" s="19"/>
      <c r="I506" s="2"/>
    </row>
    <row r="507" spans="1:9" ht="32.4" x14ac:dyDescent="0.3">
      <c r="A507" s="2"/>
      <c r="B507" s="15">
        <v>2</v>
      </c>
      <c r="C507" s="15">
        <v>17</v>
      </c>
      <c r="D507" s="16">
        <f t="shared" si="21"/>
        <v>10</v>
      </c>
      <c r="E507" s="17" t="s">
        <v>168</v>
      </c>
      <c r="F507" s="66" t="s">
        <v>739</v>
      </c>
      <c r="G507" s="18" t="s">
        <v>11</v>
      </c>
      <c r="H507" s="19"/>
      <c r="I507" s="2"/>
    </row>
    <row r="508" spans="1:9" ht="54" x14ac:dyDescent="0.3">
      <c r="A508" s="2"/>
      <c r="B508" s="15">
        <v>2</v>
      </c>
      <c r="C508" s="15">
        <v>17</v>
      </c>
      <c r="D508" s="16">
        <f t="shared" si="21"/>
        <v>11</v>
      </c>
      <c r="E508" s="17" t="s">
        <v>434</v>
      </c>
      <c r="F508" s="66" t="s">
        <v>779</v>
      </c>
      <c r="G508" s="18" t="s">
        <v>11</v>
      </c>
      <c r="H508" s="19"/>
      <c r="I508" s="2"/>
    </row>
    <row r="509" spans="1:9" ht="21.6" x14ac:dyDescent="0.3">
      <c r="A509" s="2"/>
      <c r="B509" s="15">
        <v>2</v>
      </c>
      <c r="C509" s="15">
        <v>17</v>
      </c>
      <c r="D509" s="16">
        <f t="shared" si="21"/>
        <v>12</v>
      </c>
      <c r="E509" s="17" t="s">
        <v>807</v>
      </c>
      <c r="F509" s="66" t="s">
        <v>808</v>
      </c>
      <c r="G509" s="18" t="s">
        <v>11</v>
      </c>
      <c r="H509" s="19"/>
      <c r="I509" s="2"/>
    </row>
    <row r="510" spans="1:9" ht="43.2" x14ac:dyDescent="0.3">
      <c r="A510" s="2"/>
      <c r="B510" s="15">
        <v>2</v>
      </c>
      <c r="C510" s="15">
        <v>17</v>
      </c>
      <c r="D510" s="16">
        <f t="shared" si="21"/>
        <v>13</v>
      </c>
      <c r="E510" s="17" t="s">
        <v>806</v>
      </c>
      <c r="F510" s="66" t="s">
        <v>805</v>
      </c>
      <c r="G510" s="18" t="s">
        <v>11</v>
      </c>
      <c r="H510" s="19"/>
      <c r="I510" s="2"/>
    </row>
    <row r="511" spans="1:9" ht="32.4" x14ac:dyDescent="0.3">
      <c r="A511" s="2"/>
      <c r="B511" s="15">
        <v>2</v>
      </c>
      <c r="C511" s="15">
        <v>17</v>
      </c>
      <c r="D511" s="16">
        <f t="shared" si="21"/>
        <v>14</v>
      </c>
      <c r="E511" s="17" t="s">
        <v>823</v>
      </c>
      <c r="F511" s="66" t="s">
        <v>822</v>
      </c>
      <c r="G511" s="18" t="s">
        <v>11</v>
      </c>
      <c r="H511" s="19"/>
      <c r="I511" s="2"/>
    </row>
    <row r="512" spans="1:9" ht="21.6" x14ac:dyDescent="0.3">
      <c r="A512" s="2"/>
      <c r="B512" s="15">
        <v>2</v>
      </c>
      <c r="C512" s="15">
        <v>17</v>
      </c>
      <c r="D512" s="16">
        <f t="shared" si="21"/>
        <v>15</v>
      </c>
      <c r="E512" s="17" t="s">
        <v>665</v>
      </c>
      <c r="F512" s="66" t="s">
        <v>811</v>
      </c>
      <c r="G512" s="18" t="s">
        <v>11</v>
      </c>
      <c r="H512" s="19"/>
      <c r="I512" s="2"/>
    </row>
    <row r="513" spans="1:9" ht="43.2" x14ac:dyDescent="0.3">
      <c r="A513" s="2"/>
      <c r="B513" s="15">
        <v>2</v>
      </c>
      <c r="C513" s="15">
        <v>17</v>
      </c>
      <c r="D513" s="16">
        <f t="shared" si="21"/>
        <v>16</v>
      </c>
      <c r="E513" s="17" t="s">
        <v>450</v>
      </c>
      <c r="F513" s="66" t="s">
        <v>449</v>
      </c>
      <c r="G513" s="18" t="s">
        <v>11</v>
      </c>
      <c r="H513" s="19"/>
      <c r="I513" s="2"/>
    </row>
    <row r="514" spans="1:9" ht="32.4" x14ac:dyDescent="0.3">
      <c r="A514" s="2"/>
      <c r="B514" s="15">
        <v>2</v>
      </c>
      <c r="C514" s="15">
        <v>17</v>
      </c>
      <c r="D514" s="16">
        <f t="shared" si="21"/>
        <v>17</v>
      </c>
      <c r="E514" s="17" t="s">
        <v>452</v>
      </c>
      <c r="F514" s="66" t="s">
        <v>451</v>
      </c>
      <c r="G514" s="18" t="s">
        <v>11</v>
      </c>
      <c r="H514" s="19"/>
      <c r="I514" s="2"/>
    </row>
    <row r="515" spans="1:9" ht="32.4" x14ac:dyDescent="0.3">
      <c r="A515" s="2"/>
      <c r="B515" s="15">
        <v>2</v>
      </c>
      <c r="C515" s="15">
        <v>17</v>
      </c>
      <c r="D515" s="16">
        <f t="shared" si="21"/>
        <v>18</v>
      </c>
      <c r="E515" s="17" t="s">
        <v>454</v>
      </c>
      <c r="F515" s="66" t="s">
        <v>453</v>
      </c>
      <c r="G515" s="18" t="s">
        <v>11</v>
      </c>
      <c r="H515" s="19"/>
      <c r="I515" s="2"/>
    </row>
    <row r="516" spans="1:9" ht="32.4" x14ac:dyDescent="0.3">
      <c r="A516" s="2"/>
      <c r="B516" s="15">
        <v>2</v>
      </c>
      <c r="C516" s="15">
        <v>17</v>
      </c>
      <c r="D516" s="16">
        <f t="shared" si="21"/>
        <v>19</v>
      </c>
      <c r="E516" s="17" t="s">
        <v>456</v>
      </c>
      <c r="F516" s="66" t="s">
        <v>455</v>
      </c>
      <c r="G516" s="18" t="s">
        <v>11</v>
      </c>
      <c r="H516" s="19"/>
      <c r="I516" s="2"/>
    </row>
    <row r="517" spans="1:9" ht="21.6" x14ac:dyDescent="0.3">
      <c r="A517" s="2"/>
      <c r="B517" s="15">
        <v>2</v>
      </c>
      <c r="C517" s="15">
        <v>17</v>
      </c>
      <c r="D517" s="16">
        <f t="shared" si="21"/>
        <v>20</v>
      </c>
      <c r="E517" s="17" t="s">
        <v>552</v>
      </c>
      <c r="F517" s="66" t="s">
        <v>457</v>
      </c>
      <c r="G517" s="18" t="s">
        <v>11</v>
      </c>
      <c r="H517" s="19"/>
      <c r="I517" s="2"/>
    </row>
    <row r="518" spans="1:9" ht="54" x14ac:dyDescent="0.3">
      <c r="A518" s="2"/>
      <c r="B518" s="15">
        <v>2</v>
      </c>
      <c r="C518" s="15">
        <v>17</v>
      </c>
      <c r="D518" s="16">
        <f t="shared" si="21"/>
        <v>21</v>
      </c>
      <c r="E518" s="17" t="s">
        <v>554</v>
      </c>
      <c r="F518" s="66" t="s">
        <v>553</v>
      </c>
      <c r="G518" s="18" t="s">
        <v>11</v>
      </c>
      <c r="H518" s="19"/>
      <c r="I518" s="2"/>
    </row>
    <row r="519" spans="1:9" ht="18.75" customHeight="1" x14ac:dyDescent="0.3">
      <c r="A519" s="2"/>
      <c r="B519" s="10" t="s">
        <v>69</v>
      </c>
      <c r="C519" s="11"/>
      <c r="D519" s="11"/>
      <c r="E519" s="12" t="str">
        <f>IF(B519=0,"",VLOOKUP(B519,Daten!$A$2:$B$56,2,FALSE))</f>
        <v>Schutzleitfaden-230</v>
      </c>
      <c r="F519" s="12" t="str">
        <f>VLOOKUP(E519,Daten!$B$2:$C$56,2,)</f>
        <v>Herstellen von Pellets</v>
      </c>
      <c r="G519" s="13"/>
      <c r="H519" s="14"/>
      <c r="I519" s="2"/>
    </row>
    <row r="520" spans="1:9" ht="13.2" x14ac:dyDescent="0.3">
      <c r="A520" s="2"/>
      <c r="B520" s="15">
        <v>2</v>
      </c>
      <c r="C520" s="15">
        <v>18</v>
      </c>
      <c r="D520" s="16">
        <f>ROW(A520)-(ROW(A$519))</f>
        <v>1</v>
      </c>
      <c r="E520" s="17"/>
      <c r="F520" s="66"/>
      <c r="G520" s="18" t="s">
        <v>11</v>
      </c>
      <c r="H520" s="19"/>
      <c r="I520" s="2"/>
    </row>
    <row r="521" spans="1:9" ht="13.2" x14ac:dyDescent="0.3">
      <c r="A521" s="2"/>
      <c r="B521" s="15">
        <v>2</v>
      </c>
      <c r="C521" s="15">
        <v>18</v>
      </c>
      <c r="D521" s="16">
        <f t="shared" ref="D521:D543" si="22">ROW(A521)-(ROW(A$519))</f>
        <v>2</v>
      </c>
      <c r="E521" s="17"/>
      <c r="F521" s="66"/>
      <c r="G521" s="18" t="s">
        <v>11</v>
      </c>
      <c r="H521" s="19"/>
      <c r="I521" s="2"/>
    </row>
    <row r="522" spans="1:9" ht="13.2" x14ac:dyDescent="0.3">
      <c r="A522" s="2"/>
      <c r="B522" s="15">
        <v>2</v>
      </c>
      <c r="C522" s="15">
        <v>18</v>
      </c>
      <c r="D522" s="16">
        <f t="shared" si="22"/>
        <v>3</v>
      </c>
      <c r="E522" s="17"/>
      <c r="F522" s="66"/>
      <c r="G522" s="18" t="s">
        <v>11</v>
      </c>
      <c r="H522" s="19"/>
      <c r="I522" s="2"/>
    </row>
    <row r="523" spans="1:9" ht="13.2" x14ac:dyDescent="0.3">
      <c r="A523" s="2"/>
      <c r="B523" s="15">
        <v>2</v>
      </c>
      <c r="C523" s="15">
        <v>18</v>
      </c>
      <c r="D523" s="16">
        <f t="shared" si="22"/>
        <v>4</v>
      </c>
      <c r="E523" s="17"/>
      <c r="F523" s="66"/>
      <c r="G523" s="18" t="s">
        <v>11</v>
      </c>
      <c r="H523" s="19"/>
      <c r="I523" s="2"/>
    </row>
    <row r="524" spans="1:9" ht="13.2" x14ac:dyDescent="0.3">
      <c r="A524" s="2"/>
      <c r="B524" s="15">
        <v>2</v>
      </c>
      <c r="C524" s="15">
        <v>18</v>
      </c>
      <c r="D524" s="16">
        <f t="shared" si="22"/>
        <v>5</v>
      </c>
      <c r="E524" s="17"/>
      <c r="F524" s="66"/>
      <c r="G524" s="18" t="s">
        <v>11</v>
      </c>
      <c r="H524" s="19"/>
      <c r="I524" s="2"/>
    </row>
    <row r="525" spans="1:9" ht="13.2" x14ac:dyDescent="0.3">
      <c r="A525" s="2"/>
      <c r="B525" s="15">
        <v>2</v>
      </c>
      <c r="C525" s="15">
        <v>18</v>
      </c>
      <c r="D525" s="16">
        <f t="shared" si="22"/>
        <v>6</v>
      </c>
      <c r="E525" s="17"/>
      <c r="F525" s="66"/>
      <c r="G525" s="18" t="s">
        <v>11</v>
      </c>
      <c r="H525" s="19"/>
      <c r="I525" s="2"/>
    </row>
    <row r="526" spans="1:9" ht="13.2" x14ac:dyDescent="0.3">
      <c r="A526" s="2"/>
      <c r="B526" s="15">
        <v>2</v>
      </c>
      <c r="C526" s="15">
        <v>18</v>
      </c>
      <c r="D526" s="16">
        <f t="shared" si="22"/>
        <v>7</v>
      </c>
      <c r="E526" s="17"/>
      <c r="F526" s="66"/>
      <c r="G526" s="18" t="s">
        <v>11</v>
      </c>
      <c r="H526" s="19"/>
      <c r="I526" s="2"/>
    </row>
    <row r="527" spans="1:9" ht="13.2" x14ac:dyDescent="0.3">
      <c r="A527" s="2"/>
      <c r="B527" s="15">
        <v>2</v>
      </c>
      <c r="C527" s="15">
        <v>18</v>
      </c>
      <c r="D527" s="16">
        <f t="shared" si="22"/>
        <v>8</v>
      </c>
      <c r="E527" s="17"/>
      <c r="F527" s="66"/>
      <c r="G527" s="18" t="s">
        <v>11</v>
      </c>
      <c r="H527" s="19"/>
      <c r="I527" s="2"/>
    </row>
    <row r="528" spans="1:9" ht="13.2" x14ac:dyDescent="0.3">
      <c r="A528" s="2"/>
      <c r="B528" s="15">
        <v>2</v>
      </c>
      <c r="C528" s="15">
        <v>18</v>
      </c>
      <c r="D528" s="16">
        <f t="shared" si="22"/>
        <v>9</v>
      </c>
      <c r="E528" s="17"/>
      <c r="F528" s="66"/>
      <c r="G528" s="18" t="s">
        <v>11</v>
      </c>
      <c r="H528" s="19"/>
      <c r="I528" s="2"/>
    </row>
    <row r="529" spans="1:9" ht="13.2" x14ac:dyDescent="0.3">
      <c r="A529" s="2"/>
      <c r="B529" s="15">
        <v>2</v>
      </c>
      <c r="C529" s="15">
        <v>18</v>
      </c>
      <c r="D529" s="16">
        <f t="shared" si="22"/>
        <v>10</v>
      </c>
      <c r="E529" s="17"/>
      <c r="F529" s="66"/>
      <c r="G529" s="18" t="s">
        <v>11</v>
      </c>
      <c r="H529" s="19"/>
      <c r="I529" s="2"/>
    </row>
    <row r="530" spans="1:9" ht="13.2" x14ac:dyDescent="0.3">
      <c r="A530" s="2"/>
      <c r="B530" s="15">
        <v>2</v>
      </c>
      <c r="C530" s="15">
        <v>18</v>
      </c>
      <c r="D530" s="16">
        <f t="shared" si="22"/>
        <v>11</v>
      </c>
      <c r="E530" s="17"/>
      <c r="F530" s="66"/>
      <c r="G530" s="18" t="s">
        <v>11</v>
      </c>
      <c r="H530" s="19"/>
      <c r="I530" s="2"/>
    </row>
    <row r="531" spans="1:9" ht="13.2" x14ac:dyDescent="0.3">
      <c r="A531" s="2"/>
      <c r="B531" s="15">
        <v>2</v>
      </c>
      <c r="C531" s="15">
        <v>18</v>
      </c>
      <c r="D531" s="16">
        <f t="shared" si="22"/>
        <v>12</v>
      </c>
      <c r="E531" s="17"/>
      <c r="F531" s="66"/>
      <c r="G531" s="18" t="s">
        <v>11</v>
      </c>
      <c r="H531" s="19"/>
      <c r="I531" s="2"/>
    </row>
    <row r="532" spans="1:9" ht="13.2" x14ac:dyDescent="0.3">
      <c r="A532" s="2"/>
      <c r="B532" s="15">
        <v>2</v>
      </c>
      <c r="C532" s="15">
        <v>18</v>
      </c>
      <c r="D532" s="16">
        <f t="shared" si="22"/>
        <v>13</v>
      </c>
      <c r="E532" s="17"/>
      <c r="F532" s="66"/>
      <c r="G532" s="18" t="s">
        <v>11</v>
      </c>
      <c r="H532" s="19"/>
      <c r="I532" s="2"/>
    </row>
    <row r="533" spans="1:9" ht="13.2" x14ac:dyDescent="0.3">
      <c r="A533" s="2"/>
      <c r="B533" s="15">
        <v>2</v>
      </c>
      <c r="C533" s="15">
        <v>18</v>
      </c>
      <c r="D533" s="16">
        <f t="shared" si="22"/>
        <v>14</v>
      </c>
      <c r="E533" s="17"/>
      <c r="F533" s="66"/>
      <c r="G533" s="18" t="s">
        <v>11</v>
      </c>
      <c r="H533" s="19"/>
      <c r="I533" s="2"/>
    </row>
    <row r="534" spans="1:9" ht="13.2" x14ac:dyDescent="0.3">
      <c r="A534" s="2"/>
      <c r="B534" s="15">
        <v>2</v>
      </c>
      <c r="C534" s="15">
        <v>18</v>
      </c>
      <c r="D534" s="16">
        <f t="shared" si="22"/>
        <v>15</v>
      </c>
      <c r="E534" s="17"/>
      <c r="F534" s="66"/>
      <c r="G534" s="18" t="s">
        <v>11</v>
      </c>
      <c r="H534" s="19"/>
      <c r="I534" s="2"/>
    </row>
    <row r="535" spans="1:9" ht="13.2" x14ac:dyDescent="0.3">
      <c r="A535" s="2"/>
      <c r="B535" s="15">
        <v>2</v>
      </c>
      <c r="C535" s="15">
        <v>18</v>
      </c>
      <c r="D535" s="16">
        <f t="shared" si="22"/>
        <v>16</v>
      </c>
      <c r="E535" s="17"/>
      <c r="F535" s="66"/>
      <c r="G535" s="18" t="s">
        <v>11</v>
      </c>
      <c r="H535" s="19"/>
      <c r="I535" s="2"/>
    </row>
    <row r="536" spans="1:9" ht="13.2" x14ac:dyDescent="0.3">
      <c r="A536" s="2"/>
      <c r="B536" s="15">
        <v>2</v>
      </c>
      <c r="C536" s="15">
        <v>18</v>
      </c>
      <c r="D536" s="16">
        <f t="shared" si="22"/>
        <v>17</v>
      </c>
      <c r="E536" s="17"/>
      <c r="F536" s="66"/>
      <c r="G536" s="18" t="s">
        <v>11</v>
      </c>
      <c r="H536" s="19"/>
      <c r="I536" s="2"/>
    </row>
    <row r="537" spans="1:9" ht="13.2" x14ac:dyDescent="0.3">
      <c r="A537" s="2"/>
      <c r="B537" s="15">
        <v>2</v>
      </c>
      <c r="C537" s="15">
        <v>18</v>
      </c>
      <c r="D537" s="16">
        <f t="shared" si="22"/>
        <v>18</v>
      </c>
      <c r="E537" s="17"/>
      <c r="F537" s="66"/>
      <c r="G537" s="18" t="s">
        <v>11</v>
      </c>
      <c r="H537" s="19"/>
      <c r="I537" s="2"/>
    </row>
    <row r="538" spans="1:9" ht="13.2" x14ac:dyDescent="0.3">
      <c r="A538" s="2"/>
      <c r="B538" s="15">
        <v>2</v>
      </c>
      <c r="C538" s="15">
        <v>18</v>
      </c>
      <c r="D538" s="16">
        <f t="shared" si="22"/>
        <v>19</v>
      </c>
      <c r="E538" s="17"/>
      <c r="F538" s="66"/>
      <c r="G538" s="18" t="s">
        <v>11</v>
      </c>
      <c r="H538" s="19"/>
      <c r="I538" s="2"/>
    </row>
    <row r="539" spans="1:9" ht="13.2" x14ac:dyDescent="0.3">
      <c r="A539" s="2"/>
      <c r="B539" s="15">
        <v>2</v>
      </c>
      <c r="C539" s="15">
        <v>18</v>
      </c>
      <c r="D539" s="16">
        <f t="shared" si="22"/>
        <v>20</v>
      </c>
      <c r="E539" s="17"/>
      <c r="F539" s="66"/>
      <c r="G539" s="18" t="s">
        <v>11</v>
      </c>
      <c r="H539" s="19"/>
      <c r="I539" s="2"/>
    </row>
    <row r="540" spans="1:9" ht="13.2" x14ac:dyDescent="0.3">
      <c r="A540" s="2"/>
      <c r="B540" s="15">
        <v>2</v>
      </c>
      <c r="C540" s="15">
        <v>18</v>
      </c>
      <c r="D540" s="16">
        <f t="shared" si="22"/>
        <v>21</v>
      </c>
      <c r="E540" s="17"/>
      <c r="F540" s="66"/>
      <c r="G540" s="18" t="s">
        <v>11</v>
      </c>
      <c r="H540" s="19"/>
      <c r="I540" s="2"/>
    </row>
    <row r="541" spans="1:9" ht="13.2" x14ac:dyDescent="0.3">
      <c r="A541" s="2"/>
      <c r="B541" s="15">
        <v>2</v>
      </c>
      <c r="C541" s="15">
        <v>18</v>
      </c>
      <c r="D541" s="16">
        <f t="shared" si="22"/>
        <v>22</v>
      </c>
      <c r="E541" s="17"/>
      <c r="F541" s="66"/>
      <c r="G541" s="18" t="s">
        <v>11</v>
      </c>
      <c r="H541" s="19"/>
      <c r="I541" s="2"/>
    </row>
    <row r="542" spans="1:9" ht="13.2" x14ac:dyDescent="0.3">
      <c r="A542" s="2"/>
      <c r="B542" s="15">
        <v>2</v>
      </c>
      <c r="C542" s="15">
        <v>18</v>
      </c>
      <c r="D542" s="16">
        <f t="shared" si="22"/>
        <v>23</v>
      </c>
      <c r="E542" s="17"/>
      <c r="F542" s="66"/>
      <c r="G542" s="18" t="s">
        <v>11</v>
      </c>
      <c r="H542" s="19"/>
      <c r="I542" s="2"/>
    </row>
    <row r="543" spans="1:9" ht="13.2" x14ac:dyDescent="0.3">
      <c r="A543" s="2"/>
      <c r="B543" s="15">
        <v>2</v>
      </c>
      <c r="C543" s="15">
        <v>18</v>
      </c>
      <c r="D543" s="16">
        <f t="shared" si="22"/>
        <v>24</v>
      </c>
      <c r="E543" s="17"/>
      <c r="F543" s="66"/>
      <c r="G543" s="18" t="s">
        <v>11</v>
      </c>
      <c r="H543" s="19"/>
      <c r="I543" s="2"/>
    </row>
    <row r="544" spans="1:9" ht="18.75" customHeight="1" x14ac:dyDescent="0.3">
      <c r="A544" s="2"/>
      <c r="B544" s="10" t="s">
        <v>108</v>
      </c>
      <c r="C544" s="11"/>
      <c r="D544" s="11"/>
      <c r="E544" s="12" t="str">
        <f>IF(B544=0,"",VLOOKUP(B544,Daten!$A$2:$B$56,2,FALSE))</f>
        <v>Schutzleitfaden-240</v>
      </c>
      <c r="F544" s="12" t="str">
        <f>VLOOKUP(E544,Daten!$B$2:$C$56,2,)</f>
        <v>Staubarbeitsplätze (Grundsätze)</v>
      </c>
      <c r="G544" s="13"/>
      <c r="H544" s="14"/>
      <c r="I544" s="2"/>
    </row>
    <row r="545" spans="1:9" ht="13.2" x14ac:dyDescent="0.3">
      <c r="A545" s="2"/>
      <c r="B545" s="15">
        <v>2</v>
      </c>
      <c r="C545" s="15">
        <v>19</v>
      </c>
      <c r="D545" s="16">
        <f>ROW(A545)-(ROW(A$544))</f>
        <v>1</v>
      </c>
      <c r="E545" s="17"/>
      <c r="F545" s="66"/>
      <c r="G545" s="18" t="s">
        <v>11</v>
      </c>
      <c r="H545" s="19"/>
      <c r="I545" s="2"/>
    </row>
    <row r="546" spans="1:9" ht="13.2" x14ac:dyDescent="0.3">
      <c r="A546" s="2"/>
      <c r="B546" s="15">
        <v>2</v>
      </c>
      <c r="C546" s="15">
        <v>19</v>
      </c>
      <c r="D546" s="16">
        <f t="shared" ref="D546:D568" si="23">ROW(A546)-(ROW(A$544))</f>
        <v>2</v>
      </c>
      <c r="E546" s="17"/>
      <c r="F546" s="66"/>
      <c r="G546" s="18" t="s">
        <v>11</v>
      </c>
      <c r="H546" s="19"/>
      <c r="I546" s="2"/>
    </row>
    <row r="547" spans="1:9" ht="13.2" x14ac:dyDescent="0.3">
      <c r="A547" s="2"/>
      <c r="B547" s="15">
        <v>2</v>
      </c>
      <c r="C547" s="15">
        <v>19</v>
      </c>
      <c r="D547" s="16">
        <f t="shared" si="23"/>
        <v>3</v>
      </c>
      <c r="E547" s="17"/>
      <c r="F547" s="66"/>
      <c r="G547" s="18" t="s">
        <v>11</v>
      </c>
      <c r="H547" s="19"/>
      <c r="I547" s="2"/>
    </row>
    <row r="548" spans="1:9" ht="13.2" x14ac:dyDescent="0.3">
      <c r="A548" s="2"/>
      <c r="B548" s="15">
        <v>2</v>
      </c>
      <c r="C548" s="15">
        <v>19</v>
      </c>
      <c r="D548" s="16">
        <f t="shared" si="23"/>
        <v>4</v>
      </c>
      <c r="E548" s="17"/>
      <c r="F548" s="66"/>
      <c r="G548" s="18" t="s">
        <v>11</v>
      </c>
      <c r="H548" s="19"/>
      <c r="I548" s="2"/>
    </row>
    <row r="549" spans="1:9" ht="13.2" x14ac:dyDescent="0.3">
      <c r="A549" s="2"/>
      <c r="B549" s="15">
        <v>2</v>
      </c>
      <c r="C549" s="15">
        <v>19</v>
      </c>
      <c r="D549" s="16">
        <f t="shared" si="23"/>
        <v>5</v>
      </c>
      <c r="E549" s="17"/>
      <c r="F549" s="66"/>
      <c r="G549" s="18" t="s">
        <v>11</v>
      </c>
      <c r="H549" s="19"/>
      <c r="I549" s="2"/>
    </row>
    <row r="550" spans="1:9" ht="13.2" x14ac:dyDescent="0.3">
      <c r="A550" s="2"/>
      <c r="B550" s="15">
        <v>2</v>
      </c>
      <c r="C550" s="15">
        <v>19</v>
      </c>
      <c r="D550" s="16">
        <f t="shared" si="23"/>
        <v>6</v>
      </c>
      <c r="E550" s="17"/>
      <c r="F550" s="66"/>
      <c r="G550" s="18" t="s">
        <v>11</v>
      </c>
      <c r="H550" s="19"/>
      <c r="I550" s="2"/>
    </row>
    <row r="551" spans="1:9" ht="13.2" x14ac:dyDescent="0.3">
      <c r="A551" s="2"/>
      <c r="B551" s="15">
        <v>2</v>
      </c>
      <c r="C551" s="15">
        <v>19</v>
      </c>
      <c r="D551" s="16">
        <f t="shared" si="23"/>
        <v>7</v>
      </c>
      <c r="E551" s="17"/>
      <c r="F551" s="66"/>
      <c r="G551" s="18" t="s">
        <v>11</v>
      </c>
      <c r="H551" s="19"/>
      <c r="I551" s="2"/>
    </row>
    <row r="552" spans="1:9" ht="13.2" x14ac:dyDescent="0.3">
      <c r="A552" s="2"/>
      <c r="B552" s="15">
        <v>2</v>
      </c>
      <c r="C552" s="15">
        <v>19</v>
      </c>
      <c r="D552" s="16">
        <f t="shared" si="23"/>
        <v>8</v>
      </c>
      <c r="E552" s="17"/>
      <c r="F552" s="66"/>
      <c r="G552" s="18" t="s">
        <v>11</v>
      </c>
      <c r="H552" s="19"/>
      <c r="I552" s="2"/>
    </row>
    <row r="553" spans="1:9" ht="13.2" x14ac:dyDescent="0.3">
      <c r="A553" s="2"/>
      <c r="B553" s="15">
        <v>2</v>
      </c>
      <c r="C553" s="15">
        <v>19</v>
      </c>
      <c r="D553" s="16">
        <f t="shared" si="23"/>
        <v>9</v>
      </c>
      <c r="E553" s="17"/>
      <c r="F553" s="66"/>
      <c r="G553" s="18" t="s">
        <v>11</v>
      </c>
      <c r="H553" s="19"/>
      <c r="I553" s="2"/>
    </row>
    <row r="554" spans="1:9" ht="13.2" x14ac:dyDescent="0.3">
      <c r="A554" s="2"/>
      <c r="B554" s="15">
        <v>2</v>
      </c>
      <c r="C554" s="15">
        <v>19</v>
      </c>
      <c r="D554" s="16">
        <f t="shared" si="23"/>
        <v>10</v>
      </c>
      <c r="E554" s="17"/>
      <c r="F554" s="66"/>
      <c r="G554" s="18" t="s">
        <v>11</v>
      </c>
      <c r="H554" s="19"/>
      <c r="I554" s="2"/>
    </row>
    <row r="555" spans="1:9" ht="13.2" x14ac:dyDescent="0.3">
      <c r="A555" s="2"/>
      <c r="B555" s="15">
        <v>2</v>
      </c>
      <c r="C555" s="15">
        <v>19</v>
      </c>
      <c r="D555" s="16">
        <f t="shared" si="23"/>
        <v>11</v>
      </c>
      <c r="E555" s="17"/>
      <c r="F555" s="66"/>
      <c r="G555" s="18" t="s">
        <v>11</v>
      </c>
      <c r="H555" s="19"/>
      <c r="I555" s="2"/>
    </row>
    <row r="556" spans="1:9" ht="13.2" x14ac:dyDescent="0.3">
      <c r="A556" s="2"/>
      <c r="B556" s="15">
        <v>2</v>
      </c>
      <c r="C556" s="15">
        <v>19</v>
      </c>
      <c r="D556" s="16">
        <f t="shared" si="23"/>
        <v>12</v>
      </c>
      <c r="E556" s="17"/>
      <c r="F556" s="66"/>
      <c r="G556" s="18" t="s">
        <v>11</v>
      </c>
      <c r="H556" s="19"/>
      <c r="I556" s="2"/>
    </row>
    <row r="557" spans="1:9" ht="13.2" x14ac:dyDescent="0.3">
      <c r="A557" s="2"/>
      <c r="B557" s="15">
        <v>2</v>
      </c>
      <c r="C557" s="15">
        <v>19</v>
      </c>
      <c r="D557" s="16">
        <f t="shared" si="23"/>
        <v>13</v>
      </c>
      <c r="E557" s="17"/>
      <c r="F557" s="66"/>
      <c r="G557" s="18" t="s">
        <v>11</v>
      </c>
      <c r="H557" s="19"/>
      <c r="I557" s="2"/>
    </row>
    <row r="558" spans="1:9" ht="13.2" x14ac:dyDescent="0.3">
      <c r="A558" s="2"/>
      <c r="B558" s="15">
        <v>2</v>
      </c>
      <c r="C558" s="15">
        <v>19</v>
      </c>
      <c r="D558" s="16">
        <f t="shared" si="23"/>
        <v>14</v>
      </c>
      <c r="E558" s="17"/>
      <c r="F558" s="66"/>
      <c r="G558" s="18" t="s">
        <v>11</v>
      </c>
      <c r="H558" s="19"/>
      <c r="I558" s="2"/>
    </row>
    <row r="559" spans="1:9" ht="13.2" x14ac:dyDescent="0.3">
      <c r="A559" s="2"/>
      <c r="B559" s="15">
        <v>2</v>
      </c>
      <c r="C559" s="15">
        <v>19</v>
      </c>
      <c r="D559" s="16">
        <f t="shared" si="23"/>
        <v>15</v>
      </c>
      <c r="E559" s="17"/>
      <c r="F559" s="66"/>
      <c r="G559" s="18" t="s">
        <v>11</v>
      </c>
      <c r="H559" s="19"/>
      <c r="I559" s="2"/>
    </row>
    <row r="560" spans="1:9" ht="13.2" x14ac:dyDescent="0.3">
      <c r="A560" s="2"/>
      <c r="B560" s="15">
        <v>2</v>
      </c>
      <c r="C560" s="15">
        <v>19</v>
      </c>
      <c r="D560" s="16">
        <f t="shared" si="23"/>
        <v>16</v>
      </c>
      <c r="E560" s="17"/>
      <c r="F560" s="66"/>
      <c r="G560" s="18" t="s">
        <v>11</v>
      </c>
      <c r="H560" s="19"/>
      <c r="I560" s="2"/>
    </row>
    <row r="561" spans="1:9" ht="13.2" x14ac:dyDescent="0.3">
      <c r="A561" s="2"/>
      <c r="B561" s="15">
        <v>2</v>
      </c>
      <c r="C561" s="15">
        <v>19</v>
      </c>
      <c r="D561" s="16">
        <f t="shared" si="23"/>
        <v>17</v>
      </c>
      <c r="E561" s="17"/>
      <c r="F561" s="66"/>
      <c r="G561" s="18" t="s">
        <v>11</v>
      </c>
      <c r="H561" s="19"/>
      <c r="I561" s="2"/>
    </row>
    <row r="562" spans="1:9" ht="13.2" x14ac:dyDescent="0.3">
      <c r="A562" s="2"/>
      <c r="B562" s="15">
        <v>2</v>
      </c>
      <c r="C562" s="15">
        <v>19</v>
      </c>
      <c r="D562" s="16">
        <f t="shared" si="23"/>
        <v>18</v>
      </c>
      <c r="E562" s="17"/>
      <c r="F562" s="66"/>
      <c r="G562" s="18" t="s">
        <v>11</v>
      </c>
      <c r="H562" s="19"/>
      <c r="I562" s="2"/>
    </row>
    <row r="563" spans="1:9" ht="13.2" x14ac:dyDescent="0.3">
      <c r="A563" s="2"/>
      <c r="B563" s="15">
        <v>2</v>
      </c>
      <c r="C563" s="15">
        <v>19</v>
      </c>
      <c r="D563" s="16">
        <f t="shared" si="23"/>
        <v>19</v>
      </c>
      <c r="E563" s="17"/>
      <c r="F563" s="66"/>
      <c r="G563" s="18" t="s">
        <v>11</v>
      </c>
      <c r="H563" s="19"/>
      <c r="I563" s="2"/>
    </row>
    <row r="564" spans="1:9" ht="13.2" x14ac:dyDescent="0.3">
      <c r="A564" s="2"/>
      <c r="B564" s="15">
        <v>2</v>
      </c>
      <c r="C564" s="15">
        <v>19</v>
      </c>
      <c r="D564" s="16">
        <f t="shared" si="23"/>
        <v>20</v>
      </c>
      <c r="E564" s="17"/>
      <c r="F564" s="66"/>
      <c r="G564" s="18" t="s">
        <v>11</v>
      </c>
      <c r="H564" s="19"/>
      <c r="I564" s="2"/>
    </row>
    <row r="565" spans="1:9" ht="13.2" x14ac:dyDescent="0.3">
      <c r="A565" s="2"/>
      <c r="B565" s="15">
        <v>2</v>
      </c>
      <c r="C565" s="15">
        <v>19</v>
      </c>
      <c r="D565" s="16">
        <f t="shared" si="23"/>
        <v>21</v>
      </c>
      <c r="E565" s="17"/>
      <c r="F565" s="66"/>
      <c r="G565" s="18" t="s">
        <v>11</v>
      </c>
      <c r="H565" s="19"/>
      <c r="I565" s="2"/>
    </row>
    <row r="566" spans="1:9" ht="13.2" x14ac:dyDescent="0.3">
      <c r="A566" s="2"/>
      <c r="B566" s="15">
        <v>2</v>
      </c>
      <c r="C566" s="15">
        <v>19</v>
      </c>
      <c r="D566" s="16">
        <f t="shared" si="23"/>
        <v>22</v>
      </c>
      <c r="E566" s="17"/>
      <c r="F566" s="66"/>
      <c r="G566" s="18" t="s">
        <v>11</v>
      </c>
      <c r="H566" s="19"/>
      <c r="I566" s="2"/>
    </row>
    <row r="567" spans="1:9" ht="13.2" x14ac:dyDescent="0.3">
      <c r="A567" s="2"/>
      <c r="B567" s="15">
        <v>2</v>
      </c>
      <c r="C567" s="15">
        <v>19</v>
      </c>
      <c r="D567" s="16">
        <f t="shared" si="23"/>
        <v>23</v>
      </c>
      <c r="E567" s="17"/>
      <c r="F567" s="66"/>
      <c r="G567" s="18" t="s">
        <v>11</v>
      </c>
      <c r="H567" s="19"/>
      <c r="I567" s="2"/>
    </row>
    <row r="568" spans="1:9" ht="13.2" x14ac:dyDescent="0.3">
      <c r="A568" s="2"/>
      <c r="B568" s="15">
        <v>2</v>
      </c>
      <c r="C568" s="15">
        <v>19</v>
      </c>
      <c r="D568" s="16">
        <f t="shared" si="23"/>
        <v>24</v>
      </c>
      <c r="E568" s="17"/>
      <c r="F568" s="66"/>
      <c r="G568" s="18" t="s">
        <v>11</v>
      </c>
      <c r="H568" s="19"/>
      <c r="I568" s="2"/>
    </row>
    <row r="569" spans="1:9" ht="18.75" customHeight="1" x14ac:dyDescent="0.3">
      <c r="A569" s="2"/>
      <c r="B569" s="10" t="s">
        <v>109</v>
      </c>
      <c r="C569" s="11"/>
      <c r="D569" s="11"/>
      <c r="E569" s="12" t="str">
        <f>IF(B569=0,"",VLOOKUP(B569,Daten!$A$2:$B$56,2,FALSE))</f>
        <v>Schutzleitfaden-260</v>
      </c>
      <c r="F569" s="12" t="str">
        <f>VLOOKUP(E569,Daten!$B$2:$C$56,2,)</f>
        <v>Wartungs- und Servicearbeiten an Drucker- und Kopiergeräten</v>
      </c>
      <c r="G569" s="13"/>
      <c r="H569" s="14"/>
      <c r="I569" s="2"/>
    </row>
    <row r="570" spans="1:9" ht="13.2" x14ac:dyDescent="0.3">
      <c r="A570" s="2"/>
      <c r="B570" s="15">
        <v>2</v>
      </c>
      <c r="C570" s="15">
        <v>20</v>
      </c>
      <c r="D570" s="16">
        <f>ROW(A570)-(ROW(A$569))</f>
        <v>1</v>
      </c>
      <c r="E570" s="17"/>
      <c r="F570" s="66"/>
      <c r="G570" s="18" t="s">
        <v>11</v>
      </c>
      <c r="H570" s="19"/>
      <c r="I570" s="2"/>
    </row>
    <row r="571" spans="1:9" ht="13.2" x14ac:dyDescent="0.3">
      <c r="A571" s="2"/>
      <c r="B571" s="15">
        <v>2</v>
      </c>
      <c r="C571" s="15">
        <v>20</v>
      </c>
      <c r="D571" s="16">
        <f t="shared" ref="D571:D593" si="24">ROW(A571)-(ROW(A$569))</f>
        <v>2</v>
      </c>
      <c r="E571" s="17"/>
      <c r="F571" s="66"/>
      <c r="G571" s="18" t="s">
        <v>11</v>
      </c>
      <c r="H571" s="19"/>
      <c r="I571" s="2"/>
    </row>
    <row r="572" spans="1:9" ht="13.2" x14ac:dyDescent="0.3">
      <c r="A572" s="2"/>
      <c r="B572" s="15">
        <v>2</v>
      </c>
      <c r="C572" s="15">
        <v>20</v>
      </c>
      <c r="D572" s="16">
        <f t="shared" si="24"/>
        <v>3</v>
      </c>
      <c r="E572" s="17"/>
      <c r="F572" s="66"/>
      <c r="G572" s="18" t="s">
        <v>11</v>
      </c>
      <c r="H572" s="19"/>
      <c r="I572" s="2"/>
    </row>
    <row r="573" spans="1:9" ht="13.2" x14ac:dyDescent="0.3">
      <c r="A573" s="2"/>
      <c r="B573" s="15">
        <v>2</v>
      </c>
      <c r="C573" s="15">
        <v>20</v>
      </c>
      <c r="D573" s="16">
        <f t="shared" si="24"/>
        <v>4</v>
      </c>
      <c r="E573" s="17"/>
      <c r="F573" s="66"/>
      <c r="G573" s="18" t="s">
        <v>11</v>
      </c>
      <c r="H573" s="19"/>
      <c r="I573" s="2"/>
    </row>
    <row r="574" spans="1:9" ht="13.2" x14ac:dyDescent="0.3">
      <c r="A574" s="2"/>
      <c r="B574" s="15">
        <v>2</v>
      </c>
      <c r="C574" s="15">
        <v>20</v>
      </c>
      <c r="D574" s="16">
        <f t="shared" si="24"/>
        <v>5</v>
      </c>
      <c r="E574" s="17"/>
      <c r="F574" s="66"/>
      <c r="G574" s="18" t="s">
        <v>11</v>
      </c>
      <c r="H574" s="19"/>
      <c r="I574" s="2"/>
    </row>
    <row r="575" spans="1:9" ht="13.2" x14ac:dyDescent="0.3">
      <c r="A575" s="2"/>
      <c r="B575" s="15">
        <v>2</v>
      </c>
      <c r="C575" s="15">
        <v>20</v>
      </c>
      <c r="D575" s="16">
        <f t="shared" si="24"/>
        <v>6</v>
      </c>
      <c r="E575" s="17"/>
      <c r="F575" s="66"/>
      <c r="G575" s="18" t="s">
        <v>11</v>
      </c>
      <c r="H575" s="19"/>
      <c r="I575" s="2"/>
    </row>
    <row r="576" spans="1:9" ht="13.2" x14ac:dyDescent="0.3">
      <c r="A576" s="2"/>
      <c r="B576" s="15">
        <v>2</v>
      </c>
      <c r="C576" s="15">
        <v>20</v>
      </c>
      <c r="D576" s="16">
        <f t="shared" si="24"/>
        <v>7</v>
      </c>
      <c r="E576" s="17"/>
      <c r="F576" s="66"/>
      <c r="G576" s="18" t="s">
        <v>11</v>
      </c>
      <c r="H576" s="19"/>
      <c r="I576" s="2"/>
    </row>
    <row r="577" spans="1:9" ht="13.2" x14ac:dyDescent="0.3">
      <c r="A577" s="2"/>
      <c r="B577" s="15">
        <v>2</v>
      </c>
      <c r="C577" s="15">
        <v>20</v>
      </c>
      <c r="D577" s="16">
        <f t="shared" si="24"/>
        <v>8</v>
      </c>
      <c r="E577" s="17"/>
      <c r="F577" s="66"/>
      <c r="G577" s="18" t="s">
        <v>11</v>
      </c>
      <c r="H577" s="19"/>
      <c r="I577" s="2"/>
    </row>
    <row r="578" spans="1:9" ht="13.2" x14ac:dyDescent="0.3">
      <c r="A578" s="2"/>
      <c r="B578" s="15">
        <v>2</v>
      </c>
      <c r="C578" s="15">
        <v>20</v>
      </c>
      <c r="D578" s="16">
        <f t="shared" si="24"/>
        <v>9</v>
      </c>
      <c r="E578" s="17"/>
      <c r="F578" s="66"/>
      <c r="G578" s="18" t="s">
        <v>11</v>
      </c>
      <c r="H578" s="19"/>
      <c r="I578" s="2"/>
    </row>
    <row r="579" spans="1:9" ht="13.2" x14ac:dyDescent="0.3">
      <c r="A579" s="2"/>
      <c r="B579" s="15">
        <v>2</v>
      </c>
      <c r="C579" s="15">
        <v>20</v>
      </c>
      <c r="D579" s="16">
        <f t="shared" si="24"/>
        <v>10</v>
      </c>
      <c r="E579" s="17"/>
      <c r="F579" s="66"/>
      <c r="G579" s="18" t="s">
        <v>11</v>
      </c>
      <c r="H579" s="19"/>
      <c r="I579" s="2"/>
    </row>
    <row r="580" spans="1:9" ht="13.2" x14ac:dyDescent="0.3">
      <c r="A580" s="2"/>
      <c r="B580" s="15">
        <v>2</v>
      </c>
      <c r="C580" s="15">
        <v>20</v>
      </c>
      <c r="D580" s="16">
        <f t="shared" si="24"/>
        <v>11</v>
      </c>
      <c r="E580" s="17"/>
      <c r="F580" s="66"/>
      <c r="G580" s="18" t="s">
        <v>11</v>
      </c>
      <c r="H580" s="19"/>
      <c r="I580" s="2"/>
    </row>
    <row r="581" spans="1:9" ht="13.2" x14ac:dyDescent="0.3">
      <c r="A581" s="2"/>
      <c r="B581" s="15">
        <v>2</v>
      </c>
      <c r="C581" s="15">
        <v>20</v>
      </c>
      <c r="D581" s="16">
        <f t="shared" si="24"/>
        <v>12</v>
      </c>
      <c r="E581" s="17"/>
      <c r="F581" s="66"/>
      <c r="G581" s="18" t="s">
        <v>11</v>
      </c>
      <c r="H581" s="19"/>
      <c r="I581" s="2"/>
    </row>
    <row r="582" spans="1:9" ht="13.2" x14ac:dyDescent="0.3">
      <c r="A582" s="2"/>
      <c r="B582" s="15">
        <v>2</v>
      </c>
      <c r="C582" s="15">
        <v>20</v>
      </c>
      <c r="D582" s="16">
        <f t="shared" si="24"/>
        <v>13</v>
      </c>
      <c r="E582" s="17"/>
      <c r="F582" s="66"/>
      <c r="G582" s="18" t="s">
        <v>11</v>
      </c>
      <c r="H582" s="19"/>
      <c r="I582" s="2"/>
    </row>
    <row r="583" spans="1:9" ht="13.2" x14ac:dyDescent="0.3">
      <c r="A583" s="2"/>
      <c r="B583" s="15">
        <v>2</v>
      </c>
      <c r="C583" s="15">
        <v>20</v>
      </c>
      <c r="D583" s="16">
        <f t="shared" si="24"/>
        <v>14</v>
      </c>
      <c r="E583" s="17"/>
      <c r="F583" s="66"/>
      <c r="G583" s="18" t="s">
        <v>11</v>
      </c>
      <c r="H583" s="19"/>
      <c r="I583" s="2"/>
    </row>
    <row r="584" spans="1:9" ht="13.2" x14ac:dyDescent="0.3">
      <c r="A584" s="2"/>
      <c r="B584" s="15">
        <v>2</v>
      </c>
      <c r="C584" s="15">
        <v>20</v>
      </c>
      <c r="D584" s="16">
        <f t="shared" si="24"/>
        <v>15</v>
      </c>
      <c r="E584" s="17"/>
      <c r="F584" s="66"/>
      <c r="G584" s="18" t="s">
        <v>11</v>
      </c>
      <c r="H584" s="19"/>
      <c r="I584" s="2"/>
    </row>
    <row r="585" spans="1:9" ht="13.2" x14ac:dyDescent="0.3">
      <c r="A585" s="2"/>
      <c r="B585" s="15">
        <v>2</v>
      </c>
      <c r="C585" s="15">
        <v>20</v>
      </c>
      <c r="D585" s="16">
        <f t="shared" si="24"/>
        <v>16</v>
      </c>
      <c r="E585" s="17"/>
      <c r="F585" s="66"/>
      <c r="G585" s="18" t="s">
        <v>11</v>
      </c>
      <c r="H585" s="19"/>
      <c r="I585" s="2"/>
    </row>
    <row r="586" spans="1:9" ht="13.2" x14ac:dyDescent="0.3">
      <c r="A586" s="2"/>
      <c r="B586" s="15">
        <v>2</v>
      </c>
      <c r="C586" s="15">
        <v>20</v>
      </c>
      <c r="D586" s="16">
        <f t="shared" si="24"/>
        <v>17</v>
      </c>
      <c r="E586" s="17"/>
      <c r="F586" s="66"/>
      <c r="G586" s="18" t="s">
        <v>11</v>
      </c>
      <c r="H586" s="19"/>
      <c r="I586" s="2"/>
    </row>
    <row r="587" spans="1:9" ht="13.2" x14ac:dyDescent="0.3">
      <c r="A587" s="2"/>
      <c r="B587" s="15">
        <v>2</v>
      </c>
      <c r="C587" s="15">
        <v>20</v>
      </c>
      <c r="D587" s="16">
        <f t="shared" si="24"/>
        <v>18</v>
      </c>
      <c r="E587" s="17"/>
      <c r="F587" s="66"/>
      <c r="G587" s="18" t="s">
        <v>11</v>
      </c>
      <c r="H587" s="19"/>
      <c r="I587" s="2"/>
    </row>
    <row r="588" spans="1:9" ht="13.2" x14ac:dyDescent="0.3">
      <c r="A588" s="2"/>
      <c r="B588" s="15">
        <v>2</v>
      </c>
      <c r="C588" s="15">
        <v>20</v>
      </c>
      <c r="D588" s="16">
        <f t="shared" si="24"/>
        <v>19</v>
      </c>
      <c r="E588" s="17"/>
      <c r="F588" s="66"/>
      <c r="G588" s="18" t="s">
        <v>11</v>
      </c>
      <c r="H588" s="19"/>
      <c r="I588" s="2"/>
    </row>
    <row r="589" spans="1:9" ht="13.2" x14ac:dyDescent="0.3">
      <c r="A589" s="2"/>
      <c r="B589" s="15">
        <v>2</v>
      </c>
      <c r="C589" s="15">
        <v>20</v>
      </c>
      <c r="D589" s="16">
        <f t="shared" si="24"/>
        <v>20</v>
      </c>
      <c r="E589" s="17"/>
      <c r="F589" s="66"/>
      <c r="G589" s="18" t="s">
        <v>11</v>
      </c>
      <c r="H589" s="19"/>
      <c r="I589" s="2"/>
    </row>
    <row r="590" spans="1:9" ht="13.2" x14ac:dyDescent="0.3">
      <c r="A590" s="2"/>
      <c r="B590" s="15">
        <v>2</v>
      </c>
      <c r="C590" s="15">
        <v>20</v>
      </c>
      <c r="D590" s="16">
        <f t="shared" si="24"/>
        <v>21</v>
      </c>
      <c r="E590" s="17"/>
      <c r="F590" s="66"/>
      <c r="G590" s="18" t="s">
        <v>11</v>
      </c>
      <c r="H590" s="19"/>
      <c r="I590" s="2"/>
    </row>
    <row r="591" spans="1:9" ht="13.2" x14ac:dyDescent="0.3">
      <c r="A591" s="2"/>
      <c r="B591" s="15">
        <v>2</v>
      </c>
      <c r="C591" s="15">
        <v>20</v>
      </c>
      <c r="D591" s="16">
        <f t="shared" si="24"/>
        <v>22</v>
      </c>
      <c r="E591" s="17"/>
      <c r="F591" s="66"/>
      <c r="G591" s="18" t="s">
        <v>11</v>
      </c>
      <c r="H591" s="19"/>
      <c r="I591" s="2"/>
    </row>
    <row r="592" spans="1:9" ht="13.2" x14ac:dyDescent="0.3">
      <c r="A592" s="2"/>
      <c r="B592" s="15">
        <v>2</v>
      </c>
      <c r="C592" s="15">
        <v>20</v>
      </c>
      <c r="D592" s="16">
        <f t="shared" si="24"/>
        <v>23</v>
      </c>
      <c r="E592" s="17"/>
      <c r="F592" s="66"/>
      <c r="G592" s="18" t="s">
        <v>11</v>
      </c>
      <c r="H592" s="19"/>
      <c r="I592" s="2"/>
    </row>
    <row r="593" spans="1:9" ht="13.2" x14ac:dyDescent="0.3">
      <c r="A593" s="2"/>
      <c r="B593" s="15">
        <v>2</v>
      </c>
      <c r="C593" s="15">
        <v>20</v>
      </c>
      <c r="D593" s="16">
        <f t="shared" si="24"/>
        <v>24</v>
      </c>
      <c r="E593" s="17"/>
      <c r="F593" s="66"/>
      <c r="G593" s="18" t="s">
        <v>11</v>
      </c>
      <c r="H593" s="19"/>
      <c r="I593" s="2"/>
    </row>
    <row r="594" spans="1:9" ht="18.75" customHeight="1" x14ac:dyDescent="0.3">
      <c r="A594" s="2"/>
      <c r="B594" s="5" t="s">
        <v>24</v>
      </c>
      <c r="C594" s="6"/>
      <c r="D594" s="6"/>
      <c r="E594" s="7" t="str">
        <f>IF(B594=0,"",VLOOKUP(B594,Daten!$A$2:$B$56,2,FALSE))</f>
        <v>Maßnahmenstufe 2a</v>
      </c>
      <c r="F594" s="7" t="str">
        <f>VLOOKUP(E594,Daten!$B$2:$C$56,2,)</f>
        <v>Schutzleitfaden für Hautkontakt</v>
      </c>
      <c r="G594" s="8"/>
      <c r="H594" s="9"/>
      <c r="I594" s="2"/>
    </row>
    <row r="595" spans="1:9" ht="18.75" customHeight="1" x14ac:dyDescent="0.3">
      <c r="A595" s="2"/>
      <c r="B595" s="10" t="s">
        <v>25</v>
      </c>
      <c r="C595" s="11"/>
      <c r="D595" s="11"/>
      <c r="E595" s="12" t="str">
        <f>IF(B595=0,"",VLOOKUP(B595,Daten!$A$2:$B$56,2,FALSE))</f>
        <v>Schutzleitfaden-250</v>
      </c>
      <c r="F595" s="12" t="str">
        <f>VLOOKUP(E595,Daten!$B$2:$C$56,2,)</f>
        <v>Erweiterter Maßnahmenbedarf „Haut“</v>
      </c>
      <c r="G595" s="13"/>
      <c r="H595" s="14"/>
      <c r="I595" s="2"/>
    </row>
    <row r="596" spans="1:9" ht="13.2" x14ac:dyDescent="0.3">
      <c r="A596" s="2"/>
      <c r="B596" s="15">
        <v>3</v>
      </c>
      <c r="C596" s="15">
        <v>1</v>
      </c>
      <c r="D596" s="16">
        <f>ROW(A596)-(ROW(A$595))</f>
        <v>1</v>
      </c>
      <c r="E596" s="17"/>
      <c r="F596" s="66"/>
      <c r="G596" s="18" t="s">
        <v>11</v>
      </c>
      <c r="H596" s="19"/>
      <c r="I596" s="2"/>
    </row>
    <row r="597" spans="1:9" ht="13.2" x14ac:dyDescent="0.3">
      <c r="A597" s="2"/>
      <c r="B597" s="15">
        <v>3</v>
      </c>
      <c r="C597" s="15">
        <v>1</v>
      </c>
      <c r="D597" s="16">
        <f t="shared" ref="D597:D619" si="25">ROW(A597)-(ROW(A$595))</f>
        <v>2</v>
      </c>
      <c r="E597" s="17"/>
      <c r="F597" s="66"/>
      <c r="G597" s="18" t="s">
        <v>11</v>
      </c>
      <c r="H597" s="19"/>
      <c r="I597" s="2"/>
    </row>
    <row r="598" spans="1:9" ht="13.2" x14ac:dyDescent="0.3">
      <c r="A598" s="2"/>
      <c r="B598" s="15">
        <v>3</v>
      </c>
      <c r="C598" s="15">
        <v>1</v>
      </c>
      <c r="D598" s="16">
        <f t="shared" si="25"/>
        <v>3</v>
      </c>
      <c r="E598" s="17"/>
      <c r="F598" s="66"/>
      <c r="G598" s="18" t="s">
        <v>11</v>
      </c>
      <c r="H598" s="19"/>
      <c r="I598" s="2"/>
    </row>
    <row r="599" spans="1:9" ht="13.2" x14ac:dyDescent="0.3">
      <c r="A599" s="2"/>
      <c r="B599" s="15">
        <v>3</v>
      </c>
      <c r="C599" s="15">
        <v>1</v>
      </c>
      <c r="D599" s="16">
        <f t="shared" si="25"/>
        <v>4</v>
      </c>
      <c r="E599" s="17"/>
      <c r="F599" s="66"/>
      <c r="G599" s="18" t="s">
        <v>11</v>
      </c>
      <c r="H599" s="19"/>
      <c r="I599" s="2"/>
    </row>
    <row r="600" spans="1:9" ht="13.2" x14ac:dyDescent="0.3">
      <c r="A600" s="2"/>
      <c r="B600" s="15">
        <v>3</v>
      </c>
      <c r="C600" s="15">
        <v>1</v>
      </c>
      <c r="D600" s="16">
        <f t="shared" si="25"/>
        <v>5</v>
      </c>
      <c r="E600" s="17"/>
      <c r="F600" s="66"/>
      <c r="G600" s="18" t="s">
        <v>11</v>
      </c>
      <c r="H600" s="19"/>
      <c r="I600" s="2"/>
    </row>
    <row r="601" spans="1:9" ht="13.2" x14ac:dyDescent="0.3">
      <c r="A601" s="2"/>
      <c r="B601" s="15">
        <v>3</v>
      </c>
      <c r="C601" s="15">
        <v>1</v>
      </c>
      <c r="D601" s="16">
        <f t="shared" si="25"/>
        <v>6</v>
      </c>
      <c r="E601" s="17"/>
      <c r="F601" s="66"/>
      <c r="G601" s="18" t="s">
        <v>11</v>
      </c>
      <c r="H601" s="19"/>
      <c r="I601" s="2"/>
    </row>
    <row r="602" spans="1:9" ht="13.2" x14ac:dyDescent="0.3">
      <c r="A602" s="2"/>
      <c r="B602" s="15">
        <v>3</v>
      </c>
      <c r="C602" s="15">
        <v>1</v>
      </c>
      <c r="D602" s="16">
        <f t="shared" si="25"/>
        <v>7</v>
      </c>
      <c r="E602" s="17"/>
      <c r="F602" s="66"/>
      <c r="G602" s="18" t="s">
        <v>11</v>
      </c>
      <c r="H602" s="19"/>
      <c r="I602" s="2"/>
    </row>
    <row r="603" spans="1:9" ht="13.2" x14ac:dyDescent="0.3">
      <c r="A603" s="2"/>
      <c r="B603" s="15">
        <v>3</v>
      </c>
      <c r="C603" s="15">
        <v>1</v>
      </c>
      <c r="D603" s="16">
        <f t="shared" si="25"/>
        <v>8</v>
      </c>
      <c r="E603" s="17"/>
      <c r="F603" s="66"/>
      <c r="G603" s="18" t="s">
        <v>11</v>
      </c>
      <c r="H603" s="19"/>
      <c r="I603" s="2"/>
    </row>
    <row r="604" spans="1:9" ht="13.2" x14ac:dyDescent="0.3">
      <c r="A604" s="2"/>
      <c r="B604" s="15">
        <v>3</v>
      </c>
      <c r="C604" s="15">
        <v>1</v>
      </c>
      <c r="D604" s="16">
        <f t="shared" si="25"/>
        <v>9</v>
      </c>
      <c r="E604" s="17"/>
      <c r="F604" s="66"/>
      <c r="G604" s="18" t="s">
        <v>11</v>
      </c>
      <c r="H604" s="19"/>
      <c r="I604" s="2"/>
    </row>
    <row r="605" spans="1:9" ht="13.2" x14ac:dyDescent="0.3">
      <c r="A605" s="2"/>
      <c r="B605" s="15">
        <v>3</v>
      </c>
      <c r="C605" s="15">
        <v>1</v>
      </c>
      <c r="D605" s="16">
        <f t="shared" si="25"/>
        <v>10</v>
      </c>
      <c r="E605" s="17"/>
      <c r="F605" s="66"/>
      <c r="G605" s="18" t="s">
        <v>11</v>
      </c>
      <c r="H605" s="19"/>
      <c r="I605" s="2"/>
    </row>
    <row r="606" spans="1:9" ht="13.2" x14ac:dyDescent="0.3">
      <c r="A606" s="2"/>
      <c r="B606" s="15">
        <v>3</v>
      </c>
      <c r="C606" s="15">
        <v>1</v>
      </c>
      <c r="D606" s="16">
        <f t="shared" si="25"/>
        <v>11</v>
      </c>
      <c r="E606" s="17"/>
      <c r="F606" s="66"/>
      <c r="G606" s="18" t="s">
        <v>11</v>
      </c>
      <c r="H606" s="19"/>
      <c r="I606" s="2"/>
    </row>
    <row r="607" spans="1:9" ht="13.2" x14ac:dyDescent="0.3">
      <c r="A607" s="2"/>
      <c r="B607" s="15">
        <v>3</v>
      </c>
      <c r="C607" s="15">
        <v>1</v>
      </c>
      <c r="D607" s="16">
        <f t="shared" si="25"/>
        <v>12</v>
      </c>
      <c r="E607" s="17"/>
      <c r="F607" s="66"/>
      <c r="G607" s="18" t="s">
        <v>11</v>
      </c>
      <c r="H607" s="19"/>
      <c r="I607" s="2"/>
    </row>
    <row r="608" spans="1:9" ht="13.2" x14ac:dyDescent="0.3">
      <c r="A608" s="2"/>
      <c r="B608" s="15">
        <v>3</v>
      </c>
      <c r="C608" s="15">
        <v>1</v>
      </c>
      <c r="D608" s="16">
        <f t="shared" si="25"/>
        <v>13</v>
      </c>
      <c r="E608" s="17"/>
      <c r="F608" s="66"/>
      <c r="G608" s="18" t="s">
        <v>11</v>
      </c>
      <c r="H608" s="19"/>
      <c r="I608" s="2"/>
    </row>
    <row r="609" spans="1:9" ht="13.2" x14ac:dyDescent="0.3">
      <c r="A609" s="2"/>
      <c r="B609" s="15">
        <v>3</v>
      </c>
      <c r="C609" s="15">
        <v>1</v>
      </c>
      <c r="D609" s="16">
        <f t="shared" si="25"/>
        <v>14</v>
      </c>
      <c r="E609" s="17"/>
      <c r="F609" s="66"/>
      <c r="G609" s="18" t="s">
        <v>11</v>
      </c>
      <c r="H609" s="19"/>
      <c r="I609" s="2"/>
    </row>
    <row r="610" spans="1:9" ht="13.2" x14ac:dyDescent="0.3">
      <c r="A610" s="2"/>
      <c r="B610" s="15">
        <v>3</v>
      </c>
      <c r="C610" s="15">
        <v>1</v>
      </c>
      <c r="D610" s="16">
        <f t="shared" si="25"/>
        <v>15</v>
      </c>
      <c r="E610" s="17"/>
      <c r="F610" s="66"/>
      <c r="G610" s="18" t="s">
        <v>11</v>
      </c>
      <c r="H610" s="19"/>
      <c r="I610" s="2"/>
    </row>
    <row r="611" spans="1:9" ht="13.2" x14ac:dyDescent="0.3">
      <c r="A611" s="2"/>
      <c r="B611" s="15">
        <v>3</v>
      </c>
      <c r="C611" s="15">
        <v>1</v>
      </c>
      <c r="D611" s="16">
        <f t="shared" si="25"/>
        <v>16</v>
      </c>
      <c r="E611" s="17"/>
      <c r="F611" s="66"/>
      <c r="G611" s="18" t="s">
        <v>11</v>
      </c>
      <c r="H611" s="19"/>
      <c r="I611" s="2"/>
    </row>
    <row r="612" spans="1:9" ht="13.2" x14ac:dyDescent="0.3">
      <c r="A612" s="2"/>
      <c r="B612" s="15">
        <v>3</v>
      </c>
      <c r="C612" s="15">
        <v>1</v>
      </c>
      <c r="D612" s="16">
        <f t="shared" si="25"/>
        <v>17</v>
      </c>
      <c r="E612" s="17"/>
      <c r="F612" s="66"/>
      <c r="G612" s="18" t="s">
        <v>11</v>
      </c>
      <c r="H612" s="19"/>
      <c r="I612" s="2"/>
    </row>
    <row r="613" spans="1:9" ht="13.2" x14ac:dyDescent="0.3">
      <c r="A613" s="2"/>
      <c r="B613" s="15">
        <v>3</v>
      </c>
      <c r="C613" s="15">
        <v>1</v>
      </c>
      <c r="D613" s="16">
        <f t="shared" si="25"/>
        <v>18</v>
      </c>
      <c r="E613" s="17"/>
      <c r="F613" s="66"/>
      <c r="G613" s="18" t="s">
        <v>11</v>
      </c>
      <c r="H613" s="19"/>
      <c r="I613" s="2"/>
    </row>
    <row r="614" spans="1:9" ht="13.2" x14ac:dyDescent="0.3">
      <c r="A614" s="2"/>
      <c r="B614" s="15">
        <v>3</v>
      </c>
      <c r="C614" s="15">
        <v>1</v>
      </c>
      <c r="D614" s="16">
        <f t="shared" si="25"/>
        <v>19</v>
      </c>
      <c r="E614" s="17"/>
      <c r="F614" s="66"/>
      <c r="G614" s="18" t="s">
        <v>11</v>
      </c>
      <c r="H614" s="19"/>
      <c r="I614" s="2"/>
    </row>
    <row r="615" spans="1:9" ht="13.2" x14ac:dyDescent="0.3">
      <c r="A615" s="2"/>
      <c r="B615" s="15">
        <v>3</v>
      </c>
      <c r="C615" s="15">
        <v>1</v>
      </c>
      <c r="D615" s="16">
        <f t="shared" si="25"/>
        <v>20</v>
      </c>
      <c r="E615" s="17"/>
      <c r="F615" s="66"/>
      <c r="G615" s="18" t="s">
        <v>11</v>
      </c>
      <c r="H615" s="19"/>
      <c r="I615" s="2"/>
    </row>
    <row r="616" spans="1:9" ht="13.2" x14ac:dyDescent="0.3">
      <c r="A616" s="2"/>
      <c r="B616" s="15">
        <v>3</v>
      </c>
      <c r="C616" s="15">
        <v>1</v>
      </c>
      <c r="D616" s="16">
        <f t="shared" si="25"/>
        <v>21</v>
      </c>
      <c r="E616" s="17"/>
      <c r="F616" s="66"/>
      <c r="G616" s="18" t="s">
        <v>11</v>
      </c>
      <c r="H616" s="19"/>
      <c r="I616" s="2"/>
    </row>
    <row r="617" spans="1:9" ht="13.2" x14ac:dyDescent="0.3">
      <c r="A617" s="2"/>
      <c r="B617" s="15">
        <v>3</v>
      </c>
      <c r="C617" s="15">
        <v>1</v>
      </c>
      <c r="D617" s="16">
        <f t="shared" si="25"/>
        <v>22</v>
      </c>
      <c r="E617" s="17"/>
      <c r="F617" s="66"/>
      <c r="G617" s="18" t="s">
        <v>11</v>
      </c>
      <c r="H617" s="19"/>
      <c r="I617" s="2"/>
    </row>
    <row r="618" spans="1:9" ht="13.2" x14ac:dyDescent="0.3">
      <c r="A618" s="2"/>
      <c r="B618" s="15">
        <v>3</v>
      </c>
      <c r="C618" s="15">
        <v>1</v>
      </c>
      <c r="D618" s="16">
        <f t="shared" si="25"/>
        <v>23</v>
      </c>
      <c r="E618" s="17"/>
      <c r="F618" s="66"/>
      <c r="G618" s="18" t="s">
        <v>11</v>
      </c>
      <c r="H618" s="19"/>
      <c r="I618" s="2"/>
    </row>
    <row r="619" spans="1:9" ht="13.2" x14ac:dyDescent="0.3">
      <c r="A619" s="2"/>
      <c r="B619" s="15">
        <v>3</v>
      </c>
      <c r="C619" s="15">
        <v>1</v>
      </c>
      <c r="D619" s="16">
        <f t="shared" si="25"/>
        <v>24</v>
      </c>
      <c r="E619" s="17"/>
      <c r="F619" s="66"/>
      <c r="G619" s="18" t="s">
        <v>11</v>
      </c>
      <c r="H619" s="19"/>
      <c r="I619" s="2"/>
    </row>
    <row r="620" spans="1:9" ht="18.75" customHeight="1" x14ac:dyDescent="0.3">
      <c r="A620" s="2"/>
      <c r="B620" s="5">
        <v>4</v>
      </c>
      <c r="C620" s="6"/>
      <c r="D620" s="6"/>
      <c r="E620" s="7" t="str">
        <f>IF(B620=0,"",VLOOKUP(B620,Daten!$A$2:$B$56,2,FALSE))</f>
        <v xml:space="preserve">Maßnahmenstufe 2b </v>
      </c>
      <c r="F620" s="7" t="str">
        <f>VLOOKUP(E620,Daten!$B$2:$C$56,2,)</f>
        <v>Schutzleitfäden für Brand und Explosion</v>
      </c>
      <c r="G620" s="8"/>
      <c r="H620" s="9"/>
      <c r="I620" s="2"/>
    </row>
    <row r="621" spans="1:9" ht="18.75" customHeight="1" x14ac:dyDescent="0.3">
      <c r="A621" s="2"/>
      <c r="B621" s="10" t="s">
        <v>27</v>
      </c>
      <c r="C621" s="11"/>
      <c r="D621" s="11"/>
      <c r="E621" s="12" t="str">
        <f>IF(B621=0,"",VLOOKUP(B621,Daten!$A$2:$B$56,2,FALSE))</f>
        <v>Schutzleitfaden-PC170</v>
      </c>
      <c r="F621" s="12" t="str">
        <f>VLOOKUP(E621,Daten!$B$2:$C$56,2,)</f>
        <v>Brandschutzmaßnahmen</v>
      </c>
      <c r="G621" s="13"/>
      <c r="H621" s="14"/>
      <c r="I621" s="2"/>
    </row>
    <row r="622" spans="1:9" ht="21.6" x14ac:dyDescent="0.3">
      <c r="A622" s="2"/>
      <c r="B622" s="15">
        <v>4</v>
      </c>
      <c r="C622" s="15">
        <v>1</v>
      </c>
      <c r="D622" s="16">
        <f>ROW(A622)-(ROW(A$621))</f>
        <v>1</v>
      </c>
      <c r="E622" s="17" t="s">
        <v>489</v>
      </c>
      <c r="F622" s="66" t="s">
        <v>461</v>
      </c>
      <c r="G622" s="18" t="s">
        <v>11</v>
      </c>
      <c r="H622" s="19"/>
      <c r="I622" s="2"/>
    </row>
    <row r="623" spans="1:9" ht="21.6" x14ac:dyDescent="0.3">
      <c r="A623" s="2"/>
      <c r="B623" s="15">
        <v>4</v>
      </c>
      <c r="C623" s="15">
        <v>1</v>
      </c>
      <c r="D623" s="16">
        <f t="shared" ref="D623:D649" si="26">ROW(A623)-(ROW(A$621))</f>
        <v>2</v>
      </c>
      <c r="E623" s="17" t="s">
        <v>490</v>
      </c>
      <c r="F623" s="66" t="s">
        <v>462</v>
      </c>
      <c r="G623" s="18" t="s">
        <v>11</v>
      </c>
      <c r="H623" s="19"/>
      <c r="I623" s="2"/>
    </row>
    <row r="624" spans="1:9" ht="32.4" x14ac:dyDescent="0.3">
      <c r="A624" s="2"/>
      <c r="B624" s="15">
        <v>4</v>
      </c>
      <c r="C624" s="15">
        <v>1</v>
      </c>
      <c r="D624" s="16">
        <f t="shared" si="26"/>
        <v>3</v>
      </c>
      <c r="E624" s="17" t="s">
        <v>491</v>
      </c>
      <c r="F624" s="66" t="s">
        <v>463</v>
      </c>
      <c r="G624" s="18" t="s">
        <v>11</v>
      </c>
      <c r="H624" s="19"/>
      <c r="I624" s="2"/>
    </row>
    <row r="625" spans="1:9" ht="21.6" x14ac:dyDescent="0.3">
      <c r="A625" s="2"/>
      <c r="B625" s="15">
        <v>4</v>
      </c>
      <c r="C625" s="15">
        <v>1</v>
      </c>
      <c r="D625" s="16">
        <f t="shared" si="26"/>
        <v>4</v>
      </c>
      <c r="E625" s="17" t="s">
        <v>492</v>
      </c>
      <c r="F625" s="66" t="s">
        <v>464</v>
      </c>
      <c r="G625" s="18" t="s">
        <v>11</v>
      </c>
      <c r="H625" s="19"/>
      <c r="I625" s="2"/>
    </row>
    <row r="626" spans="1:9" ht="21.6" x14ac:dyDescent="0.3">
      <c r="A626" s="2"/>
      <c r="B626" s="15">
        <v>4</v>
      </c>
      <c r="C626" s="15">
        <v>1</v>
      </c>
      <c r="D626" s="16">
        <f t="shared" si="26"/>
        <v>5</v>
      </c>
      <c r="E626" s="17" t="s">
        <v>493</v>
      </c>
      <c r="F626" s="66" t="s">
        <v>465</v>
      </c>
      <c r="G626" s="18" t="s">
        <v>11</v>
      </c>
      <c r="H626" s="19"/>
      <c r="I626" s="2"/>
    </row>
    <row r="627" spans="1:9" ht="21.6" x14ac:dyDescent="0.3">
      <c r="A627" s="2"/>
      <c r="B627" s="15">
        <v>4</v>
      </c>
      <c r="C627" s="15">
        <v>1</v>
      </c>
      <c r="D627" s="16">
        <f t="shared" si="26"/>
        <v>6</v>
      </c>
      <c r="E627" s="17" t="s">
        <v>494</v>
      </c>
      <c r="F627" s="66" t="s">
        <v>466</v>
      </c>
      <c r="G627" s="18" t="s">
        <v>11</v>
      </c>
      <c r="H627" s="19"/>
      <c r="I627" s="2"/>
    </row>
    <row r="628" spans="1:9" ht="21.6" x14ac:dyDescent="0.3">
      <c r="A628" s="2"/>
      <c r="B628" s="15">
        <v>4</v>
      </c>
      <c r="C628" s="15">
        <v>1</v>
      </c>
      <c r="D628" s="16">
        <f t="shared" si="26"/>
        <v>7</v>
      </c>
      <c r="E628" s="17" t="s">
        <v>495</v>
      </c>
      <c r="F628" s="66" t="s">
        <v>467</v>
      </c>
      <c r="G628" s="18" t="s">
        <v>11</v>
      </c>
      <c r="H628" s="19"/>
      <c r="I628" s="2"/>
    </row>
    <row r="629" spans="1:9" ht="64.8" x14ac:dyDescent="0.3">
      <c r="A629" s="2"/>
      <c r="B629" s="15">
        <v>4</v>
      </c>
      <c r="C629" s="15">
        <v>1</v>
      </c>
      <c r="D629" s="16">
        <f t="shared" si="26"/>
        <v>8</v>
      </c>
      <c r="E629" s="17" t="s">
        <v>496</v>
      </c>
      <c r="F629" s="66" t="s">
        <v>468</v>
      </c>
      <c r="G629" s="18" t="s">
        <v>11</v>
      </c>
      <c r="H629" s="19"/>
      <c r="I629" s="2"/>
    </row>
    <row r="630" spans="1:9" ht="21.6" x14ac:dyDescent="0.3">
      <c r="A630" s="2"/>
      <c r="B630" s="15">
        <v>4</v>
      </c>
      <c r="C630" s="15">
        <v>1</v>
      </c>
      <c r="D630" s="16">
        <f t="shared" si="26"/>
        <v>9</v>
      </c>
      <c r="E630" s="17" t="s">
        <v>497</v>
      </c>
      <c r="F630" s="66" t="s">
        <v>469</v>
      </c>
      <c r="G630" s="18" t="s">
        <v>11</v>
      </c>
      <c r="H630" s="19"/>
      <c r="I630" s="2"/>
    </row>
    <row r="631" spans="1:9" ht="32.4" x14ac:dyDescent="0.3">
      <c r="A631" s="2"/>
      <c r="B631" s="15">
        <v>4</v>
      </c>
      <c r="C631" s="15">
        <v>1</v>
      </c>
      <c r="D631" s="16">
        <f t="shared" si="26"/>
        <v>10</v>
      </c>
      <c r="E631" s="17" t="s">
        <v>498</v>
      </c>
      <c r="F631" s="66" t="s">
        <v>470</v>
      </c>
      <c r="G631" s="18" t="s">
        <v>11</v>
      </c>
      <c r="H631" s="19"/>
      <c r="I631" s="2"/>
    </row>
    <row r="632" spans="1:9" ht="21.6" x14ac:dyDescent="0.3">
      <c r="A632" s="2"/>
      <c r="B632" s="15">
        <v>4</v>
      </c>
      <c r="C632" s="15">
        <v>1</v>
      </c>
      <c r="D632" s="16">
        <f t="shared" si="26"/>
        <v>11</v>
      </c>
      <c r="E632" s="17" t="s">
        <v>499</v>
      </c>
      <c r="F632" s="66" t="s">
        <v>471</v>
      </c>
      <c r="G632" s="18" t="s">
        <v>11</v>
      </c>
      <c r="H632" s="19"/>
      <c r="I632" s="2"/>
    </row>
    <row r="633" spans="1:9" ht="32.4" x14ac:dyDescent="0.3">
      <c r="A633" s="2"/>
      <c r="B633" s="15">
        <v>4</v>
      </c>
      <c r="C633" s="15">
        <v>1</v>
      </c>
      <c r="D633" s="16">
        <f t="shared" si="26"/>
        <v>12</v>
      </c>
      <c r="E633" s="17" t="s">
        <v>500</v>
      </c>
      <c r="F633" s="66" t="s">
        <v>472</v>
      </c>
      <c r="G633" s="18" t="s">
        <v>11</v>
      </c>
      <c r="H633" s="19"/>
      <c r="I633" s="2"/>
    </row>
    <row r="634" spans="1:9" ht="21.6" x14ac:dyDescent="0.3">
      <c r="A634" s="2"/>
      <c r="B634" s="15">
        <v>4</v>
      </c>
      <c r="C634" s="15">
        <v>1</v>
      </c>
      <c r="D634" s="16">
        <f t="shared" si="26"/>
        <v>13</v>
      </c>
      <c r="E634" s="17" t="s">
        <v>501</v>
      </c>
      <c r="F634" s="66" t="s">
        <v>473</v>
      </c>
      <c r="G634" s="18" t="s">
        <v>11</v>
      </c>
      <c r="H634" s="19"/>
      <c r="I634" s="2"/>
    </row>
    <row r="635" spans="1:9" ht="54" x14ac:dyDescent="0.3">
      <c r="A635" s="2"/>
      <c r="B635" s="15">
        <v>4</v>
      </c>
      <c r="C635" s="15">
        <v>1</v>
      </c>
      <c r="D635" s="16">
        <f t="shared" si="26"/>
        <v>14</v>
      </c>
      <c r="E635" s="17" t="s">
        <v>502</v>
      </c>
      <c r="F635" s="66" t="s">
        <v>474</v>
      </c>
      <c r="G635" s="18" t="s">
        <v>11</v>
      </c>
      <c r="H635" s="19"/>
      <c r="I635" s="2"/>
    </row>
    <row r="636" spans="1:9" ht="21.6" x14ac:dyDescent="0.3">
      <c r="A636" s="2"/>
      <c r="B636" s="15">
        <v>4</v>
      </c>
      <c r="C636" s="15">
        <v>1</v>
      </c>
      <c r="D636" s="16">
        <f t="shared" si="26"/>
        <v>15</v>
      </c>
      <c r="E636" s="17" t="s">
        <v>503</v>
      </c>
      <c r="F636" s="66" t="s">
        <v>475</v>
      </c>
      <c r="G636" s="18" t="s">
        <v>11</v>
      </c>
      <c r="H636" s="19"/>
      <c r="I636" s="2"/>
    </row>
    <row r="637" spans="1:9" ht="21.6" x14ac:dyDescent="0.3">
      <c r="A637" s="2"/>
      <c r="B637" s="15">
        <v>4</v>
      </c>
      <c r="C637" s="15">
        <v>1</v>
      </c>
      <c r="D637" s="16">
        <f t="shared" si="26"/>
        <v>16</v>
      </c>
      <c r="E637" s="17" t="s">
        <v>504</v>
      </c>
      <c r="F637" s="66" t="s">
        <v>476</v>
      </c>
      <c r="G637" s="18" t="s">
        <v>11</v>
      </c>
      <c r="H637" s="19"/>
      <c r="I637" s="2"/>
    </row>
    <row r="638" spans="1:9" ht="21.6" x14ac:dyDescent="0.3">
      <c r="A638" s="2"/>
      <c r="B638" s="15">
        <v>4</v>
      </c>
      <c r="C638" s="15">
        <v>1</v>
      </c>
      <c r="D638" s="16">
        <f t="shared" si="26"/>
        <v>17</v>
      </c>
      <c r="E638" s="17" t="s">
        <v>505</v>
      </c>
      <c r="F638" s="66" t="s">
        <v>477</v>
      </c>
      <c r="G638" s="18" t="s">
        <v>11</v>
      </c>
      <c r="H638" s="19"/>
      <c r="I638" s="2"/>
    </row>
    <row r="639" spans="1:9" ht="54" x14ac:dyDescent="0.3">
      <c r="A639" s="2"/>
      <c r="B639" s="15">
        <v>4</v>
      </c>
      <c r="C639" s="15">
        <v>1</v>
      </c>
      <c r="D639" s="16">
        <f t="shared" si="26"/>
        <v>18</v>
      </c>
      <c r="E639" s="17" t="s">
        <v>506</v>
      </c>
      <c r="F639" s="66" t="s">
        <v>478</v>
      </c>
      <c r="G639" s="18" t="s">
        <v>11</v>
      </c>
      <c r="H639" s="19"/>
      <c r="I639" s="2"/>
    </row>
    <row r="640" spans="1:9" ht="43.2" x14ac:dyDescent="0.3">
      <c r="A640" s="2"/>
      <c r="B640" s="15">
        <v>4</v>
      </c>
      <c r="C640" s="15">
        <v>1</v>
      </c>
      <c r="D640" s="16">
        <f t="shared" si="26"/>
        <v>19</v>
      </c>
      <c r="E640" s="17" t="s">
        <v>507</v>
      </c>
      <c r="F640" s="66" t="s">
        <v>479</v>
      </c>
      <c r="G640" s="18" t="s">
        <v>11</v>
      </c>
      <c r="H640" s="19"/>
      <c r="I640" s="2"/>
    </row>
    <row r="641" spans="1:9" ht="21.6" x14ac:dyDescent="0.3">
      <c r="A641" s="2"/>
      <c r="B641" s="15">
        <v>4</v>
      </c>
      <c r="C641" s="15">
        <v>1</v>
      </c>
      <c r="D641" s="16">
        <f t="shared" si="26"/>
        <v>20</v>
      </c>
      <c r="E641" s="17" t="s">
        <v>508</v>
      </c>
      <c r="F641" s="66" t="s">
        <v>480</v>
      </c>
      <c r="G641" s="18" t="s">
        <v>11</v>
      </c>
      <c r="H641" s="19"/>
      <c r="I641" s="2"/>
    </row>
    <row r="642" spans="1:9" ht="21.6" x14ac:dyDescent="0.3">
      <c r="A642" s="2"/>
      <c r="B642" s="15">
        <v>4</v>
      </c>
      <c r="C642" s="15">
        <v>1</v>
      </c>
      <c r="D642" s="16">
        <f t="shared" si="26"/>
        <v>21</v>
      </c>
      <c r="E642" s="17" t="s">
        <v>509</v>
      </c>
      <c r="F642" s="66" t="s">
        <v>481</v>
      </c>
      <c r="G642" s="18" t="s">
        <v>11</v>
      </c>
      <c r="H642" s="19"/>
      <c r="I642" s="2"/>
    </row>
    <row r="643" spans="1:9" ht="54" x14ac:dyDescent="0.3">
      <c r="A643" s="2"/>
      <c r="B643" s="15">
        <v>4</v>
      </c>
      <c r="C643" s="15">
        <v>1</v>
      </c>
      <c r="D643" s="16">
        <f t="shared" si="26"/>
        <v>22</v>
      </c>
      <c r="E643" s="17" t="s">
        <v>510</v>
      </c>
      <c r="F643" s="66" t="s">
        <v>482</v>
      </c>
      <c r="G643" s="18" t="s">
        <v>11</v>
      </c>
      <c r="H643" s="19"/>
      <c r="I643" s="2"/>
    </row>
    <row r="644" spans="1:9" ht="54" x14ac:dyDescent="0.3">
      <c r="A644" s="2"/>
      <c r="B644" s="15">
        <v>4</v>
      </c>
      <c r="C644" s="15">
        <v>1</v>
      </c>
      <c r="D644" s="16">
        <f t="shared" si="26"/>
        <v>23</v>
      </c>
      <c r="E644" s="17" t="s">
        <v>511</v>
      </c>
      <c r="F644" s="66" t="s">
        <v>483</v>
      </c>
      <c r="G644" s="18" t="s">
        <v>11</v>
      </c>
      <c r="H644" s="19"/>
      <c r="I644" s="2"/>
    </row>
    <row r="645" spans="1:9" ht="43.2" x14ac:dyDescent="0.3">
      <c r="A645" s="2"/>
      <c r="B645" s="15">
        <v>4</v>
      </c>
      <c r="C645" s="15">
        <v>1</v>
      </c>
      <c r="D645" s="16">
        <f t="shared" si="26"/>
        <v>24</v>
      </c>
      <c r="E645" s="17" t="s">
        <v>512</v>
      </c>
      <c r="F645" s="66" t="s">
        <v>484</v>
      </c>
      <c r="G645" s="18" t="s">
        <v>11</v>
      </c>
      <c r="H645" s="19"/>
      <c r="I645" s="2"/>
    </row>
    <row r="646" spans="1:9" ht="21.6" x14ac:dyDescent="0.3">
      <c r="A646" s="2"/>
      <c r="B646" s="15">
        <v>4</v>
      </c>
      <c r="C646" s="15">
        <v>1</v>
      </c>
      <c r="D646" s="16">
        <f t="shared" si="26"/>
        <v>25</v>
      </c>
      <c r="E646" s="17" t="s">
        <v>513</v>
      </c>
      <c r="F646" s="66" t="s">
        <v>485</v>
      </c>
      <c r="G646" s="18" t="s">
        <v>11</v>
      </c>
      <c r="H646" s="19"/>
      <c r="I646" s="2"/>
    </row>
    <row r="647" spans="1:9" ht="21.6" x14ac:dyDescent="0.3">
      <c r="A647" s="2"/>
      <c r="B647" s="15">
        <v>4</v>
      </c>
      <c r="C647" s="15">
        <v>1</v>
      </c>
      <c r="D647" s="16">
        <f t="shared" si="26"/>
        <v>26</v>
      </c>
      <c r="E647" s="17" t="s">
        <v>514</v>
      </c>
      <c r="F647" s="66" t="s">
        <v>486</v>
      </c>
      <c r="G647" s="18" t="s">
        <v>11</v>
      </c>
      <c r="H647" s="19"/>
      <c r="I647" s="2"/>
    </row>
    <row r="648" spans="1:9" ht="21.6" x14ac:dyDescent="0.3">
      <c r="A648" s="2"/>
      <c r="B648" s="15">
        <v>4</v>
      </c>
      <c r="C648" s="15">
        <v>1</v>
      </c>
      <c r="D648" s="16">
        <f t="shared" si="26"/>
        <v>27</v>
      </c>
      <c r="E648" s="17" t="s">
        <v>515</v>
      </c>
      <c r="F648" s="66" t="s">
        <v>487</v>
      </c>
      <c r="G648" s="18" t="s">
        <v>11</v>
      </c>
      <c r="H648" s="19"/>
      <c r="I648" s="2"/>
    </row>
    <row r="649" spans="1:9" ht="32.4" x14ac:dyDescent="0.3">
      <c r="A649" s="2"/>
      <c r="B649" s="15">
        <v>4</v>
      </c>
      <c r="C649" s="15">
        <v>1</v>
      </c>
      <c r="D649" s="16">
        <f t="shared" si="26"/>
        <v>28</v>
      </c>
      <c r="E649" s="17" t="s">
        <v>516</v>
      </c>
      <c r="F649" s="66" t="s">
        <v>488</v>
      </c>
      <c r="G649" s="18" t="s">
        <v>11</v>
      </c>
      <c r="H649" s="19"/>
      <c r="I649" s="2"/>
    </row>
    <row r="650" spans="1:9" ht="18.75" customHeight="1" x14ac:dyDescent="0.3">
      <c r="A650" s="2"/>
      <c r="B650" s="10" t="s">
        <v>28</v>
      </c>
      <c r="C650" s="11"/>
      <c r="D650" s="11"/>
      <c r="E650" s="12" t="str">
        <f>IF(B650=0,"",VLOOKUP(B650,Daten!$A$2:$B$56,2,FALSE))</f>
        <v>Schutzleitfaden-PC270</v>
      </c>
      <c r="F650" s="12" t="str">
        <f>VLOOKUP(E650,Daten!$B$2:$C$56,2,)</f>
        <v>Grundanforderungen bei erhöhter Brandgefährdung</v>
      </c>
      <c r="G650" s="13"/>
      <c r="H650" s="14"/>
      <c r="I650" s="2"/>
    </row>
    <row r="651" spans="1:9" ht="13.2" x14ac:dyDescent="0.3">
      <c r="A651" s="2"/>
      <c r="B651" s="15">
        <v>4</v>
      </c>
      <c r="C651" s="15">
        <v>1</v>
      </c>
      <c r="D651" s="16">
        <f>ROW(A651)-(ROW(A$650))</f>
        <v>1</v>
      </c>
      <c r="E651" s="17"/>
      <c r="F651" s="66"/>
      <c r="G651" s="18" t="s">
        <v>11</v>
      </c>
      <c r="H651" s="19"/>
      <c r="I651" s="2"/>
    </row>
    <row r="652" spans="1:9" ht="13.2" x14ac:dyDescent="0.3">
      <c r="A652" s="2"/>
      <c r="B652" s="15">
        <v>4</v>
      </c>
      <c r="C652" s="15">
        <v>1</v>
      </c>
      <c r="D652" s="16">
        <f t="shared" ref="D652:D674" si="27">ROW(A652)-(ROW(A$650))</f>
        <v>2</v>
      </c>
      <c r="E652" s="17"/>
      <c r="F652" s="66"/>
      <c r="G652" s="18" t="s">
        <v>11</v>
      </c>
      <c r="H652" s="19"/>
      <c r="I652" s="2"/>
    </row>
    <row r="653" spans="1:9" ht="13.2" x14ac:dyDescent="0.3">
      <c r="A653" s="2"/>
      <c r="B653" s="15">
        <v>4</v>
      </c>
      <c r="C653" s="15">
        <v>1</v>
      </c>
      <c r="D653" s="16">
        <f t="shared" si="27"/>
        <v>3</v>
      </c>
      <c r="E653" s="17"/>
      <c r="F653" s="66"/>
      <c r="G653" s="18" t="s">
        <v>11</v>
      </c>
      <c r="H653" s="19"/>
      <c r="I653" s="2"/>
    </row>
    <row r="654" spans="1:9" ht="13.2" x14ac:dyDescent="0.3">
      <c r="A654" s="2"/>
      <c r="B654" s="15">
        <v>4</v>
      </c>
      <c r="C654" s="15">
        <v>1</v>
      </c>
      <c r="D654" s="16">
        <f t="shared" si="27"/>
        <v>4</v>
      </c>
      <c r="E654" s="17"/>
      <c r="F654" s="66"/>
      <c r="G654" s="18" t="s">
        <v>11</v>
      </c>
      <c r="H654" s="19"/>
      <c r="I654" s="2"/>
    </row>
    <row r="655" spans="1:9" ht="13.2" x14ac:dyDescent="0.3">
      <c r="A655" s="2"/>
      <c r="B655" s="15">
        <v>4</v>
      </c>
      <c r="C655" s="15">
        <v>1</v>
      </c>
      <c r="D655" s="16">
        <f t="shared" si="27"/>
        <v>5</v>
      </c>
      <c r="E655" s="17"/>
      <c r="F655" s="66"/>
      <c r="G655" s="18" t="s">
        <v>11</v>
      </c>
      <c r="H655" s="19"/>
      <c r="I655" s="2"/>
    </row>
    <row r="656" spans="1:9" ht="13.2" x14ac:dyDescent="0.3">
      <c r="A656" s="2"/>
      <c r="B656" s="15">
        <v>4</v>
      </c>
      <c r="C656" s="15">
        <v>1</v>
      </c>
      <c r="D656" s="16">
        <f t="shared" si="27"/>
        <v>6</v>
      </c>
      <c r="E656" s="17"/>
      <c r="F656" s="66"/>
      <c r="G656" s="18" t="s">
        <v>11</v>
      </c>
      <c r="H656" s="19"/>
      <c r="I656" s="2"/>
    </row>
    <row r="657" spans="1:9" ht="13.2" x14ac:dyDescent="0.3">
      <c r="A657" s="2"/>
      <c r="B657" s="15">
        <v>4</v>
      </c>
      <c r="C657" s="15">
        <v>1</v>
      </c>
      <c r="D657" s="16">
        <f t="shared" si="27"/>
        <v>7</v>
      </c>
      <c r="E657" s="17"/>
      <c r="F657" s="66"/>
      <c r="G657" s="18" t="s">
        <v>11</v>
      </c>
      <c r="H657" s="19"/>
      <c r="I657" s="2"/>
    </row>
    <row r="658" spans="1:9" ht="13.2" x14ac:dyDescent="0.3">
      <c r="A658" s="2"/>
      <c r="B658" s="15">
        <v>4</v>
      </c>
      <c r="C658" s="15">
        <v>1</v>
      </c>
      <c r="D658" s="16">
        <f t="shared" si="27"/>
        <v>8</v>
      </c>
      <c r="E658" s="17"/>
      <c r="F658" s="66"/>
      <c r="G658" s="18" t="s">
        <v>11</v>
      </c>
      <c r="H658" s="19"/>
      <c r="I658" s="2"/>
    </row>
    <row r="659" spans="1:9" ht="13.2" x14ac:dyDescent="0.3">
      <c r="A659" s="2"/>
      <c r="B659" s="15">
        <v>4</v>
      </c>
      <c r="C659" s="15">
        <v>1</v>
      </c>
      <c r="D659" s="16">
        <f t="shared" si="27"/>
        <v>9</v>
      </c>
      <c r="E659" s="17"/>
      <c r="F659" s="66"/>
      <c r="G659" s="18" t="s">
        <v>11</v>
      </c>
      <c r="H659" s="19"/>
      <c r="I659" s="2"/>
    </row>
    <row r="660" spans="1:9" ht="13.2" x14ac:dyDescent="0.3">
      <c r="A660" s="2"/>
      <c r="B660" s="15">
        <v>4</v>
      </c>
      <c r="C660" s="15">
        <v>1</v>
      </c>
      <c r="D660" s="16">
        <f t="shared" si="27"/>
        <v>10</v>
      </c>
      <c r="E660" s="17"/>
      <c r="F660" s="66"/>
      <c r="G660" s="18" t="s">
        <v>11</v>
      </c>
      <c r="H660" s="19"/>
      <c r="I660" s="2"/>
    </row>
    <row r="661" spans="1:9" ht="13.2" x14ac:dyDescent="0.3">
      <c r="A661" s="2"/>
      <c r="B661" s="15">
        <v>4</v>
      </c>
      <c r="C661" s="15">
        <v>1</v>
      </c>
      <c r="D661" s="16">
        <f t="shared" si="27"/>
        <v>11</v>
      </c>
      <c r="E661" s="17"/>
      <c r="F661" s="66"/>
      <c r="G661" s="18" t="s">
        <v>11</v>
      </c>
      <c r="H661" s="19"/>
      <c r="I661" s="2"/>
    </row>
    <row r="662" spans="1:9" ht="13.2" x14ac:dyDescent="0.3">
      <c r="A662" s="2"/>
      <c r="B662" s="15">
        <v>4</v>
      </c>
      <c r="C662" s="15">
        <v>1</v>
      </c>
      <c r="D662" s="16">
        <f t="shared" si="27"/>
        <v>12</v>
      </c>
      <c r="E662" s="17"/>
      <c r="F662" s="66"/>
      <c r="G662" s="18" t="s">
        <v>11</v>
      </c>
      <c r="H662" s="19"/>
      <c r="I662" s="2"/>
    </row>
    <row r="663" spans="1:9" ht="13.2" x14ac:dyDescent="0.3">
      <c r="A663" s="2"/>
      <c r="B663" s="15">
        <v>4</v>
      </c>
      <c r="C663" s="15">
        <v>1</v>
      </c>
      <c r="D663" s="16">
        <f t="shared" si="27"/>
        <v>13</v>
      </c>
      <c r="E663" s="17"/>
      <c r="F663" s="66"/>
      <c r="G663" s="18" t="s">
        <v>11</v>
      </c>
      <c r="H663" s="19"/>
      <c r="I663" s="2"/>
    </row>
    <row r="664" spans="1:9" ht="13.2" x14ac:dyDescent="0.3">
      <c r="A664" s="2"/>
      <c r="B664" s="15">
        <v>4</v>
      </c>
      <c r="C664" s="15">
        <v>1</v>
      </c>
      <c r="D664" s="16">
        <f t="shared" si="27"/>
        <v>14</v>
      </c>
      <c r="E664" s="17"/>
      <c r="F664" s="66"/>
      <c r="G664" s="18" t="s">
        <v>11</v>
      </c>
      <c r="H664" s="19"/>
      <c r="I664" s="2"/>
    </row>
    <row r="665" spans="1:9" ht="13.2" x14ac:dyDescent="0.3">
      <c r="A665" s="2"/>
      <c r="B665" s="15">
        <v>4</v>
      </c>
      <c r="C665" s="15">
        <v>1</v>
      </c>
      <c r="D665" s="16">
        <f t="shared" si="27"/>
        <v>15</v>
      </c>
      <c r="E665" s="17"/>
      <c r="F665" s="66"/>
      <c r="G665" s="18" t="s">
        <v>11</v>
      </c>
      <c r="H665" s="19"/>
      <c r="I665" s="2"/>
    </row>
    <row r="666" spans="1:9" ht="13.2" x14ac:dyDescent="0.3">
      <c r="A666" s="2"/>
      <c r="B666" s="15">
        <v>4</v>
      </c>
      <c r="C666" s="15">
        <v>1</v>
      </c>
      <c r="D666" s="16">
        <f t="shared" si="27"/>
        <v>16</v>
      </c>
      <c r="E666" s="17"/>
      <c r="F666" s="66"/>
      <c r="G666" s="18" t="s">
        <v>11</v>
      </c>
      <c r="H666" s="19"/>
      <c r="I666" s="2"/>
    </row>
    <row r="667" spans="1:9" ht="13.2" x14ac:dyDescent="0.3">
      <c r="A667" s="2"/>
      <c r="B667" s="15">
        <v>4</v>
      </c>
      <c r="C667" s="15">
        <v>1</v>
      </c>
      <c r="D667" s="16">
        <f t="shared" si="27"/>
        <v>17</v>
      </c>
      <c r="E667" s="17"/>
      <c r="F667" s="66"/>
      <c r="G667" s="18" t="s">
        <v>11</v>
      </c>
      <c r="H667" s="19"/>
      <c r="I667" s="2"/>
    </row>
    <row r="668" spans="1:9" ht="13.2" x14ac:dyDescent="0.3">
      <c r="A668" s="2"/>
      <c r="B668" s="15">
        <v>4</v>
      </c>
      <c r="C668" s="15">
        <v>1</v>
      </c>
      <c r="D668" s="16">
        <f t="shared" si="27"/>
        <v>18</v>
      </c>
      <c r="E668" s="17"/>
      <c r="F668" s="66"/>
      <c r="G668" s="18" t="s">
        <v>11</v>
      </c>
      <c r="H668" s="19"/>
      <c r="I668" s="2"/>
    </row>
    <row r="669" spans="1:9" ht="13.2" x14ac:dyDescent="0.3">
      <c r="A669" s="2"/>
      <c r="B669" s="15">
        <v>4</v>
      </c>
      <c r="C669" s="15">
        <v>1</v>
      </c>
      <c r="D669" s="16">
        <f t="shared" si="27"/>
        <v>19</v>
      </c>
      <c r="E669" s="17"/>
      <c r="F669" s="66"/>
      <c r="G669" s="18" t="s">
        <v>11</v>
      </c>
      <c r="H669" s="19"/>
      <c r="I669" s="2"/>
    </row>
    <row r="670" spans="1:9" ht="13.2" x14ac:dyDescent="0.3">
      <c r="A670" s="2"/>
      <c r="B670" s="15">
        <v>4</v>
      </c>
      <c r="C670" s="15">
        <v>1</v>
      </c>
      <c r="D670" s="16">
        <f t="shared" si="27"/>
        <v>20</v>
      </c>
      <c r="E670" s="17"/>
      <c r="F670" s="66"/>
      <c r="G670" s="18" t="s">
        <v>11</v>
      </c>
      <c r="H670" s="19"/>
      <c r="I670" s="2"/>
    </row>
    <row r="671" spans="1:9" ht="13.2" x14ac:dyDescent="0.3">
      <c r="A671" s="2"/>
      <c r="B671" s="15">
        <v>4</v>
      </c>
      <c r="C671" s="15">
        <v>1</v>
      </c>
      <c r="D671" s="16">
        <f t="shared" si="27"/>
        <v>21</v>
      </c>
      <c r="E671" s="17"/>
      <c r="F671" s="66"/>
      <c r="G671" s="18" t="s">
        <v>11</v>
      </c>
      <c r="H671" s="19"/>
      <c r="I671" s="2"/>
    </row>
    <row r="672" spans="1:9" ht="13.2" x14ac:dyDescent="0.3">
      <c r="A672" s="2"/>
      <c r="B672" s="15">
        <v>4</v>
      </c>
      <c r="C672" s="15">
        <v>1</v>
      </c>
      <c r="D672" s="16">
        <f t="shared" si="27"/>
        <v>22</v>
      </c>
      <c r="E672" s="17"/>
      <c r="F672" s="66"/>
      <c r="G672" s="18" t="s">
        <v>11</v>
      </c>
      <c r="H672" s="19"/>
      <c r="I672" s="2"/>
    </row>
    <row r="673" spans="1:9" ht="13.2" x14ac:dyDescent="0.3">
      <c r="A673" s="2"/>
      <c r="B673" s="15">
        <v>4</v>
      </c>
      <c r="C673" s="15">
        <v>1</v>
      </c>
      <c r="D673" s="16">
        <f t="shared" si="27"/>
        <v>23</v>
      </c>
      <c r="E673" s="17"/>
      <c r="F673" s="66"/>
      <c r="G673" s="18" t="s">
        <v>11</v>
      </c>
      <c r="H673" s="19"/>
      <c r="I673" s="2"/>
    </row>
    <row r="674" spans="1:9" ht="13.2" x14ac:dyDescent="0.3">
      <c r="A674" s="2"/>
      <c r="B674" s="15">
        <v>4</v>
      </c>
      <c r="C674" s="15">
        <v>1</v>
      </c>
      <c r="D674" s="16">
        <f t="shared" si="27"/>
        <v>24</v>
      </c>
      <c r="E674" s="17"/>
      <c r="F674" s="66"/>
      <c r="G674" s="18" t="s">
        <v>11</v>
      </c>
      <c r="H674" s="19"/>
      <c r="I674" s="2"/>
    </row>
    <row r="675" spans="1:9" ht="18.75" customHeight="1" x14ac:dyDescent="0.3">
      <c r="A675" s="2"/>
      <c r="B675" s="10" t="s">
        <v>29</v>
      </c>
      <c r="C675" s="11"/>
      <c r="D675" s="11"/>
      <c r="E675" s="12" t="str">
        <f>IF(B675=0,"",VLOOKUP(B675,Daten!$A$2:$B$56,2,FALSE))</f>
        <v>Schutzleitfaden-PC271</v>
      </c>
      <c r="F675" s="12" t="str">
        <f>VLOOKUP(E675,Daten!$B$2:$C$56,2,)</f>
        <v>Lackierarbeiten, Spritz- und Beschichtungsverfahren</v>
      </c>
      <c r="G675" s="13"/>
      <c r="H675" s="14"/>
      <c r="I675" s="2"/>
    </row>
    <row r="676" spans="1:9" ht="13.2" x14ac:dyDescent="0.3">
      <c r="A676" s="2"/>
      <c r="B676" s="15">
        <v>4</v>
      </c>
      <c r="C676" s="15">
        <v>2</v>
      </c>
      <c r="D676" s="16">
        <f>ROW(A676)-(ROW(A$675))</f>
        <v>1</v>
      </c>
      <c r="E676" s="17"/>
      <c r="F676" s="66"/>
      <c r="G676" s="18" t="s">
        <v>11</v>
      </c>
      <c r="H676" s="19"/>
      <c r="I676" s="2"/>
    </row>
    <row r="677" spans="1:9" ht="13.2" x14ac:dyDescent="0.3">
      <c r="A677" s="2"/>
      <c r="B677" s="15">
        <v>4</v>
      </c>
      <c r="C677" s="15">
        <v>2</v>
      </c>
      <c r="D677" s="16">
        <f t="shared" ref="D677:D699" si="28">ROW(A677)-(ROW(A$675))</f>
        <v>2</v>
      </c>
      <c r="E677" s="17"/>
      <c r="F677" s="66"/>
      <c r="G677" s="18" t="s">
        <v>11</v>
      </c>
      <c r="H677" s="19"/>
      <c r="I677" s="2"/>
    </row>
    <row r="678" spans="1:9" ht="13.2" x14ac:dyDescent="0.3">
      <c r="A678" s="2"/>
      <c r="B678" s="15">
        <v>4</v>
      </c>
      <c r="C678" s="15">
        <v>2</v>
      </c>
      <c r="D678" s="16">
        <f t="shared" si="28"/>
        <v>3</v>
      </c>
      <c r="E678" s="17"/>
      <c r="F678" s="66"/>
      <c r="G678" s="18" t="s">
        <v>11</v>
      </c>
      <c r="H678" s="19"/>
      <c r="I678" s="2"/>
    </row>
    <row r="679" spans="1:9" ht="13.2" x14ac:dyDescent="0.3">
      <c r="A679" s="2"/>
      <c r="B679" s="15">
        <v>4</v>
      </c>
      <c r="C679" s="15">
        <v>2</v>
      </c>
      <c r="D679" s="16">
        <f t="shared" si="28"/>
        <v>4</v>
      </c>
      <c r="E679" s="17"/>
      <c r="F679" s="66"/>
      <c r="G679" s="18" t="s">
        <v>11</v>
      </c>
      <c r="H679" s="19"/>
      <c r="I679" s="2"/>
    </row>
    <row r="680" spans="1:9" ht="13.2" x14ac:dyDescent="0.3">
      <c r="A680" s="2"/>
      <c r="B680" s="15">
        <v>4</v>
      </c>
      <c r="C680" s="15">
        <v>2</v>
      </c>
      <c r="D680" s="16">
        <f t="shared" si="28"/>
        <v>5</v>
      </c>
      <c r="E680" s="17"/>
      <c r="F680" s="66"/>
      <c r="G680" s="18" t="s">
        <v>11</v>
      </c>
      <c r="H680" s="19"/>
      <c r="I680" s="2"/>
    </row>
    <row r="681" spans="1:9" ht="13.2" x14ac:dyDescent="0.3">
      <c r="A681" s="2"/>
      <c r="B681" s="15">
        <v>4</v>
      </c>
      <c r="C681" s="15">
        <v>2</v>
      </c>
      <c r="D681" s="16">
        <f t="shared" si="28"/>
        <v>6</v>
      </c>
      <c r="E681" s="17"/>
      <c r="F681" s="66"/>
      <c r="G681" s="18" t="s">
        <v>11</v>
      </c>
      <c r="H681" s="19"/>
      <c r="I681" s="2"/>
    </row>
    <row r="682" spans="1:9" ht="13.2" x14ac:dyDescent="0.3">
      <c r="A682" s="2"/>
      <c r="B682" s="15">
        <v>4</v>
      </c>
      <c r="C682" s="15">
        <v>2</v>
      </c>
      <c r="D682" s="16">
        <f t="shared" si="28"/>
        <v>7</v>
      </c>
      <c r="E682" s="17"/>
      <c r="F682" s="66"/>
      <c r="G682" s="18" t="s">
        <v>11</v>
      </c>
      <c r="H682" s="19"/>
      <c r="I682" s="2"/>
    </row>
    <row r="683" spans="1:9" ht="13.2" x14ac:dyDescent="0.3">
      <c r="A683" s="2"/>
      <c r="B683" s="15">
        <v>4</v>
      </c>
      <c r="C683" s="15">
        <v>2</v>
      </c>
      <c r="D683" s="16">
        <f t="shared" si="28"/>
        <v>8</v>
      </c>
      <c r="E683" s="17"/>
      <c r="F683" s="66"/>
      <c r="G683" s="18" t="s">
        <v>11</v>
      </c>
      <c r="H683" s="19"/>
      <c r="I683" s="2"/>
    </row>
    <row r="684" spans="1:9" ht="13.2" x14ac:dyDescent="0.3">
      <c r="A684" s="2"/>
      <c r="B684" s="15">
        <v>4</v>
      </c>
      <c r="C684" s="15">
        <v>2</v>
      </c>
      <c r="D684" s="16">
        <f t="shared" si="28"/>
        <v>9</v>
      </c>
      <c r="E684" s="17"/>
      <c r="F684" s="66"/>
      <c r="G684" s="18" t="s">
        <v>11</v>
      </c>
      <c r="H684" s="19"/>
      <c r="I684" s="2"/>
    </row>
    <row r="685" spans="1:9" ht="13.2" x14ac:dyDescent="0.3">
      <c r="A685" s="2"/>
      <c r="B685" s="15">
        <v>4</v>
      </c>
      <c r="C685" s="15">
        <v>2</v>
      </c>
      <c r="D685" s="16">
        <f t="shared" si="28"/>
        <v>10</v>
      </c>
      <c r="E685" s="17"/>
      <c r="F685" s="66"/>
      <c r="G685" s="18" t="s">
        <v>11</v>
      </c>
      <c r="H685" s="19"/>
      <c r="I685" s="2"/>
    </row>
    <row r="686" spans="1:9" ht="13.2" x14ac:dyDescent="0.3">
      <c r="A686" s="2"/>
      <c r="B686" s="15">
        <v>4</v>
      </c>
      <c r="C686" s="15">
        <v>2</v>
      </c>
      <c r="D686" s="16">
        <f t="shared" si="28"/>
        <v>11</v>
      </c>
      <c r="E686" s="17"/>
      <c r="F686" s="66"/>
      <c r="G686" s="18" t="s">
        <v>11</v>
      </c>
      <c r="H686" s="19"/>
      <c r="I686" s="2"/>
    </row>
    <row r="687" spans="1:9" ht="13.2" x14ac:dyDescent="0.3">
      <c r="A687" s="2"/>
      <c r="B687" s="15">
        <v>4</v>
      </c>
      <c r="C687" s="15">
        <v>2</v>
      </c>
      <c r="D687" s="16">
        <f t="shared" si="28"/>
        <v>12</v>
      </c>
      <c r="E687" s="17"/>
      <c r="F687" s="66"/>
      <c r="G687" s="18" t="s">
        <v>11</v>
      </c>
      <c r="H687" s="19"/>
      <c r="I687" s="2"/>
    </row>
    <row r="688" spans="1:9" ht="13.2" x14ac:dyDescent="0.3">
      <c r="A688" s="2"/>
      <c r="B688" s="15">
        <v>4</v>
      </c>
      <c r="C688" s="15">
        <v>2</v>
      </c>
      <c r="D688" s="16">
        <f t="shared" si="28"/>
        <v>13</v>
      </c>
      <c r="E688" s="17"/>
      <c r="F688" s="66"/>
      <c r="G688" s="18" t="s">
        <v>11</v>
      </c>
      <c r="H688" s="19"/>
      <c r="I688" s="2"/>
    </row>
    <row r="689" spans="1:9" ht="13.2" x14ac:dyDescent="0.3">
      <c r="A689" s="2"/>
      <c r="B689" s="15">
        <v>4</v>
      </c>
      <c r="C689" s="15">
        <v>2</v>
      </c>
      <c r="D689" s="16">
        <f t="shared" si="28"/>
        <v>14</v>
      </c>
      <c r="E689" s="17"/>
      <c r="F689" s="66"/>
      <c r="G689" s="18" t="s">
        <v>11</v>
      </c>
      <c r="H689" s="19"/>
      <c r="I689" s="2"/>
    </row>
    <row r="690" spans="1:9" ht="13.2" x14ac:dyDescent="0.3">
      <c r="A690" s="2"/>
      <c r="B690" s="15">
        <v>4</v>
      </c>
      <c r="C690" s="15">
        <v>2</v>
      </c>
      <c r="D690" s="16">
        <f t="shared" si="28"/>
        <v>15</v>
      </c>
      <c r="E690" s="17"/>
      <c r="F690" s="66"/>
      <c r="G690" s="18" t="s">
        <v>11</v>
      </c>
      <c r="H690" s="19"/>
      <c r="I690" s="2"/>
    </row>
    <row r="691" spans="1:9" ht="13.2" x14ac:dyDescent="0.3">
      <c r="A691" s="2"/>
      <c r="B691" s="15">
        <v>4</v>
      </c>
      <c r="C691" s="15">
        <v>2</v>
      </c>
      <c r="D691" s="16">
        <f t="shared" si="28"/>
        <v>16</v>
      </c>
      <c r="E691" s="17"/>
      <c r="F691" s="66"/>
      <c r="G691" s="18" t="s">
        <v>11</v>
      </c>
      <c r="H691" s="19"/>
      <c r="I691" s="2"/>
    </row>
    <row r="692" spans="1:9" ht="13.2" x14ac:dyDescent="0.3">
      <c r="A692" s="2"/>
      <c r="B692" s="15">
        <v>4</v>
      </c>
      <c r="C692" s="15">
        <v>2</v>
      </c>
      <c r="D692" s="16">
        <f t="shared" si="28"/>
        <v>17</v>
      </c>
      <c r="E692" s="17"/>
      <c r="F692" s="66"/>
      <c r="G692" s="18" t="s">
        <v>11</v>
      </c>
      <c r="H692" s="19"/>
      <c r="I692" s="2"/>
    </row>
    <row r="693" spans="1:9" ht="13.2" x14ac:dyDescent="0.3">
      <c r="A693" s="2"/>
      <c r="B693" s="15">
        <v>4</v>
      </c>
      <c r="C693" s="15">
        <v>2</v>
      </c>
      <c r="D693" s="16">
        <f t="shared" si="28"/>
        <v>18</v>
      </c>
      <c r="E693" s="17"/>
      <c r="F693" s="66"/>
      <c r="G693" s="18" t="s">
        <v>11</v>
      </c>
      <c r="H693" s="19"/>
      <c r="I693" s="2"/>
    </row>
    <row r="694" spans="1:9" ht="13.2" x14ac:dyDescent="0.3">
      <c r="A694" s="2"/>
      <c r="B694" s="15">
        <v>4</v>
      </c>
      <c r="C694" s="15">
        <v>2</v>
      </c>
      <c r="D694" s="16">
        <f t="shared" si="28"/>
        <v>19</v>
      </c>
      <c r="E694" s="17"/>
      <c r="F694" s="66"/>
      <c r="G694" s="18" t="s">
        <v>11</v>
      </c>
      <c r="H694" s="19"/>
      <c r="I694" s="2"/>
    </row>
    <row r="695" spans="1:9" ht="13.2" x14ac:dyDescent="0.3">
      <c r="A695" s="2"/>
      <c r="B695" s="15">
        <v>4</v>
      </c>
      <c r="C695" s="15">
        <v>2</v>
      </c>
      <c r="D695" s="16">
        <f t="shared" si="28"/>
        <v>20</v>
      </c>
      <c r="E695" s="17"/>
      <c r="F695" s="66"/>
      <c r="G695" s="18" t="s">
        <v>11</v>
      </c>
      <c r="H695" s="19"/>
      <c r="I695" s="2"/>
    </row>
    <row r="696" spans="1:9" ht="13.2" x14ac:dyDescent="0.3">
      <c r="A696" s="2"/>
      <c r="B696" s="15">
        <v>4</v>
      </c>
      <c r="C696" s="15">
        <v>2</v>
      </c>
      <c r="D696" s="16">
        <f t="shared" si="28"/>
        <v>21</v>
      </c>
      <c r="E696" s="17"/>
      <c r="F696" s="66"/>
      <c r="G696" s="18" t="s">
        <v>11</v>
      </c>
      <c r="H696" s="19"/>
      <c r="I696" s="2"/>
    </row>
    <row r="697" spans="1:9" ht="13.2" x14ac:dyDescent="0.3">
      <c r="A697" s="2"/>
      <c r="B697" s="15">
        <v>4</v>
      </c>
      <c r="C697" s="15">
        <v>2</v>
      </c>
      <c r="D697" s="16">
        <f t="shared" si="28"/>
        <v>22</v>
      </c>
      <c r="E697" s="17"/>
      <c r="F697" s="66"/>
      <c r="G697" s="18" t="s">
        <v>11</v>
      </c>
      <c r="H697" s="19"/>
      <c r="I697" s="2"/>
    </row>
    <row r="698" spans="1:9" ht="13.2" x14ac:dyDescent="0.3">
      <c r="A698" s="2"/>
      <c r="B698" s="15">
        <v>4</v>
      </c>
      <c r="C698" s="15">
        <v>2</v>
      </c>
      <c r="D698" s="16">
        <f t="shared" si="28"/>
        <v>23</v>
      </c>
      <c r="E698" s="17"/>
      <c r="F698" s="66"/>
      <c r="G698" s="18" t="s">
        <v>11</v>
      </c>
      <c r="H698" s="19"/>
      <c r="I698" s="2"/>
    </row>
    <row r="699" spans="1:9" ht="13.2" x14ac:dyDescent="0.3">
      <c r="A699" s="2"/>
      <c r="B699" s="15">
        <v>4</v>
      </c>
      <c r="C699" s="15">
        <v>2</v>
      </c>
      <c r="D699" s="16">
        <f t="shared" si="28"/>
        <v>24</v>
      </c>
      <c r="E699" s="17"/>
      <c r="F699" s="66"/>
      <c r="G699" s="18" t="s">
        <v>11</v>
      </c>
      <c r="H699" s="19"/>
      <c r="I699" s="2"/>
    </row>
    <row r="700" spans="1:9" ht="18.75" customHeight="1" x14ac:dyDescent="0.3">
      <c r="A700" s="2"/>
      <c r="B700" s="10" t="s">
        <v>30</v>
      </c>
      <c r="C700" s="11"/>
      <c r="D700" s="11"/>
      <c r="E700" s="12" t="str">
        <f>IF(B700=0,"",VLOOKUP(B700,Daten!$A$2:$B$56,2,FALSE))</f>
        <v>Schutzleitfaden-PC280</v>
      </c>
      <c r="F700" s="12" t="str">
        <f>VLOOKUP(E700,Daten!$B$2:$C$56,2,)</f>
        <v>Grundlegende Explosionsschutzmaßnahmen</v>
      </c>
      <c r="G700" s="13"/>
      <c r="H700" s="14"/>
      <c r="I700" s="2"/>
    </row>
    <row r="701" spans="1:9" ht="13.2" x14ac:dyDescent="0.3">
      <c r="A701" s="2"/>
      <c r="B701" s="15">
        <v>4</v>
      </c>
      <c r="C701" s="15">
        <v>3</v>
      </c>
      <c r="D701" s="16">
        <f>ROW(A701)-(ROW(A$700))</f>
        <v>1</v>
      </c>
      <c r="E701" s="17"/>
      <c r="F701" s="66"/>
      <c r="G701" s="18" t="s">
        <v>11</v>
      </c>
      <c r="H701" s="19"/>
      <c r="I701" s="2"/>
    </row>
    <row r="702" spans="1:9" ht="13.2" x14ac:dyDescent="0.3">
      <c r="A702" s="2"/>
      <c r="B702" s="15">
        <v>4</v>
      </c>
      <c r="C702" s="15">
        <v>3</v>
      </c>
      <c r="D702" s="16">
        <f t="shared" ref="D702:D724" si="29">ROW(A702)-(ROW(A$700))</f>
        <v>2</v>
      </c>
      <c r="E702" s="17"/>
      <c r="F702" s="66"/>
      <c r="G702" s="18" t="s">
        <v>11</v>
      </c>
      <c r="H702" s="19"/>
      <c r="I702" s="2"/>
    </row>
    <row r="703" spans="1:9" ht="13.2" x14ac:dyDescent="0.3">
      <c r="A703" s="2"/>
      <c r="B703" s="15">
        <v>4</v>
      </c>
      <c r="C703" s="15">
        <v>3</v>
      </c>
      <c r="D703" s="16">
        <f t="shared" si="29"/>
        <v>3</v>
      </c>
      <c r="E703" s="17"/>
      <c r="F703" s="66"/>
      <c r="G703" s="18" t="s">
        <v>11</v>
      </c>
      <c r="H703" s="19"/>
      <c r="I703" s="2"/>
    </row>
    <row r="704" spans="1:9" ht="13.2" x14ac:dyDescent="0.3">
      <c r="A704" s="2"/>
      <c r="B704" s="15">
        <v>4</v>
      </c>
      <c r="C704" s="15">
        <v>3</v>
      </c>
      <c r="D704" s="16">
        <f t="shared" si="29"/>
        <v>4</v>
      </c>
      <c r="E704" s="17"/>
      <c r="F704" s="66"/>
      <c r="G704" s="18" t="s">
        <v>11</v>
      </c>
      <c r="H704" s="19"/>
      <c r="I704" s="2"/>
    </row>
    <row r="705" spans="1:9" ht="13.2" x14ac:dyDescent="0.3">
      <c r="A705" s="2"/>
      <c r="B705" s="15">
        <v>4</v>
      </c>
      <c r="C705" s="15">
        <v>3</v>
      </c>
      <c r="D705" s="16">
        <f t="shared" si="29"/>
        <v>5</v>
      </c>
      <c r="E705" s="17"/>
      <c r="F705" s="66"/>
      <c r="G705" s="18" t="s">
        <v>11</v>
      </c>
      <c r="H705" s="19"/>
      <c r="I705" s="2"/>
    </row>
    <row r="706" spans="1:9" ht="13.2" x14ac:dyDescent="0.3">
      <c r="A706" s="2"/>
      <c r="B706" s="15">
        <v>4</v>
      </c>
      <c r="C706" s="15">
        <v>3</v>
      </c>
      <c r="D706" s="16">
        <f t="shared" si="29"/>
        <v>6</v>
      </c>
      <c r="E706" s="17"/>
      <c r="F706" s="66"/>
      <c r="G706" s="18" t="s">
        <v>11</v>
      </c>
      <c r="H706" s="19"/>
      <c r="I706" s="2"/>
    </row>
    <row r="707" spans="1:9" ht="13.2" x14ac:dyDescent="0.3">
      <c r="A707" s="2"/>
      <c r="B707" s="15">
        <v>4</v>
      </c>
      <c r="C707" s="15">
        <v>3</v>
      </c>
      <c r="D707" s="16">
        <f t="shared" si="29"/>
        <v>7</v>
      </c>
      <c r="E707" s="17"/>
      <c r="F707" s="66"/>
      <c r="G707" s="18" t="s">
        <v>11</v>
      </c>
      <c r="H707" s="19"/>
      <c r="I707" s="2"/>
    </row>
    <row r="708" spans="1:9" ht="13.2" x14ac:dyDescent="0.3">
      <c r="A708" s="2"/>
      <c r="B708" s="15">
        <v>4</v>
      </c>
      <c r="C708" s="15">
        <v>3</v>
      </c>
      <c r="D708" s="16">
        <f t="shared" si="29"/>
        <v>8</v>
      </c>
      <c r="E708" s="17"/>
      <c r="F708" s="66"/>
      <c r="G708" s="18" t="s">
        <v>11</v>
      </c>
      <c r="H708" s="19"/>
      <c r="I708" s="2"/>
    </row>
    <row r="709" spans="1:9" ht="13.2" x14ac:dyDescent="0.3">
      <c r="A709" s="2"/>
      <c r="B709" s="15">
        <v>4</v>
      </c>
      <c r="C709" s="15">
        <v>3</v>
      </c>
      <c r="D709" s="16">
        <f t="shared" si="29"/>
        <v>9</v>
      </c>
      <c r="E709" s="17"/>
      <c r="F709" s="66"/>
      <c r="G709" s="18" t="s">
        <v>11</v>
      </c>
      <c r="H709" s="19"/>
      <c r="I709" s="2"/>
    </row>
    <row r="710" spans="1:9" ht="13.2" x14ac:dyDescent="0.3">
      <c r="A710" s="2"/>
      <c r="B710" s="15">
        <v>4</v>
      </c>
      <c r="C710" s="15">
        <v>3</v>
      </c>
      <c r="D710" s="16">
        <f t="shared" si="29"/>
        <v>10</v>
      </c>
      <c r="E710" s="17"/>
      <c r="F710" s="66"/>
      <c r="G710" s="18" t="s">
        <v>11</v>
      </c>
      <c r="H710" s="19"/>
      <c r="I710" s="2"/>
    </row>
    <row r="711" spans="1:9" ht="13.2" x14ac:dyDescent="0.3">
      <c r="A711" s="2"/>
      <c r="B711" s="15">
        <v>4</v>
      </c>
      <c r="C711" s="15">
        <v>3</v>
      </c>
      <c r="D711" s="16">
        <f t="shared" si="29"/>
        <v>11</v>
      </c>
      <c r="E711" s="17"/>
      <c r="F711" s="66"/>
      <c r="G711" s="18" t="s">
        <v>11</v>
      </c>
      <c r="H711" s="19"/>
      <c r="I711" s="2"/>
    </row>
    <row r="712" spans="1:9" ht="13.2" x14ac:dyDescent="0.3">
      <c r="A712" s="2"/>
      <c r="B712" s="15">
        <v>4</v>
      </c>
      <c r="C712" s="15">
        <v>3</v>
      </c>
      <c r="D712" s="16">
        <f t="shared" si="29"/>
        <v>12</v>
      </c>
      <c r="E712" s="17"/>
      <c r="F712" s="66"/>
      <c r="G712" s="18" t="s">
        <v>11</v>
      </c>
      <c r="H712" s="19"/>
      <c r="I712" s="2"/>
    </row>
    <row r="713" spans="1:9" ht="13.2" x14ac:dyDescent="0.3">
      <c r="A713" s="2"/>
      <c r="B713" s="15">
        <v>4</v>
      </c>
      <c r="C713" s="15">
        <v>3</v>
      </c>
      <c r="D713" s="16">
        <f t="shared" si="29"/>
        <v>13</v>
      </c>
      <c r="E713" s="17"/>
      <c r="F713" s="66"/>
      <c r="G713" s="18" t="s">
        <v>11</v>
      </c>
      <c r="H713" s="19"/>
      <c r="I713" s="2"/>
    </row>
    <row r="714" spans="1:9" ht="13.2" x14ac:dyDescent="0.3">
      <c r="A714" s="2"/>
      <c r="B714" s="15">
        <v>4</v>
      </c>
      <c r="C714" s="15">
        <v>3</v>
      </c>
      <c r="D714" s="16">
        <f t="shared" si="29"/>
        <v>14</v>
      </c>
      <c r="E714" s="17"/>
      <c r="F714" s="66"/>
      <c r="G714" s="18" t="s">
        <v>11</v>
      </c>
      <c r="H714" s="19"/>
      <c r="I714" s="2"/>
    </row>
    <row r="715" spans="1:9" ht="13.2" x14ac:dyDescent="0.3">
      <c r="A715" s="2"/>
      <c r="B715" s="15">
        <v>4</v>
      </c>
      <c r="C715" s="15">
        <v>3</v>
      </c>
      <c r="D715" s="16">
        <f t="shared" si="29"/>
        <v>15</v>
      </c>
      <c r="E715" s="17"/>
      <c r="F715" s="66"/>
      <c r="G715" s="18" t="s">
        <v>11</v>
      </c>
      <c r="H715" s="19"/>
      <c r="I715" s="2"/>
    </row>
    <row r="716" spans="1:9" ht="13.2" x14ac:dyDescent="0.3">
      <c r="A716" s="2"/>
      <c r="B716" s="15">
        <v>4</v>
      </c>
      <c r="C716" s="15">
        <v>3</v>
      </c>
      <c r="D716" s="16">
        <f t="shared" si="29"/>
        <v>16</v>
      </c>
      <c r="E716" s="17"/>
      <c r="F716" s="66"/>
      <c r="G716" s="18" t="s">
        <v>11</v>
      </c>
      <c r="H716" s="19"/>
      <c r="I716" s="2"/>
    </row>
    <row r="717" spans="1:9" ht="13.2" x14ac:dyDescent="0.3">
      <c r="A717" s="2"/>
      <c r="B717" s="15">
        <v>4</v>
      </c>
      <c r="C717" s="15">
        <v>3</v>
      </c>
      <c r="D717" s="16">
        <f t="shared" si="29"/>
        <v>17</v>
      </c>
      <c r="E717" s="17"/>
      <c r="F717" s="66"/>
      <c r="G717" s="18" t="s">
        <v>11</v>
      </c>
      <c r="H717" s="19"/>
      <c r="I717" s="2"/>
    </row>
    <row r="718" spans="1:9" ht="13.2" x14ac:dyDescent="0.3">
      <c r="A718" s="2"/>
      <c r="B718" s="15">
        <v>4</v>
      </c>
      <c r="C718" s="15">
        <v>3</v>
      </c>
      <c r="D718" s="16">
        <f t="shared" si="29"/>
        <v>18</v>
      </c>
      <c r="E718" s="17"/>
      <c r="F718" s="66"/>
      <c r="G718" s="18" t="s">
        <v>11</v>
      </c>
      <c r="H718" s="19"/>
      <c r="I718" s="2"/>
    </row>
    <row r="719" spans="1:9" ht="13.2" x14ac:dyDescent="0.3">
      <c r="A719" s="2"/>
      <c r="B719" s="15">
        <v>4</v>
      </c>
      <c r="C719" s="15">
        <v>3</v>
      </c>
      <c r="D719" s="16">
        <f t="shared" si="29"/>
        <v>19</v>
      </c>
      <c r="E719" s="17"/>
      <c r="F719" s="66"/>
      <c r="G719" s="18" t="s">
        <v>11</v>
      </c>
      <c r="H719" s="19"/>
      <c r="I719" s="2"/>
    </row>
    <row r="720" spans="1:9" ht="13.2" x14ac:dyDescent="0.3">
      <c r="A720" s="2"/>
      <c r="B720" s="15">
        <v>4</v>
      </c>
      <c r="C720" s="15">
        <v>3</v>
      </c>
      <c r="D720" s="16">
        <f t="shared" si="29"/>
        <v>20</v>
      </c>
      <c r="E720" s="17"/>
      <c r="F720" s="66"/>
      <c r="G720" s="18" t="s">
        <v>11</v>
      </c>
      <c r="H720" s="19"/>
      <c r="I720" s="2"/>
    </row>
    <row r="721" spans="1:9" ht="13.2" x14ac:dyDescent="0.3">
      <c r="A721" s="2"/>
      <c r="B721" s="15">
        <v>4</v>
      </c>
      <c r="C721" s="15">
        <v>3</v>
      </c>
      <c r="D721" s="16">
        <f t="shared" si="29"/>
        <v>21</v>
      </c>
      <c r="E721" s="17"/>
      <c r="F721" s="66"/>
      <c r="G721" s="18" t="s">
        <v>11</v>
      </c>
      <c r="H721" s="19"/>
      <c r="I721" s="2"/>
    </row>
    <row r="722" spans="1:9" ht="13.2" x14ac:dyDescent="0.3">
      <c r="A722" s="2"/>
      <c r="B722" s="15">
        <v>4</v>
      </c>
      <c r="C722" s="15">
        <v>3</v>
      </c>
      <c r="D722" s="16">
        <f t="shared" si="29"/>
        <v>22</v>
      </c>
      <c r="E722" s="17"/>
      <c r="F722" s="66"/>
      <c r="G722" s="18" t="s">
        <v>11</v>
      </c>
      <c r="H722" s="19"/>
      <c r="I722" s="2"/>
    </row>
    <row r="723" spans="1:9" ht="13.2" x14ac:dyDescent="0.3">
      <c r="A723" s="2"/>
      <c r="B723" s="15">
        <v>4</v>
      </c>
      <c r="C723" s="15">
        <v>3</v>
      </c>
      <c r="D723" s="16">
        <f t="shared" si="29"/>
        <v>23</v>
      </c>
      <c r="E723" s="17"/>
      <c r="F723" s="66"/>
      <c r="G723" s="18" t="s">
        <v>11</v>
      </c>
      <c r="H723" s="19"/>
      <c r="I723" s="2"/>
    </row>
    <row r="724" spans="1:9" ht="13.2" x14ac:dyDescent="0.3">
      <c r="A724" s="2"/>
      <c r="B724" s="15">
        <v>4</v>
      </c>
      <c r="C724" s="15">
        <v>3</v>
      </c>
      <c r="D724" s="16">
        <f t="shared" si="29"/>
        <v>24</v>
      </c>
      <c r="E724" s="17"/>
      <c r="F724" s="66"/>
      <c r="G724" s="18" t="s">
        <v>11</v>
      </c>
      <c r="H724" s="19"/>
      <c r="I724" s="2"/>
    </row>
    <row r="725" spans="1:9" ht="18.75" customHeight="1" x14ac:dyDescent="0.3">
      <c r="A725" s="2"/>
      <c r="B725" s="10" t="s">
        <v>31</v>
      </c>
      <c r="C725" s="11"/>
      <c r="D725" s="11"/>
      <c r="E725" s="12" t="str">
        <f>IF(B725=0,"",VLOOKUP(B725,Daten!$A$2:$B$56,2,FALSE))</f>
        <v>Schutzleitfaden-PC281</v>
      </c>
      <c r="F725" s="12" t="str">
        <f>VLOOKUP(E725,Daten!$B$2:$C$56,2,)</f>
        <v>Brennbare Flüssigkeiten umfüllen und abfüllen</v>
      </c>
      <c r="G725" s="13"/>
      <c r="H725" s="14"/>
      <c r="I725" s="2"/>
    </row>
    <row r="726" spans="1:9" ht="13.2" x14ac:dyDescent="0.3">
      <c r="A726" s="2"/>
      <c r="B726" s="15">
        <v>4</v>
      </c>
      <c r="C726" s="15">
        <v>4</v>
      </c>
      <c r="D726" s="16">
        <f>ROW(A726)-(ROW(A$725))</f>
        <v>1</v>
      </c>
      <c r="E726" s="17"/>
      <c r="F726" s="66"/>
      <c r="G726" s="18" t="s">
        <v>11</v>
      </c>
      <c r="H726" s="19"/>
      <c r="I726" s="2"/>
    </row>
    <row r="727" spans="1:9" ht="13.2" x14ac:dyDescent="0.3">
      <c r="A727" s="2"/>
      <c r="B727" s="15">
        <v>4</v>
      </c>
      <c r="C727" s="15">
        <v>4</v>
      </c>
      <c r="D727" s="16">
        <f t="shared" ref="D727:D749" si="30">ROW(A727)-(ROW(A$725))</f>
        <v>2</v>
      </c>
      <c r="E727" s="17"/>
      <c r="F727" s="66"/>
      <c r="G727" s="18" t="s">
        <v>11</v>
      </c>
      <c r="H727" s="19"/>
      <c r="I727" s="2"/>
    </row>
    <row r="728" spans="1:9" ht="13.2" x14ac:dyDescent="0.3">
      <c r="A728" s="2"/>
      <c r="B728" s="15">
        <v>4</v>
      </c>
      <c r="C728" s="15">
        <v>4</v>
      </c>
      <c r="D728" s="16">
        <f t="shared" si="30"/>
        <v>3</v>
      </c>
      <c r="E728" s="17"/>
      <c r="F728" s="66"/>
      <c r="G728" s="18" t="s">
        <v>11</v>
      </c>
      <c r="H728" s="19"/>
      <c r="I728" s="2"/>
    </row>
    <row r="729" spans="1:9" ht="13.2" x14ac:dyDescent="0.3">
      <c r="A729" s="2"/>
      <c r="B729" s="15">
        <v>4</v>
      </c>
      <c r="C729" s="15">
        <v>4</v>
      </c>
      <c r="D729" s="16">
        <f t="shared" si="30"/>
        <v>4</v>
      </c>
      <c r="E729" s="17"/>
      <c r="F729" s="66"/>
      <c r="G729" s="18" t="s">
        <v>11</v>
      </c>
      <c r="H729" s="19"/>
      <c r="I729" s="2"/>
    </row>
    <row r="730" spans="1:9" ht="13.2" x14ac:dyDescent="0.3">
      <c r="A730" s="2"/>
      <c r="B730" s="15">
        <v>4</v>
      </c>
      <c r="C730" s="15">
        <v>4</v>
      </c>
      <c r="D730" s="16">
        <f t="shared" si="30"/>
        <v>5</v>
      </c>
      <c r="E730" s="17"/>
      <c r="F730" s="66"/>
      <c r="G730" s="18" t="s">
        <v>11</v>
      </c>
      <c r="H730" s="19"/>
      <c r="I730" s="2"/>
    </row>
    <row r="731" spans="1:9" ht="13.2" x14ac:dyDescent="0.3">
      <c r="A731" s="2"/>
      <c r="B731" s="15">
        <v>4</v>
      </c>
      <c r="C731" s="15">
        <v>4</v>
      </c>
      <c r="D731" s="16">
        <f t="shared" si="30"/>
        <v>6</v>
      </c>
      <c r="E731" s="17"/>
      <c r="F731" s="66"/>
      <c r="G731" s="18" t="s">
        <v>11</v>
      </c>
      <c r="H731" s="19"/>
      <c r="I731" s="2"/>
    </row>
    <row r="732" spans="1:9" ht="13.2" x14ac:dyDescent="0.3">
      <c r="A732" s="2"/>
      <c r="B732" s="15">
        <v>4</v>
      </c>
      <c r="C732" s="15">
        <v>4</v>
      </c>
      <c r="D732" s="16">
        <f t="shared" si="30"/>
        <v>7</v>
      </c>
      <c r="E732" s="17"/>
      <c r="F732" s="66"/>
      <c r="G732" s="18" t="s">
        <v>11</v>
      </c>
      <c r="H732" s="19"/>
      <c r="I732" s="2"/>
    </row>
    <row r="733" spans="1:9" ht="13.2" x14ac:dyDescent="0.3">
      <c r="A733" s="2"/>
      <c r="B733" s="15">
        <v>4</v>
      </c>
      <c r="C733" s="15">
        <v>4</v>
      </c>
      <c r="D733" s="16">
        <f t="shared" si="30"/>
        <v>8</v>
      </c>
      <c r="E733" s="17"/>
      <c r="F733" s="66"/>
      <c r="G733" s="18" t="s">
        <v>11</v>
      </c>
      <c r="H733" s="19"/>
      <c r="I733" s="2"/>
    </row>
    <row r="734" spans="1:9" ht="13.2" x14ac:dyDescent="0.3">
      <c r="A734" s="2"/>
      <c r="B734" s="15">
        <v>4</v>
      </c>
      <c r="C734" s="15">
        <v>4</v>
      </c>
      <c r="D734" s="16">
        <f t="shared" si="30"/>
        <v>9</v>
      </c>
      <c r="E734" s="17"/>
      <c r="F734" s="66"/>
      <c r="G734" s="18" t="s">
        <v>11</v>
      </c>
      <c r="H734" s="19"/>
      <c r="I734" s="2"/>
    </row>
    <row r="735" spans="1:9" ht="13.2" x14ac:dyDescent="0.3">
      <c r="A735" s="2"/>
      <c r="B735" s="15">
        <v>4</v>
      </c>
      <c r="C735" s="15">
        <v>4</v>
      </c>
      <c r="D735" s="16">
        <f t="shared" si="30"/>
        <v>10</v>
      </c>
      <c r="E735" s="17"/>
      <c r="F735" s="66"/>
      <c r="G735" s="18" t="s">
        <v>11</v>
      </c>
      <c r="H735" s="19"/>
      <c r="I735" s="2"/>
    </row>
    <row r="736" spans="1:9" ht="13.2" x14ac:dyDescent="0.3">
      <c r="A736" s="2"/>
      <c r="B736" s="15">
        <v>4</v>
      </c>
      <c r="C736" s="15">
        <v>4</v>
      </c>
      <c r="D736" s="16">
        <f t="shared" si="30"/>
        <v>11</v>
      </c>
      <c r="E736" s="17"/>
      <c r="F736" s="66"/>
      <c r="G736" s="18" t="s">
        <v>11</v>
      </c>
      <c r="H736" s="19"/>
      <c r="I736" s="2"/>
    </row>
    <row r="737" spans="1:9" ht="13.2" x14ac:dyDescent="0.3">
      <c r="A737" s="2"/>
      <c r="B737" s="15">
        <v>4</v>
      </c>
      <c r="C737" s="15">
        <v>4</v>
      </c>
      <c r="D737" s="16">
        <f t="shared" si="30"/>
        <v>12</v>
      </c>
      <c r="E737" s="17"/>
      <c r="F737" s="66"/>
      <c r="G737" s="18" t="s">
        <v>11</v>
      </c>
      <c r="H737" s="19"/>
      <c r="I737" s="2"/>
    </row>
    <row r="738" spans="1:9" ht="13.2" x14ac:dyDescent="0.3">
      <c r="A738" s="2"/>
      <c r="B738" s="15">
        <v>4</v>
      </c>
      <c r="C738" s="15">
        <v>4</v>
      </c>
      <c r="D738" s="16">
        <f t="shared" si="30"/>
        <v>13</v>
      </c>
      <c r="E738" s="17"/>
      <c r="F738" s="66"/>
      <c r="G738" s="18" t="s">
        <v>11</v>
      </c>
      <c r="H738" s="19"/>
      <c r="I738" s="2"/>
    </row>
    <row r="739" spans="1:9" ht="13.2" x14ac:dyDescent="0.3">
      <c r="A739" s="2"/>
      <c r="B739" s="15">
        <v>4</v>
      </c>
      <c r="C739" s="15">
        <v>4</v>
      </c>
      <c r="D739" s="16">
        <f t="shared" si="30"/>
        <v>14</v>
      </c>
      <c r="E739" s="17"/>
      <c r="F739" s="66"/>
      <c r="G739" s="18" t="s">
        <v>11</v>
      </c>
      <c r="H739" s="19"/>
      <c r="I739" s="2"/>
    </row>
    <row r="740" spans="1:9" ht="13.2" x14ac:dyDescent="0.3">
      <c r="A740" s="2"/>
      <c r="B740" s="15">
        <v>4</v>
      </c>
      <c r="C740" s="15">
        <v>4</v>
      </c>
      <c r="D740" s="16">
        <f t="shared" si="30"/>
        <v>15</v>
      </c>
      <c r="E740" s="17"/>
      <c r="F740" s="66"/>
      <c r="G740" s="18" t="s">
        <v>11</v>
      </c>
      <c r="H740" s="19"/>
      <c r="I740" s="2"/>
    </row>
    <row r="741" spans="1:9" ht="13.2" x14ac:dyDescent="0.3">
      <c r="A741" s="2"/>
      <c r="B741" s="15">
        <v>4</v>
      </c>
      <c r="C741" s="15">
        <v>4</v>
      </c>
      <c r="D741" s="16">
        <f t="shared" si="30"/>
        <v>16</v>
      </c>
      <c r="E741" s="17"/>
      <c r="F741" s="66"/>
      <c r="G741" s="18" t="s">
        <v>11</v>
      </c>
      <c r="H741" s="19"/>
      <c r="I741" s="2"/>
    </row>
    <row r="742" spans="1:9" ht="13.2" x14ac:dyDescent="0.3">
      <c r="A742" s="2"/>
      <c r="B742" s="15">
        <v>4</v>
      </c>
      <c r="C742" s="15">
        <v>4</v>
      </c>
      <c r="D742" s="16">
        <f t="shared" si="30"/>
        <v>17</v>
      </c>
      <c r="E742" s="17"/>
      <c r="F742" s="66"/>
      <c r="G742" s="18" t="s">
        <v>11</v>
      </c>
      <c r="H742" s="19"/>
      <c r="I742" s="2"/>
    </row>
    <row r="743" spans="1:9" ht="13.2" x14ac:dyDescent="0.3">
      <c r="A743" s="2"/>
      <c r="B743" s="15">
        <v>4</v>
      </c>
      <c r="C743" s="15">
        <v>4</v>
      </c>
      <c r="D743" s="16">
        <f t="shared" si="30"/>
        <v>18</v>
      </c>
      <c r="E743" s="17"/>
      <c r="F743" s="66"/>
      <c r="G743" s="18" t="s">
        <v>11</v>
      </c>
      <c r="H743" s="19"/>
      <c r="I743" s="2"/>
    </row>
    <row r="744" spans="1:9" ht="13.2" x14ac:dyDescent="0.3">
      <c r="A744" s="2"/>
      <c r="B744" s="15">
        <v>4</v>
      </c>
      <c r="C744" s="15">
        <v>4</v>
      </c>
      <c r="D744" s="16">
        <f t="shared" si="30"/>
        <v>19</v>
      </c>
      <c r="E744" s="17"/>
      <c r="F744" s="66"/>
      <c r="G744" s="18" t="s">
        <v>11</v>
      </c>
      <c r="H744" s="19"/>
      <c r="I744" s="2"/>
    </row>
    <row r="745" spans="1:9" ht="13.2" x14ac:dyDescent="0.3">
      <c r="A745" s="2"/>
      <c r="B745" s="15">
        <v>4</v>
      </c>
      <c r="C745" s="15">
        <v>4</v>
      </c>
      <c r="D745" s="16">
        <f t="shared" si="30"/>
        <v>20</v>
      </c>
      <c r="E745" s="17"/>
      <c r="F745" s="66"/>
      <c r="G745" s="18" t="s">
        <v>11</v>
      </c>
      <c r="H745" s="19"/>
      <c r="I745" s="2"/>
    </row>
    <row r="746" spans="1:9" ht="13.2" x14ac:dyDescent="0.3">
      <c r="A746" s="2"/>
      <c r="B746" s="15">
        <v>4</v>
      </c>
      <c r="C746" s="15">
        <v>4</v>
      </c>
      <c r="D746" s="16">
        <f t="shared" si="30"/>
        <v>21</v>
      </c>
      <c r="E746" s="17"/>
      <c r="F746" s="66"/>
      <c r="G746" s="18" t="s">
        <v>11</v>
      </c>
      <c r="H746" s="19"/>
      <c r="I746" s="2"/>
    </row>
    <row r="747" spans="1:9" ht="13.2" x14ac:dyDescent="0.3">
      <c r="A747" s="2"/>
      <c r="B747" s="15">
        <v>4</v>
      </c>
      <c r="C747" s="15">
        <v>4</v>
      </c>
      <c r="D747" s="16">
        <f t="shared" si="30"/>
        <v>22</v>
      </c>
      <c r="E747" s="17"/>
      <c r="F747" s="66"/>
      <c r="G747" s="18" t="s">
        <v>11</v>
      </c>
      <c r="H747" s="19"/>
      <c r="I747" s="2"/>
    </row>
    <row r="748" spans="1:9" ht="13.2" x14ac:dyDescent="0.3">
      <c r="A748" s="2"/>
      <c r="B748" s="15">
        <v>4</v>
      </c>
      <c r="C748" s="15">
        <v>4</v>
      </c>
      <c r="D748" s="16">
        <f t="shared" si="30"/>
        <v>23</v>
      </c>
      <c r="E748" s="17"/>
      <c r="F748" s="66"/>
      <c r="G748" s="18" t="s">
        <v>11</v>
      </c>
      <c r="H748" s="19"/>
      <c r="I748" s="2"/>
    </row>
    <row r="749" spans="1:9" ht="13.2" x14ac:dyDescent="0.3">
      <c r="A749" s="2"/>
      <c r="B749" s="15">
        <v>4</v>
      </c>
      <c r="C749" s="15">
        <v>4</v>
      </c>
      <c r="D749" s="16">
        <f t="shared" si="30"/>
        <v>24</v>
      </c>
      <c r="E749" s="17"/>
      <c r="F749" s="66"/>
      <c r="G749" s="18" t="s">
        <v>11</v>
      </c>
      <c r="H749" s="19"/>
      <c r="I749" s="2"/>
    </row>
    <row r="750" spans="1:9" ht="18.75" customHeight="1" x14ac:dyDescent="0.3">
      <c r="A750" s="2"/>
      <c r="B750" s="10" t="s">
        <v>1081</v>
      </c>
      <c r="C750" s="11"/>
      <c r="D750" s="11"/>
      <c r="E750" s="12" t="str">
        <f>IF(B750=0,"",VLOOKUP(B750,Daten!$A$2:$B$56,2,FALSE))</f>
        <v>Schutzleitfaden-PC282</v>
      </c>
      <c r="F750" s="12" t="str">
        <f>VLOOKUP(E750,Daten!$B$2:$C$56,2,)</f>
        <v>Lackierarbeiten, Spritz- und Beschichtungsverfahren</v>
      </c>
      <c r="G750" s="13"/>
      <c r="H750" s="14"/>
      <c r="I750" s="2"/>
    </row>
    <row r="751" spans="1:9" ht="129.6" x14ac:dyDescent="0.3">
      <c r="A751" s="2"/>
      <c r="B751" s="15">
        <v>4</v>
      </c>
      <c r="C751" s="15">
        <v>6</v>
      </c>
      <c r="D751" s="16">
        <f>ROW(A751)-(ROW(A$750))</f>
        <v>1</v>
      </c>
      <c r="E751" s="17" t="s">
        <v>979</v>
      </c>
      <c r="F751" s="66" t="s">
        <v>980</v>
      </c>
      <c r="G751" s="18" t="s">
        <v>11</v>
      </c>
      <c r="H751" s="19"/>
      <c r="I751" s="2"/>
    </row>
    <row r="752" spans="1:9" ht="32.4" x14ac:dyDescent="0.3">
      <c r="A752" s="2"/>
      <c r="B752" s="15">
        <v>4</v>
      </c>
      <c r="C752" s="15">
        <v>6</v>
      </c>
      <c r="D752" s="16">
        <f t="shared" ref="D752:D766" si="31">ROW(A752)-(ROW(A$750))</f>
        <v>2</v>
      </c>
      <c r="E752" s="17" t="s">
        <v>1053</v>
      </c>
      <c r="F752" s="66" t="s">
        <v>1052</v>
      </c>
      <c r="G752" s="18" t="s">
        <v>11</v>
      </c>
      <c r="H752" s="19"/>
      <c r="I752" s="2"/>
    </row>
    <row r="753" spans="1:9" ht="129.6" x14ac:dyDescent="0.3">
      <c r="A753" s="2"/>
      <c r="B753" s="15">
        <v>4</v>
      </c>
      <c r="C753" s="15">
        <v>6</v>
      </c>
      <c r="D753" s="16">
        <f t="shared" si="31"/>
        <v>3</v>
      </c>
      <c r="E753" s="17" t="s">
        <v>1055</v>
      </c>
      <c r="F753" s="66" t="s">
        <v>1054</v>
      </c>
      <c r="G753" s="18" t="s">
        <v>11</v>
      </c>
      <c r="H753" s="19"/>
      <c r="I753" s="2"/>
    </row>
    <row r="754" spans="1:9" ht="54" x14ac:dyDescent="0.3">
      <c r="A754" s="2"/>
      <c r="B754" s="15">
        <v>4</v>
      </c>
      <c r="C754" s="15">
        <v>6</v>
      </c>
      <c r="D754" s="16">
        <f t="shared" si="31"/>
        <v>4</v>
      </c>
      <c r="E754" s="17" t="s">
        <v>1057</v>
      </c>
      <c r="F754" s="66" t="s">
        <v>1056</v>
      </c>
      <c r="G754" s="18" t="s">
        <v>11</v>
      </c>
      <c r="H754" s="19"/>
      <c r="I754" s="2"/>
    </row>
    <row r="755" spans="1:9" ht="21.6" x14ac:dyDescent="0.3">
      <c r="A755" s="2"/>
      <c r="B755" s="15">
        <v>4</v>
      </c>
      <c r="C755" s="15">
        <v>6</v>
      </c>
      <c r="D755" s="16">
        <f t="shared" si="31"/>
        <v>5</v>
      </c>
      <c r="E755" s="17" t="s">
        <v>1059</v>
      </c>
      <c r="F755" s="66" t="s">
        <v>1058</v>
      </c>
      <c r="G755" s="18" t="s">
        <v>11</v>
      </c>
      <c r="H755" s="19"/>
      <c r="I755" s="2"/>
    </row>
    <row r="756" spans="1:9" ht="54" x14ac:dyDescent="0.3">
      <c r="A756" s="2"/>
      <c r="B756" s="15">
        <v>4</v>
      </c>
      <c r="C756" s="15">
        <v>6</v>
      </c>
      <c r="D756" s="16">
        <f t="shared" si="31"/>
        <v>6</v>
      </c>
      <c r="E756" s="17" t="s">
        <v>1060</v>
      </c>
      <c r="F756" s="66" t="s">
        <v>1061</v>
      </c>
      <c r="G756" s="18" t="s">
        <v>11</v>
      </c>
      <c r="H756" s="19"/>
      <c r="I756" s="2"/>
    </row>
    <row r="757" spans="1:9" ht="21.6" x14ac:dyDescent="0.3">
      <c r="A757" s="2"/>
      <c r="B757" s="15">
        <v>4</v>
      </c>
      <c r="C757" s="15">
        <v>6</v>
      </c>
      <c r="D757" s="16">
        <f t="shared" si="31"/>
        <v>7</v>
      </c>
      <c r="E757" s="17" t="s">
        <v>1063</v>
      </c>
      <c r="F757" s="66" t="s">
        <v>1062</v>
      </c>
      <c r="G757" s="18" t="s">
        <v>11</v>
      </c>
      <c r="H757" s="19"/>
      <c r="I757" s="2"/>
    </row>
    <row r="758" spans="1:9" ht="86.4" x14ac:dyDescent="0.3">
      <c r="A758" s="2"/>
      <c r="B758" s="15">
        <v>4</v>
      </c>
      <c r="C758" s="15">
        <v>6</v>
      </c>
      <c r="D758" s="16">
        <f t="shared" si="31"/>
        <v>8</v>
      </c>
      <c r="E758" s="17" t="s">
        <v>1065</v>
      </c>
      <c r="F758" s="66" t="s">
        <v>1064</v>
      </c>
      <c r="G758" s="18" t="s">
        <v>11</v>
      </c>
      <c r="H758" s="19"/>
      <c r="I758" s="2"/>
    </row>
    <row r="759" spans="1:9" ht="32.4" x14ac:dyDescent="0.3">
      <c r="A759" s="2"/>
      <c r="B759" s="15">
        <v>4</v>
      </c>
      <c r="C759" s="15">
        <v>6</v>
      </c>
      <c r="D759" s="16">
        <f t="shared" si="31"/>
        <v>9</v>
      </c>
      <c r="E759" s="17" t="s">
        <v>1067</v>
      </c>
      <c r="F759" s="66" t="s">
        <v>1066</v>
      </c>
      <c r="G759" s="18" t="s">
        <v>11</v>
      </c>
      <c r="H759" s="19"/>
      <c r="I759" s="2"/>
    </row>
    <row r="760" spans="1:9" ht="21.6" x14ac:dyDescent="0.3">
      <c r="A760" s="2"/>
      <c r="B760" s="15">
        <v>4</v>
      </c>
      <c r="C760" s="15">
        <v>6</v>
      </c>
      <c r="D760" s="16">
        <f t="shared" si="31"/>
        <v>10</v>
      </c>
      <c r="E760" s="17" t="s">
        <v>1069</v>
      </c>
      <c r="F760" s="66" t="s">
        <v>1068</v>
      </c>
      <c r="G760" s="18" t="s">
        <v>11</v>
      </c>
      <c r="H760" s="19"/>
      <c r="I760" s="2"/>
    </row>
    <row r="761" spans="1:9" ht="21.6" x14ac:dyDescent="0.3">
      <c r="A761" s="2"/>
      <c r="B761" s="15">
        <v>4</v>
      </c>
      <c r="C761" s="15">
        <v>6</v>
      </c>
      <c r="D761" s="16">
        <f t="shared" si="31"/>
        <v>11</v>
      </c>
      <c r="E761" s="17" t="s">
        <v>1071</v>
      </c>
      <c r="F761" s="66" t="s">
        <v>1070</v>
      </c>
      <c r="G761" s="18" t="s">
        <v>11</v>
      </c>
      <c r="H761" s="19"/>
      <c r="I761" s="2"/>
    </row>
    <row r="762" spans="1:9" ht="43.2" x14ac:dyDescent="0.3">
      <c r="A762" s="2"/>
      <c r="B762" s="15">
        <v>4</v>
      </c>
      <c r="C762" s="15">
        <v>6</v>
      </c>
      <c r="D762" s="16">
        <f t="shared" si="31"/>
        <v>12</v>
      </c>
      <c r="E762" s="17" t="s">
        <v>1073</v>
      </c>
      <c r="F762" s="66" t="s">
        <v>1072</v>
      </c>
      <c r="G762" s="18" t="s">
        <v>11</v>
      </c>
      <c r="H762" s="19"/>
      <c r="I762" s="2"/>
    </row>
    <row r="763" spans="1:9" ht="43.2" x14ac:dyDescent="0.3">
      <c r="A763" s="2"/>
      <c r="B763" s="15">
        <v>4</v>
      </c>
      <c r="C763" s="15">
        <v>6</v>
      </c>
      <c r="D763" s="16">
        <f t="shared" si="31"/>
        <v>13</v>
      </c>
      <c r="E763" s="17" t="s">
        <v>1075</v>
      </c>
      <c r="F763" s="66" t="s">
        <v>1074</v>
      </c>
      <c r="G763" s="18" t="s">
        <v>11</v>
      </c>
      <c r="H763" s="19"/>
      <c r="I763" s="2"/>
    </row>
    <row r="764" spans="1:9" ht="54" x14ac:dyDescent="0.3">
      <c r="A764" s="2"/>
      <c r="B764" s="15">
        <v>4</v>
      </c>
      <c r="C764" s="15">
        <v>6</v>
      </c>
      <c r="D764" s="16">
        <f t="shared" si="31"/>
        <v>14</v>
      </c>
      <c r="E764" s="17" t="s">
        <v>1077</v>
      </c>
      <c r="F764" s="66" t="s">
        <v>1076</v>
      </c>
      <c r="G764" s="18" t="s">
        <v>11</v>
      </c>
      <c r="H764" s="19"/>
      <c r="I764" s="2"/>
    </row>
    <row r="765" spans="1:9" ht="64.8" x14ac:dyDescent="0.3">
      <c r="A765" s="2"/>
      <c r="B765" s="15">
        <v>4</v>
      </c>
      <c r="C765" s="15">
        <v>6</v>
      </c>
      <c r="D765" s="16">
        <f t="shared" si="31"/>
        <v>15</v>
      </c>
      <c r="E765" s="17" t="s">
        <v>1079</v>
      </c>
      <c r="F765" s="66" t="s">
        <v>1078</v>
      </c>
      <c r="G765" s="18" t="s">
        <v>11</v>
      </c>
      <c r="H765" s="19"/>
      <c r="I765" s="2"/>
    </row>
    <row r="766" spans="1:9" ht="313.2" x14ac:dyDescent="0.3">
      <c r="A766" s="2"/>
      <c r="B766" s="15">
        <v>4</v>
      </c>
      <c r="C766" s="15">
        <v>6</v>
      </c>
      <c r="D766" s="16">
        <f t="shared" si="31"/>
        <v>16</v>
      </c>
      <c r="E766" s="17" t="s">
        <v>920</v>
      </c>
      <c r="F766" s="66" t="s">
        <v>921</v>
      </c>
      <c r="G766" s="18" t="s">
        <v>11</v>
      </c>
      <c r="H766" s="19"/>
      <c r="I766" s="2"/>
    </row>
    <row r="767" spans="1:9" ht="18.75" customHeight="1" x14ac:dyDescent="0.3">
      <c r="A767" s="2"/>
      <c r="B767" s="5" t="s">
        <v>41</v>
      </c>
      <c r="C767" s="6"/>
      <c r="D767" s="6"/>
      <c r="E767" s="7" t="str">
        <f>IF(B767=0,"",VLOOKUP(B767,Daten!$A$2:$B$56,2,FALSE))</f>
        <v>Maßnahmenstufe 3a</v>
      </c>
      <c r="F767" s="7">
        <f>VLOOKUP(E767,Daten!$B$2:$C$56,2,)</f>
        <v>0</v>
      </c>
      <c r="G767" s="8"/>
      <c r="H767" s="9"/>
      <c r="I767" s="2"/>
    </row>
    <row r="768" spans="1:9" ht="18.75" customHeight="1" x14ac:dyDescent="0.3">
      <c r="A768" s="2"/>
      <c r="B768" s="10" t="s">
        <v>32</v>
      </c>
      <c r="C768" s="11"/>
      <c r="D768" s="11"/>
      <c r="E768" s="12" t="str">
        <f>IF(B768=0,"",VLOOKUP(B768,Daten!$A$2:$B$56,2,FALSE))</f>
        <v>Schutzleitfaden-300</v>
      </c>
      <c r="F768" s="12" t="str">
        <f>VLOOKUP(E768,Daten!$B$2:$C$56,2,)</f>
        <v>Geschlossenes System</v>
      </c>
      <c r="G768" s="13"/>
      <c r="H768" s="14"/>
      <c r="I768" s="2"/>
    </row>
    <row r="769" spans="1:9" ht="21.6" x14ac:dyDescent="0.3">
      <c r="A769" s="2"/>
      <c r="B769" s="15">
        <v>5</v>
      </c>
      <c r="C769" s="20" t="s">
        <v>9</v>
      </c>
      <c r="D769" s="16">
        <f>ROW(A769)-(ROW(A$768))</f>
        <v>1</v>
      </c>
      <c r="E769" s="17" t="s">
        <v>1004</v>
      </c>
      <c r="F769" s="66" t="s">
        <v>1003</v>
      </c>
      <c r="G769" s="18" t="s">
        <v>11</v>
      </c>
      <c r="H769" s="19"/>
      <c r="I769" s="2"/>
    </row>
    <row r="770" spans="1:9" ht="54" x14ac:dyDescent="0.3">
      <c r="A770" s="2"/>
      <c r="B770" s="15">
        <v>5</v>
      </c>
      <c r="C770" s="20" t="s">
        <v>9</v>
      </c>
      <c r="D770" s="16">
        <f t="shared" ref="D770:D795" si="32">ROW(A770)-(ROW(A$768))</f>
        <v>2</v>
      </c>
      <c r="E770" s="17" t="s">
        <v>1006</v>
      </c>
      <c r="F770" s="66" t="s">
        <v>1005</v>
      </c>
      <c r="G770" s="18" t="s">
        <v>11</v>
      </c>
      <c r="H770" s="19"/>
      <c r="I770" s="2"/>
    </row>
    <row r="771" spans="1:9" ht="21.6" x14ac:dyDescent="0.3">
      <c r="A771" s="2"/>
      <c r="B771" s="15">
        <v>5</v>
      </c>
      <c r="C771" s="20" t="s">
        <v>9</v>
      </c>
      <c r="D771" s="16">
        <f t="shared" si="32"/>
        <v>3</v>
      </c>
      <c r="E771" s="17" t="s">
        <v>1007</v>
      </c>
      <c r="F771" s="66" t="s">
        <v>1008</v>
      </c>
      <c r="G771" s="18" t="s">
        <v>11</v>
      </c>
      <c r="H771" s="19"/>
      <c r="I771" s="2"/>
    </row>
    <row r="772" spans="1:9" ht="21.6" x14ac:dyDescent="0.3">
      <c r="A772" s="2"/>
      <c r="B772" s="15">
        <v>5</v>
      </c>
      <c r="C772" s="20" t="s">
        <v>9</v>
      </c>
      <c r="D772" s="16">
        <f t="shared" si="32"/>
        <v>4</v>
      </c>
      <c r="E772" s="17" t="s">
        <v>1010</v>
      </c>
      <c r="F772" s="66" t="s">
        <v>1009</v>
      </c>
      <c r="G772" s="18" t="s">
        <v>11</v>
      </c>
      <c r="H772" s="19"/>
      <c r="I772" s="2"/>
    </row>
    <row r="773" spans="1:9" ht="75.599999999999994" x14ac:dyDescent="0.3">
      <c r="A773" s="2"/>
      <c r="B773" s="15">
        <v>5</v>
      </c>
      <c r="C773" s="20" t="s">
        <v>9</v>
      </c>
      <c r="D773" s="16">
        <f t="shared" si="32"/>
        <v>5</v>
      </c>
      <c r="E773" s="17" t="s">
        <v>535</v>
      </c>
      <c r="F773" s="66" t="s">
        <v>691</v>
      </c>
      <c r="G773" s="18" t="s">
        <v>11</v>
      </c>
      <c r="H773" s="19"/>
      <c r="I773" s="2"/>
    </row>
    <row r="774" spans="1:9" ht="32.4" x14ac:dyDescent="0.3">
      <c r="A774" s="2"/>
      <c r="B774" s="15">
        <v>5</v>
      </c>
      <c r="C774" s="20" t="s">
        <v>9</v>
      </c>
      <c r="D774" s="16">
        <f t="shared" si="32"/>
        <v>6</v>
      </c>
      <c r="E774" s="17" t="s">
        <v>1000</v>
      </c>
      <c r="F774" s="66" t="s">
        <v>999</v>
      </c>
      <c r="G774" s="18" t="s">
        <v>11</v>
      </c>
      <c r="H774" s="19"/>
      <c r="I774" s="2"/>
    </row>
    <row r="775" spans="1:9" ht="21.6" x14ac:dyDescent="0.3">
      <c r="A775" s="2"/>
      <c r="B775" s="15">
        <v>5</v>
      </c>
      <c r="C775" s="20" t="s">
        <v>9</v>
      </c>
      <c r="D775" s="16">
        <f t="shared" si="32"/>
        <v>7</v>
      </c>
      <c r="E775" s="17" t="s">
        <v>1002</v>
      </c>
      <c r="F775" s="66" t="s">
        <v>1001</v>
      </c>
      <c r="G775" s="18" t="s">
        <v>11</v>
      </c>
      <c r="H775" s="19"/>
      <c r="I775" s="2"/>
    </row>
    <row r="776" spans="1:9" ht="32.4" x14ac:dyDescent="0.3">
      <c r="A776" s="2"/>
      <c r="B776" s="15">
        <v>5</v>
      </c>
      <c r="C776" s="20" t="s">
        <v>9</v>
      </c>
      <c r="D776" s="16">
        <f t="shared" si="32"/>
        <v>8</v>
      </c>
      <c r="E776" s="17" t="s">
        <v>900</v>
      </c>
      <c r="F776" s="66" t="s">
        <v>946</v>
      </c>
      <c r="G776" s="18" t="s">
        <v>11</v>
      </c>
      <c r="H776" s="19"/>
      <c r="I776" s="2"/>
    </row>
    <row r="777" spans="1:9" ht="32.4" x14ac:dyDescent="0.3">
      <c r="A777" s="2"/>
      <c r="B777" s="15">
        <v>5</v>
      </c>
      <c r="C777" s="20" t="s">
        <v>9</v>
      </c>
      <c r="D777" s="16">
        <f t="shared" si="32"/>
        <v>9</v>
      </c>
      <c r="E777" s="17" t="s">
        <v>998</v>
      </c>
      <c r="F777" s="66" t="s">
        <v>948</v>
      </c>
      <c r="G777" s="18" t="s">
        <v>11</v>
      </c>
      <c r="H777" s="19"/>
      <c r="I777" s="2"/>
    </row>
    <row r="778" spans="1:9" ht="13.2" x14ac:dyDescent="0.3">
      <c r="A778" s="2"/>
      <c r="B778" s="15">
        <v>5</v>
      </c>
      <c r="C778" s="20" t="s">
        <v>9</v>
      </c>
      <c r="D778" s="16">
        <f t="shared" si="32"/>
        <v>10</v>
      </c>
      <c r="E778" s="17" t="s">
        <v>918</v>
      </c>
      <c r="F778" s="66" t="s">
        <v>870</v>
      </c>
      <c r="G778" s="18" t="s">
        <v>11</v>
      </c>
      <c r="H778" s="19"/>
      <c r="I778" s="2"/>
    </row>
    <row r="779" spans="1:9" ht="32.4" x14ac:dyDescent="0.3">
      <c r="A779" s="2"/>
      <c r="B779" s="15">
        <v>5</v>
      </c>
      <c r="C779" s="20" t="s">
        <v>9</v>
      </c>
      <c r="D779" s="16">
        <f t="shared" si="32"/>
        <v>11</v>
      </c>
      <c r="E779" s="17" t="s">
        <v>608</v>
      </c>
      <c r="F779" s="66" t="s">
        <v>607</v>
      </c>
      <c r="G779" s="18" t="s">
        <v>11</v>
      </c>
      <c r="H779" s="19"/>
      <c r="I779" s="2"/>
    </row>
    <row r="780" spans="1:9" ht="43.2" x14ac:dyDescent="0.3">
      <c r="A780" s="2"/>
      <c r="B780" s="15">
        <v>5</v>
      </c>
      <c r="C780" s="20" t="s">
        <v>9</v>
      </c>
      <c r="D780" s="16">
        <f t="shared" si="32"/>
        <v>12</v>
      </c>
      <c r="E780" s="17" t="s">
        <v>910</v>
      </c>
      <c r="F780" s="66" t="s">
        <v>909</v>
      </c>
      <c r="G780" s="18" t="s">
        <v>11</v>
      </c>
      <c r="H780" s="19"/>
      <c r="I780" s="2"/>
    </row>
    <row r="781" spans="1:9" ht="21.6" x14ac:dyDescent="0.3">
      <c r="A781" s="2"/>
      <c r="B781" s="15">
        <v>5</v>
      </c>
      <c r="C781" s="20" t="s">
        <v>9</v>
      </c>
      <c r="D781" s="16">
        <f t="shared" si="32"/>
        <v>13</v>
      </c>
      <c r="E781" s="17" t="s">
        <v>894</v>
      </c>
      <c r="F781" s="66" t="s">
        <v>892</v>
      </c>
      <c r="G781" s="18" t="s">
        <v>11</v>
      </c>
      <c r="H781" s="19"/>
      <c r="I781" s="2"/>
    </row>
    <row r="782" spans="1:9" ht="32.4" x14ac:dyDescent="0.3">
      <c r="A782" s="2"/>
      <c r="B782" s="15">
        <v>5</v>
      </c>
      <c r="C782" s="20" t="s">
        <v>9</v>
      </c>
      <c r="D782" s="16">
        <f t="shared" si="32"/>
        <v>14</v>
      </c>
      <c r="E782" s="17" t="s">
        <v>893</v>
      </c>
      <c r="F782" s="66" t="s">
        <v>889</v>
      </c>
      <c r="G782" s="18" t="s">
        <v>11</v>
      </c>
      <c r="H782" s="19"/>
      <c r="I782" s="2"/>
    </row>
    <row r="783" spans="1:9" ht="21.6" x14ac:dyDescent="0.3">
      <c r="A783" s="2"/>
      <c r="B783" s="15">
        <v>5</v>
      </c>
      <c r="C783" s="20" t="s">
        <v>9</v>
      </c>
      <c r="D783" s="16">
        <f t="shared" si="32"/>
        <v>15</v>
      </c>
      <c r="E783" s="17" t="s">
        <v>891</v>
      </c>
      <c r="F783" s="66" t="s">
        <v>890</v>
      </c>
      <c r="G783" s="18" t="s">
        <v>11</v>
      </c>
      <c r="H783" s="19"/>
      <c r="I783" s="2"/>
    </row>
    <row r="784" spans="1:9" ht="21.6" x14ac:dyDescent="0.3">
      <c r="A784" s="2"/>
      <c r="B784" s="15">
        <v>5</v>
      </c>
      <c r="C784" s="20" t="s">
        <v>9</v>
      </c>
      <c r="D784" s="16">
        <f t="shared" si="32"/>
        <v>16</v>
      </c>
      <c r="E784" s="17" t="s">
        <v>904</v>
      </c>
      <c r="F784" s="66" t="s">
        <v>895</v>
      </c>
      <c r="G784" s="18" t="s">
        <v>11</v>
      </c>
      <c r="H784" s="19"/>
      <c r="I784" s="2"/>
    </row>
    <row r="785" spans="1:9" ht="32.4" x14ac:dyDescent="0.3">
      <c r="A785" s="2"/>
      <c r="B785" s="15">
        <v>5</v>
      </c>
      <c r="C785" s="20" t="s">
        <v>9</v>
      </c>
      <c r="D785" s="16">
        <f t="shared" si="32"/>
        <v>17</v>
      </c>
      <c r="E785" s="17" t="s">
        <v>907</v>
      </c>
      <c r="F785" s="66" t="s">
        <v>908</v>
      </c>
      <c r="G785" s="18" t="s">
        <v>11</v>
      </c>
      <c r="H785" s="19"/>
      <c r="I785" s="2"/>
    </row>
    <row r="786" spans="1:9" ht="32.4" x14ac:dyDescent="0.3">
      <c r="A786" s="2"/>
      <c r="B786" s="15">
        <v>5</v>
      </c>
      <c r="C786" s="20" t="s">
        <v>9</v>
      </c>
      <c r="D786" s="16">
        <f t="shared" si="32"/>
        <v>18</v>
      </c>
      <c r="E786" s="17" t="s">
        <v>897</v>
      </c>
      <c r="F786" s="66" t="s">
        <v>896</v>
      </c>
      <c r="G786" s="18" t="s">
        <v>11</v>
      </c>
      <c r="H786" s="19"/>
      <c r="I786" s="2"/>
    </row>
    <row r="787" spans="1:9" ht="32.4" x14ac:dyDescent="0.3">
      <c r="A787" s="2"/>
      <c r="B787" s="15">
        <v>5</v>
      </c>
      <c r="C787" s="20" t="s">
        <v>9</v>
      </c>
      <c r="D787" s="16">
        <f t="shared" si="32"/>
        <v>19</v>
      </c>
      <c r="E787" s="17" t="s">
        <v>452</v>
      </c>
      <c r="F787" s="66" t="s">
        <v>451</v>
      </c>
      <c r="G787" s="18" t="s">
        <v>11</v>
      </c>
      <c r="H787" s="19"/>
      <c r="I787" s="2"/>
    </row>
    <row r="788" spans="1:9" ht="32.4" x14ac:dyDescent="0.3">
      <c r="A788" s="2"/>
      <c r="B788" s="15">
        <v>5</v>
      </c>
      <c r="C788" s="20" t="s">
        <v>9</v>
      </c>
      <c r="D788" s="16">
        <f t="shared" si="32"/>
        <v>20</v>
      </c>
      <c r="E788" s="17" t="s">
        <v>454</v>
      </c>
      <c r="F788" s="66" t="s">
        <v>453</v>
      </c>
      <c r="G788" s="18" t="s">
        <v>11</v>
      </c>
      <c r="H788" s="19"/>
      <c r="I788" s="2"/>
    </row>
    <row r="789" spans="1:9" ht="32.4" x14ac:dyDescent="0.3">
      <c r="A789" s="2"/>
      <c r="B789" s="15">
        <v>5</v>
      </c>
      <c r="C789" s="20" t="s">
        <v>9</v>
      </c>
      <c r="D789" s="16">
        <f t="shared" si="32"/>
        <v>21</v>
      </c>
      <c r="E789" s="17" t="s">
        <v>456</v>
      </c>
      <c r="F789" s="66" t="s">
        <v>455</v>
      </c>
      <c r="G789" s="18" t="s">
        <v>11</v>
      </c>
      <c r="H789" s="19"/>
      <c r="I789" s="2"/>
    </row>
    <row r="790" spans="1:9" ht="21.6" x14ac:dyDescent="0.3">
      <c r="A790" s="2"/>
      <c r="B790" s="15">
        <v>5</v>
      </c>
      <c r="C790" s="20" t="s">
        <v>9</v>
      </c>
      <c r="D790" s="16">
        <f t="shared" si="32"/>
        <v>22</v>
      </c>
      <c r="E790" s="17" t="s">
        <v>552</v>
      </c>
      <c r="F790" s="66" t="s">
        <v>457</v>
      </c>
      <c r="G790" s="18" t="s">
        <v>11</v>
      </c>
      <c r="H790" s="19"/>
      <c r="I790" s="2"/>
    </row>
    <row r="791" spans="1:9" ht="54" x14ac:dyDescent="0.3">
      <c r="A791" s="2"/>
      <c r="B791" s="15">
        <v>5</v>
      </c>
      <c r="C791" s="20" t="s">
        <v>9</v>
      </c>
      <c r="D791" s="16">
        <f t="shared" si="32"/>
        <v>23</v>
      </c>
      <c r="E791" s="17" t="s">
        <v>554</v>
      </c>
      <c r="F791" s="66" t="s">
        <v>553</v>
      </c>
      <c r="G791" s="18" t="s">
        <v>11</v>
      </c>
      <c r="H791" s="19"/>
      <c r="I791" s="2"/>
    </row>
    <row r="792" spans="1:9" ht="54" x14ac:dyDescent="0.3">
      <c r="A792" s="2"/>
      <c r="B792" s="15">
        <v>5</v>
      </c>
      <c r="C792" s="20" t="s">
        <v>9</v>
      </c>
      <c r="D792" s="16">
        <f t="shared" si="32"/>
        <v>24</v>
      </c>
      <c r="E792" s="17" t="s">
        <v>888</v>
      </c>
      <c r="F792" s="66" t="s">
        <v>887</v>
      </c>
      <c r="G792" s="18" t="s">
        <v>11</v>
      </c>
      <c r="H792" s="19"/>
      <c r="I792" s="2"/>
    </row>
    <row r="793" spans="1:9" ht="43.2" x14ac:dyDescent="0.3">
      <c r="A793" s="2"/>
      <c r="B793" s="15">
        <v>5</v>
      </c>
      <c r="C793" s="20" t="s">
        <v>9</v>
      </c>
      <c r="D793" s="16">
        <f t="shared" si="32"/>
        <v>25</v>
      </c>
      <c r="E793" s="17" t="s">
        <v>886</v>
      </c>
      <c r="F793" s="66" t="s">
        <v>916</v>
      </c>
      <c r="G793" s="18" t="s">
        <v>11</v>
      </c>
      <c r="H793" s="19"/>
      <c r="I793" s="2"/>
    </row>
    <row r="794" spans="1:9" ht="32.4" x14ac:dyDescent="0.3">
      <c r="A794" s="2"/>
      <c r="B794" s="15">
        <v>5</v>
      </c>
      <c r="C794" s="20" t="s">
        <v>9</v>
      </c>
      <c r="D794" s="16">
        <f t="shared" si="32"/>
        <v>26</v>
      </c>
      <c r="E794" s="17" t="s">
        <v>665</v>
      </c>
      <c r="F794" s="66" t="s">
        <v>884</v>
      </c>
      <c r="G794" s="18" t="s">
        <v>11</v>
      </c>
      <c r="H794" s="19"/>
      <c r="I794" s="2"/>
    </row>
    <row r="795" spans="1:9" ht="54" x14ac:dyDescent="0.3">
      <c r="A795" s="2"/>
      <c r="B795" s="15">
        <v>5</v>
      </c>
      <c r="C795" s="20" t="s">
        <v>9</v>
      </c>
      <c r="D795" s="16">
        <f t="shared" si="32"/>
        <v>27</v>
      </c>
      <c r="E795" s="17" t="s">
        <v>662</v>
      </c>
      <c r="F795" s="66" t="s">
        <v>917</v>
      </c>
      <c r="G795" s="18" t="s">
        <v>11</v>
      </c>
      <c r="H795" s="19"/>
      <c r="I795" s="2"/>
    </row>
    <row r="796" spans="1:9" ht="18.75" customHeight="1" x14ac:dyDescent="0.3">
      <c r="A796" s="2"/>
      <c r="B796" s="10" t="s">
        <v>33</v>
      </c>
      <c r="C796" s="11"/>
      <c r="D796" s="11"/>
      <c r="E796" s="12" t="str">
        <f>IF(B796=0,"",VLOOKUP(B796,Daten!$A$2:$B$56,2,FALSE))</f>
        <v>Schutzleitfaden-301</v>
      </c>
      <c r="F796" s="12" t="str">
        <f>VLOOKUP(E796,Daten!$B$2:$C$56,2,)</f>
        <v>Handschuhkasten (glove box)</v>
      </c>
      <c r="G796" s="13"/>
      <c r="H796" s="14"/>
      <c r="I796" s="2"/>
    </row>
    <row r="797" spans="1:9" ht="13.2" x14ac:dyDescent="0.3">
      <c r="A797" s="2"/>
      <c r="B797" s="15">
        <v>5</v>
      </c>
      <c r="C797" s="20" t="s">
        <v>17</v>
      </c>
      <c r="D797" s="16">
        <f>ROW(A797)-(ROW(A$796))</f>
        <v>1</v>
      </c>
      <c r="E797" s="17" t="s">
        <v>192</v>
      </c>
      <c r="F797" s="66" t="s">
        <v>782</v>
      </c>
      <c r="G797" s="18" t="s">
        <v>11</v>
      </c>
      <c r="H797" s="19"/>
      <c r="I797" s="2"/>
    </row>
    <row r="798" spans="1:9" ht="21.6" x14ac:dyDescent="0.3">
      <c r="A798" s="2"/>
      <c r="B798" s="15">
        <v>5</v>
      </c>
      <c r="C798" s="20" t="s">
        <v>17</v>
      </c>
      <c r="D798" s="16">
        <f t="shared" ref="D798:D827" si="33">ROW(A798)-(ROW(A$796))</f>
        <v>2</v>
      </c>
      <c r="E798" s="17" t="s">
        <v>983</v>
      </c>
      <c r="F798" s="66" t="s">
        <v>981</v>
      </c>
      <c r="G798" s="18" t="s">
        <v>11</v>
      </c>
      <c r="H798" s="19"/>
      <c r="I798" s="2"/>
    </row>
    <row r="799" spans="1:9" ht="21.6" x14ac:dyDescent="0.3">
      <c r="A799" s="2"/>
      <c r="B799" s="15">
        <v>5</v>
      </c>
      <c r="C799" s="20" t="s">
        <v>17</v>
      </c>
      <c r="D799" s="16">
        <f t="shared" si="33"/>
        <v>3</v>
      </c>
      <c r="E799" s="17" t="s">
        <v>984</v>
      </c>
      <c r="F799" s="66" t="s">
        <v>985</v>
      </c>
      <c r="G799" s="18" t="s">
        <v>11</v>
      </c>
      <c r="H799" s="19"/>
      <c r="I799" s="2"/>
    </row>
    <row r="800" spans="1:9" ht="32.4" x14ac:dyDescent="0.3">
      <c r="A800" s="2"/>
      <c r="B800" s="15">
        <v>5</v>
      </c>
      <c r="C800" s="20" t="s">
        <v>17</v>
      </c>
      <c r="D800" s="16">
        <f t="shared" si="33"/>
        <v>4</v>
      </c>
      <c r="E800" s="17" t="s">
        <v>987</v>
      </c>
      <c r="F800" s="66" t="s">
        <v>986</v>
      </c>
      <c r="G800" s="18" t="s">
        <v>11</v>
      </c>
      <c r="H800" s="19"/>
      <c r="I800" s="2"/>
    </row>
    <row r="801" spans="1:9" ht="13.2" x14ac:dyDescent="0.3">
      <c r="A801" s="2"/>
      <c r="B801" s="15">
        <v>5</v>
      </c>
      <c r="C801" s="20" t="s">
        <v>17</v>
      </c>
      <c r="D801" s="16">
        <f t="shared" si="33"/>
        <v>5</v>
      </c>
      <c r="E801" s="17" t="s">
        <v>988</v>
      </c>
      <c r="F801" s="66" t="s">
        <v>915</v>
      </c>
      <c r="G801" s="18" t="s">
        <v>11</v>
      </c>
      <c r="H801" s="19"/>
      <c r="I801" s="2"/>
    </row>
    <row r="802" spans="1:9" ht="32.4" x14ac:dyDescent="0.3">
      <c r="A802" s="2"/>
      <c r="B802" s="15">
        <v>5</v>
      </c>
      <c r="C802" s="20" t="s">
        <v>17</v>
      </c>
      <c r="D802" s="16">
        <f t="shared" si="33"/>
        <v>6</v>
      </c>
      <c r="E802" s="17" t="s">
        <v>990</v>
      </c>
      <c r="F802" s="66" t="s">
        <v>989</v>
      </c>
      <c r="G802" s="18" t="s">
        <v>11</v>
      </c>
      <c r="H802" s="19"/>
      <c r="I802" s="2"/>
    </row>
    <row r="803" spans="1:9" ht="21.6" x14ac:dyDescent="0.3">
      <c r="A803" s="2"/>
      <c r="B803" s="15">
        <v>5</v>
      </c>
      <c r="C803" s="20" t="s">
        <v>17</v>
      </c>
      <c r="D803" s="16">
        <f t="shared" si="33"/>
        <v>7</v>
      </c>
      <c r="E803" s="17" t="s">
        <v>991</v>
      </c>
      <c r="F803" s="66" t="s">
        <v>914</v>
      </c>
      <c r="G803" s="18" t="s">
        <v>11</v>
      </c>
      <c r="H803" s="19"/>
      <c r="I803" s="2"/>
    </row>
    <row r="804" spans="1:9" ht="32.4" x14ac:dyDescent="0.3">
      <c r="A804" s="2"/>
      <c r="B804" s="15">
        <v>5</v>
      </c>
      <c r="C804" s="20" t="s">
        <v>17</v>
      </c>
      <c r="D804" s="16">
        <f t="shared" si="33"/>
        <v>8</v>
      </c>
      <c r="E804" s="17" t="s">
        <v>526</v>
      </c>
      <c r="F804" s="66" t="s">
        <v>913</v>
      </c>
      <c r="G804" s="18" t="s">
        <v>11</v>
      </c>
      <c r="H804" s="19"/>
      <c r="I804" s="2"/>
    </row>
    <row r="805" spans="1:9" ht="21.6" x14ac:dyDescent="0.3">
      <c r="A805" s="2"/>
      <c r="B805" s="15">
        <v>5</v>
      </c>
      <c r="C805" s="20" t="s">
        <v>17</v>
      </c>
      <c r="D805" s="16">
        <f t="shared" si="33"/>
        <v>9</v>
      </c>
      <c r="E805" s="17" t="s">
        <v>994</v>
      </c>
      <c r="F805" s="66" t="s">
        <v>992</v>
      </c>
      <c r="G805" s="18" t="s">
        <v>11</v>
      </c>
      <c r="H805" s="19"/>
      <c r="I805" s="2"/>
    </row>
    <row r="806" spans="1:9" ht="21.6" x14ac:dyDescent="0.3">
      <c r="A806" s="2"/>
      <c r="B806" s="15">
        <v>5</v>
      </c>
      <c r="C806" s="20" t="s">
        <v>17</v>
      </c>
      <c r="D806" s="16">
        <f t="shared" si="33"/>
        <v>10</v>
      </c>
      <c r="E806" s="17" t="s">
        <v>995</v>
      </c>
      <c r="F806" s="66" t="s">
        <v>993</v>
      </c>
      <c r="G806" s="18" t="s">
        <v>11</v>
      </c>
      <c r="H806" s="19"/>
      <c r="I806" s="2"/>
    </row>
    <row r="807" spans="1:9" ht="54" x14ac:dyDescent="0.3">
      <c r="A807" s="2"/>
      <c r="B807" s="15">
        <v>5</v>
      </c>
      <c r="C807" s="20" t="s">
        <v>17</v>
      </c>
      <c r="D807" s="16">
        <f t="shared" si="33"/>
        <v>11</v>
      </c>
      <c r="E807" s="17" t="s">
        <v>535</v>
      </c>
      <c r="F807" s="66" t="s">
        <v>534</v>
      </c>
      <c r="G807" s="18" t="s">
        <v>11</v>
      </c>
      <c r="H807" s="19"/>
      <c r="I807" s="2"/>
    </row>
    <row r="808" spans="1:9" ht="32.4" x14ac:dyDescent="0.3">
      <c r="A808" s="2"/>
      <c r="B808" s="15">
        <v>5</v>
      </c>
      <c r="C808" s="20" t="s">
        <v>17</v>
      </c>
      <c r="D808" s="16">
        <f t="shared" si="33"/>
        <v>12</v>
      </c>
      <c r="E808" s="17" t="s">
        <v>997</v>
      </c>
      <c r="F808" s="66" t="s">
        <v>996</v>
      </c>
      <c r="G808" s="18" t="s">
        <v>11</v>
      </c>
      <c r="H808" s="19"/>
      <c r="I808" s="2"/>
    </row>
    <row r="809" spans="1:9" ht="43.2" x14ac:dyDescent="0.3">
      <c r="A809" s="2"/>
      <c r="B809" s="15">
        <v>5</v>
      </c>
      <c r="C809" s="20" t="s">
        <v>17</v>
      </c>
      <c r="D809" s="16">
        <f t="shared" si="33"/>
        <v>13</v>
      </c>
      <c r="E809" s="17" t="s">
        <v>900</v>
      </c>
      <c r="F809" s="66" t="s">
        <v>899</v>
      </c>
      <c r="G809" s="18" t="s">
        <v>11</v>
      </c>
      <c r="H809" s="19"/>
      <c r="I809" s="2"/>
    </row>
    <row r="810" spans="1:9" ht="13.2" x14ac:dyDescent="0.3">
      <c r="A810" s="2"/>
      <c r="B810" s="15">
        <v>5</v>
      </c>
      <c r="C810" s="20" t="s">
        <v>17</v>
      </c>
      <c r="D810" s="16">
        <f t="shared" si="33"/>
        <v>14</v>
      </c>
      <c r="E810" s="17" t="s">
        <v>902</v>
      </c>
      <c r="F810" s="66" t="s">
        <v>901</v>
      </c>
      <c r="G810" s="18" t="s">
        <v>11</v>
      </c>
      <c r="H810" s="19"/>
      <c r="I810" s="2"/>
    </row>
    <row r="811" spans="1:9" ht="32.4" x14ac:dyDescent="0.3">
      <c r="A811" s="2"/>
      <c r="B811" s="15">
        <v>5</v>
      </c>
      <c r="C811" s="20" t="s">
        <v>17</v>
      </c>
      <c r="D811" s="16">
        <f t="shared" si="33"/>
        <v>15</v>
      </c>
      <c r="E811" s="17" t="s">
        <v>608</v>
      </c>
      <c r="F811" s="66" t="s">
        <v>607</v>
      </c>
      <c r="G811" s="18" t="s">
        <v>11</v>
      </c>
      <c r="H811" s="19"/>
      <c r="I811" s="2"/>
    </row>
    <row r="812" spans="1:9" ht="43.2" x14ac:dyDescent="0.3">
      <c r="A812" s="2"/>
      <c r="B812" s="15">
        <v>5</v>
      </c>
      <c r="C812" s="20" t="s">
        <v>17</v>
      </c>
      <c r="D812" s="16">
        <f t="shared" si="33"/>
        <v>16</v>
      </c>
      <c r="E812" s="17" t="s">
        <v>910</v>
      </c>
      <c r="F812" s="66" t="s">
        <v>909</v>
      </c>
      <c r="G812" s="18" t="s">
        <v>11</v>
      </c>
      <c r="H812" s="19"/>
      <c r="I812" s="2"/>
    </row>
    <row r="813" spans="1:9" ht="21.6" x14ac:dyDescent="0.3">
      <c r="A813" s="2"/>
      <c r="B813" s="15">
        <v>5</v>
      </c>
      <c r="C813" s="20" t="s">
        <v>17</v>
      </c>
      <c r="D813" s="16">
        <f t="shared" si="33"/>
        <v>17</v>
      </c>
      <c r="E813" s="17" t="s">
        <v>894</v>
      </c>
      <c r="F813" s="66" t="s">
        <v>892</v>
      </c>
      <c r="G813" s="18" t="s">
        <v>11</v>
      </c>
      <c r="H813" s="19"/>
      <c r="I813" s="2"/>
    </row>
    <row r="814" spans="1:9" ht="32.4" x14ac:dyDescent="0.3">
      <c r="A814" s="2"/>
      <c r="B814" s="15">
        <v>5</v>
      </c>
      <c r="C814" s="20" t="s">
        <v>17</v>
      </c>
      <c r="D814" s="16">
        <f t="shared" si="33"/>
        <v>18</v>
      </c>
      <c r="E814" s="17" t="s">
        <v>893</v>
      </c>
      <c r="F814" s="66" t="s">
        <v>889</v>
      </c>
      <c r="G814" s="18" t="s">
        <v>11</v>
      </c>
      <c r="H814" s="19"/>
      <c r="I814" s="2"/>
    </row>
    <row r="815" spans="1:9" ht="21.6" x14ac:dyDescent="0.3">
      <c r="A815" s="2"/>
      <c r="B815" s="15">
        <v>5</v>
      </c>
      <c r="C815" s="20" t="s">
        <v>17</v>
      </c>
      <c r="D815" s="16">
        <f t="shared" si="33"/>
        <v>19</v>
      </c>
      <c r="E815" s="17" t="s">
        <v>891</v>
      </c>
      <c r="F815" s="66" t="s">
        <v>890</v>
      </c>
      <c r="G815" s="18" t="s">
        <v>11</v>
      </c>
      <c r="H815" s="19"/>
      <c r="I815" s="2"/>
    </row>
    <row r="816" spans="1:9" ht="21.6" x14ac:dyDescent="0.3">
      <c r="A816" s="2"/>
      <c r="B816" s="15">
        <v>5</v>
      </c>
      <c r="C816" s="20" t="s">
        <v>17</v>
      </c>
      <c r="D816" s="16">
        <f t="shared" si="33"/>
        <v>20</v>
      </c>
      <c r="E816" s="17" t="s">
        <v>904</v>
      </c>
      <c r="F816" s="66" t="s">
        <v>895</v>
      </c>
      <c r="G816" s="18" t="s">
        <v>11</v>
      </c>
      <c r="H816" s="19"/>
      <c r="I816" s="2"/>
    </row>
    <row r="817" spans="1:9" ht="32.4" x14ac:dyDescent="0.3">
      <c r="A817" s="2"/>
      <c r="B817" s="15">
        <v>5</v>
      </c>
      <c r="C817" s="20" t="s">
        <v>17</v>
      </c>
      <c r="D817" s="16">
        <f t="shared" si="33"/>
        <v>21</v>
      </c>
      <c r="E817" s="17" t="s">
        <v>907</v>
      </c>
      <c r="F817" s="66" t="s">
        <v>908</v>
      </c>
      <c r="G817" s="18" t="s">
        <v>11</v>
      </c>
      <c r="H817" s="19"/>
      <c r="I817" s="2"/>
    </row>
    <row r="818" spans="1:9" ht="32.4" x14ac:dyDescent="0.3">
      <c r="A818" s="2"/>
      <c r="B818" s="15">
        <v>5</v>
      </c>
      <c r="C818" s="20" t="s">
        <v>17</v>
      </c>
      <c r="D818" s="16">
        <f t="shared" si="33"/>
        <v>22</v>
      </c>
      <c r="E818" s="17" t="s">
        <v>897</v>
      </c>
      <c r="F818" s="66" t="s">
        <v>896</v>
      </c>
      <c r="G818" s="18" t="s">
        <v>11</v>
      </c>
      <c r="H818" s="19"/>
      <c r="I818" s="2"/>
    </row>
    <row r="819" spans="1:9" ht="32.4" x14ac:dyDescent="0.3">
      <c r="A819" s="2"/>
      <c r="B819" s="15">
        <v>5</v>
      </c>
      <c r="C819" s="20" t="s">
        <v>17</v>
      </c>
      <c r="D819" s="16">
        <f t="shared" si="33"/>
        <v>23</v>
      </c>
      <c r="E819" s="17" t="s">
        <v>452</v>
      </c>
      <c r="F819" s="66" t="s">
        <v>451</v>
      </c>
      <c r="G819" s="18" t="s">
        <v>11</v>
      </c>
      <c r="H819" s="19"/>
      <c r="I819" s="2"/>
    </row>
    <row r="820" spans="1:9" ht="32.4" x14ac:dyDescent="0.3">
      <c r="A820" s="2"/>
      <c r="B820" s="15">
        <v>5</v>
      </c>
      <c r="C820" s="20" t="s">
        <v>17</v>
      </c>
      <c r="D820" s="16">
        <f t="shared" si="33"/>
        <v>24</v>
      </c>
      <c r="E820" s="17" t="s">
        <v>454</v>
      </c>
      <c r="F820" s="66" t="s">
        <v>453</v>
      </c>
      <c r="G820" s="18" t="s">
        <v>11</v>
      </c>
      <c r="H820" s="19"/>
      <c r="I820" s="2"/>
    </row>
    <row r="821" spans="1:9" ht="32.4" x14ac:dyDescent="0.3">
      <c r="A821" s="2"/>
      <c r="B821" s="15">
        <v>5</v>
      </c>
      <c r="C821" s="20" t="s">
        <v>17</v>
      </c>
      <c r="D821" s="16">
        <f t="shared" si="33"/>
        <v>25</v>
      </c>
      <c r="E821" s="17" t="s">
        <v>456</v>
      </c>
      <c r="F821" s="66" t="s">
        <v>455</v>
      </c>
      <c r="G821" s="18" t="s">
        <v>11</v>
      </c>
      <c r="H821" s="19"/>
      <c r="I821" s="2"/>
    </row>
    <row r="822" spans="1:9" ht="21.6" x14ac:dyDescent="0.3">
      <c r="A822" s="2"/>
      <c r="B822" s="15">
        <v>5</v>
      </c>
      <c r="C822" s="20" t="s">
        <v>17</v>
      </c>
      <c r="D822" s="16">
        <f t="shared" si="33"/>
        <v>26</v>
      </c>
      <c r="E822" s="17" t="s">
        <v>552</v>
      </c>
      <c r="F822" s="66" t="s">
        <v>457</v>
      </c>
      <c r="G822" s="18" t="s">
        <v>11</v>
      </c>
      <c r="H822" s="19"/>
      <c r="I822" s="2"/>
    </row>
    <row r="823" spans="1:9" ht="54" x14ac:dyDescent="0.3">
      <c r="A823" s="2"/>
      <c r="B823" s="15">
        <v>5</v>
      </c>
      <c r="C823" s="20" t="s">
        <v>17</v>
      </c>
      <c r="D823" s="16">
        <f t="shared" si="33"/>
        <v>27</v>
      </c>
      <c r="E823" s="17" t="s">
        <v>554</v>
      </c>
      <c r="F823" s="66" t="s">
        <v>553</v>
      </c>
      <c r="G823" s="18" t="s">
        <v>11</v>
      </c>
      <c r="H823" s="19"/>
      <c r="I823" s="2"/>
    </row>
    <row r="824" spans="1:9" ht="54" x14ac:dyDescent="0.3">
      <c r="A824" s="2"/>
      <c r="B824" s="15">
        <v>5</v>
      </c>
      <c r="C824" s="20" t="s">
        <v>17</v>
      </c>
      <c r="D824" s="16">
        <f t="shared" si="33"/>
        <v>28</v>
      </c>
      <c r="E824" s="17" t="s">
        <v>888</v>
      </c>
      <c r="F824" s="66" t="s">
        <v>887</v>
      </c>
      <c r="G824" s="18" t="s">
        <v>11</v>
      </c>
      <c r="H824" s="19"/>
      <c r="I824" s="2"/>
    </row>
    <row r="825" spans="1:9" ht="43.2" x14ac:dyDescent="0.3">
      <c r="A825" s="2"/>
      <c r="B825" s="15">
        <v>5</v>
      </c>
      <c r="C825" s="20" t="s">
        <v>17</v>
      </c>
      <c r="D825" s="16">
        <f t="shared" si="33"/>
        <v>29</v>
      </c>
      <c r="E825" s="17" t="s">
        <v>886</v>
      </c>
      <c r="F825" s="66" t="s">
        <v>912</v>
      </c>
      <c r="G825" s="18" t="s">
        <v>11</v>
      </c>
      <c r="H825" s="19"/>
      <c r="I825" s="2"/>
    </row>
    <row r="826" spans="1:9" ht="32.4" x14ac:dyDescent="0.3">
      <c r="A826" s="2"/>
      <c r="B826" s="15">
        <v>5</v>
      </c>
      <c r="C826" s="20" t="s">
        <v>17</v>
      </c>
      <c r="D826" s="16">
        <f t="shared" si="33"/>
        <v>30</v>
      </c>
      <c r="E826" s="17" t="s">
        <v>665</v>
      </c>
      <c r="F826" s="66" t="s">
        <v>884</v>
      </c>
      <c r="G826" s="18" t="s">
        <v>11</v>
      </c>
      <c r="H826" s="19"/>
      <c r="I826" s="2"/>
    </row>
    <row r="827" spans="1:9" ht="32.4" x14ac:dyDescent="0.3">
      <c r="A827" s="2"/>
      <c r="B827" s="15">
        <v>5</v>
      </c>
      <c r="C827" s="20" t="s">
        <v>17</v>
      </c>
      <c r="D827" s="16">
        <f t="shared" si="33"/>
        <v>31</v>
      </c>
      <c r="E827" s="17" t="s">
        <v>662</v>
      </c>
      <c r="F827" s="66" t="s">
        <v>911</v>
      </c>
      <c r="G827" s="18" t="s">
        <v>11</v>
      </c>
      <c r="H827" s="19"/>
      <c r="I827" s="2"/>
    </row>
    <row r="828" spans="1:9" ht="18.75" customHeight="1" x14ac:dyDescent="0.3">
      <c r="A828" s="2"/>
      <c r="B828" s="10" t="s">
        <v>34</v>
      </c>
      <c r="C828" s="11"/>
      <c r="D828" s="11"/>
      <c r="E828" s="12" t="str">
        <f>IF(B828=0,"",VLOOKUP(B828,Daten!$A$2:$B$56,2,FALSE))</f>
        <v>Schutzleitfaden-305</v>
      </c>
      <c r="F828" s="12" t="str">
        <f>VLOOKUP(E828,Daten!$B$2:$C$56,2,)</f>
        <v>Fassbefüllung</v>
      </c>
      <c r="G828" s="13"/>
      <c r="H828" s="14"/>
      <c r="I828" s="2"/>
    </row>
    <row r="829" spans="1:9" ht="13.2" x14ac:dyDescent="0.3">
      <c r="A829" s="2"/>
      <c r="B829" s="15">
        <v>5</v>
      </c>
      <c r="C829" s="20" t="s">
        <v>24</v>
      </c>
      <c r="D829" s="16">
        <f>ROW(A829)-(ROW(A$828))</f>
        <v>1</v>
      </c>
      <c r="E829" s="17" t="s">
        <v>192</v>
      </c>
      <c r="F829" s="66" t="s">
        <v>782</v>
      </c>
      <c r="G829" s="18" t="s">
        <v>11</v>
      </c>
      <c r="H829" s="19"/>
      <c r="I829" s="2"/>
    </row>
    <row r="830" spans="1:9" ht="21.6" x14ac:dyDescent="0.3">
      <c r="A830" s="2"/>
      <c r="B830" s="15">
        <v>5</v>
      </c>
      <c r="C830" s="20" t="s">
        <v>24</v>
      </c>
      <c r="D830" s="16">
        <f t="shared" ref="D830:D857" si="34">ROW(A830)-(ROW(A$828))</f>
        <v>2</v>
      </c>
      <c r="E830" s="17" t="s">
        <v>983</v>
      </c>
      <c r="F830" s="66" t="s">
        <v>981</v>
      </c>
      <c r="G830" s="18" t="s">
        <v>11</v>
      </c>
      <c r="H830" s="19"/>
      <c r="I830" s="2"/>
    </row>
    <row r="831" spans="1:9" ht="21.6" x14ac:dyDescent="0.3">
      <c r="A831" s="2"/>
      <c r="B831" s="15">
        <v>5</v>
      </c>
      <c r="C831" s="20" t="s">
        <v>24</v>
      </c>
      <c r="D831" s="16">
        <f t="shared" si="34"/>
        <v>3</v>
      </c>
      <c r="E831" s="17" t="s">
        <v>1012</v>
      </c>
      <c r="F831" s="66" t="s">
        <v>1011</v>
      </c>
      <c r="G831" s="18" t="s">
        <v>11</v>
      </c>
      <c r="H831" s="19"/>
      <c r="I831" s="2"/>
    </row>
    <row r="832" spans="1:9" ht="32.4" x14ac:dyDescent="0.3">
      <c r="A832" s="2"/>
      <c r="B832" s="15">
        <v>5</v>
      </c>
      <c r="C832" s="20" t="s">
        <v>24</v>
      </c>
      <c r="D832" s="16">
        <f t="shared" si="34"/>
        <v>4</v>
      </c>
      <c r="E832" s="17" t="s">
        <v>1014</v>
      </c>
      <c r="F832" s="66" t="s">
        <v>1013</v>
      </c>
      <c r="G832" s="18" t="s">
        <v>11</v>
      </c>
      <c r="H832" s="19"/>
      <c r="I832" s="2"/>
    </row>
    <row r="833" spans="1:9" ht="21.6" x14ac:dyDescent="0.3">
      <c r="A833" s="2"/>
      <c r="B833" s="15">
        <v>5</v>
      </c>
      <c r="C833" s="20" t="s">
        <v>24</v>
      </c>
      <c r="D833" s="16">
        <f t="shared" si="34"/>
        <v>5</v>
      </c>
      <c r="E833" s="17" t="s">
        <v>526</v>
      </c>
      <c r="F833" s="66" t="s">
        <v>906</v>
      </c>
      <c r="G833" s="18" t="s">
        <v>11</v>
      </c>
      <c r="H833" s="19"/>
      <c r="I833" s="2"/>
    </row>
    <row r="834" spans="1:9" ht="32.4" x14ac:dyDescent="0.3">
      <c r="A834" s="2"/>
      <c r="B834" s="15">
        <v>5</v>
      </c>
      <c r="C834" s="20" t="s">
        <v>24</v>
      </c>
      <c r="D834" s="16">
        <f t="shared" si="34"/>
        <v>6</v>
      </c>
      <c r="E834" s="17" t="s">
        <v>1015</v>
      </c>
      <c r="F834" s="66" t="s">
        <v>1016</v>
      </c>
      <c r="G834" s="18" t="s">
        <v>11</v>
      </c>
      <c r="H834" s="19"/>
      <c r="I834" s="2"/>
    </row>
    <row r="835" spans="1:9" ht="32.4" x14ac:dyDescent="0.3">
      <c r="A835" s="2"/>
      <c r="B835" s="15">
        <v>5</v>
      </c>
      <c r="C835" s="20" t="s">
        <v>24</v>
      </c>
      <c r="D835" s="16">
        <f t="shared" si="34"/>
        <v>7</v>
      </c>
      <c r="E835" s="17" t="s">
        <v>1018</v>
      </c>
      <c r="F835" s="66" t="s">
        <v>1017</v>
      </c>
      <c r="G835" s="18" t="s">
        <v>11</v>
      </c>
      <c r="H835" s="19"/>
      <c r="I835" s="2"/>
    </row>
    <row r="836" spans="1:9" ht="21.6" x14ac:dyDescent="0.3">
      <c r="A836" s="2"/>
      <c r="B836" s="15">
        <v>5</v>
      </c>
      <c r="C836" s="20" t="s">
        <v>24</v>
      </c>
      <c r="D836" s="16">
        <f t="shared" si="34"/>
        <v>8</v>
      </c>
      <c r="E836" s="17" t="s">
        <v>1019</v>
      </c>
      <c r="F836" s="66" t="s">
        <v>905</v>
      </c>
      <c r="G836" s="18" t="s">
        <v>11</v>
      </c>
      <c r="H836" s="19"/>
      <c r="I836" s="2"/>
    </row>
    <row r="837" spans="1:9" ht="21.6" x14ac:dyDescent="0.3">
      <c r="A837" s="2"/>
      <c r="B837" s="15">
        <v>5</v>
      </c>
      <c r="C837" s="20" t="s">
        <v>24</v>
      </c>
      <c r="D837" s="16">
        <f t="shared" si="34"/>
        <v>9</v>
      </c>
      <c r="E837" s="17" t="s">
        <v>1010</v>
      </c>
      <c r="F837" s="66" t="s">
        <v>1020</v>
      </c>
      <c r="G837" s="18" t="s">
        <v>11</v>
      </c>
      <c r="H837" s="19"/>
      <c r="I837" s="2"/>
    </row>
    <row r="838" spans="1:9" ht="54" x14ac:dyDescent="0.3">
      <c r="A838" s="2"/>
      <c r="B838" s="15">
        <v>5</v>
      </c>
      <c r="C838" s="20" t="s">
        <v>24</v>
      </c>
      <c r="D838" s="16">
        <f t="shared" si="34"/>
        <v>10</v>
      </c>
      <c r="E838" s="17" t="s">
        <v>535</v>
      </c>
      <c r="F838" s="66" t="s">
        <v>534</v>
      </c>
      <c r="G838" s="18" t="s">
        <v>11</v>
      </c>
      <c r="H838" s="19"/>
      <c r="I838" s="2"/>
    </row>
    <row r="839" spans="1:9" ht="21.6" x14ac:dyDescent="0.3">
      <c r="A839" s="2"/>
      <c r="B839" s="15">
        <v>5</v>
      </c>
      <c r="C839" s="20" t="s">
        <v>24</v>
      </c>
      <c r="D839" s="16">
        <f t="shared" si="34"/>
        <v>11</v>
      </c>
      <c r="E839" s="17" t="s">
        <v>1022</v>
      </c>
      <c r="F839" s="66" t="s">
        <v>1021</v>
      </c>
      <c r="G839" s="18" t="s">
        <v>11</v>
      </c>
      <c r="H839" s="19"/>
      <c r="I839" s="2"/>
    </row>
    <row r="840" spans="1:9" ht="21.6" x14ac:dyDescent="0.3">
      <c r="A840" s="2"/>
      <c r="B840" s="15">
        <v>5</v>
      </c>
      <c r="C840" s="20" t="s">
        <v>24</v>
      </c>
      <c r="D840" s="16">
        <f t="shared" si="34"/>
        <v>12</v>
      </c>
      <c r="E840" s="17" t="s">
        <v>198</v>
      </c>
      <c r="F840" s="66" t="s">
        <v>1023</v>
      </c>
      <c r="G840" s="18" t="s">
        <v>11</v>
      </c>
      <c r="H840" s="19"/>
      <c r="I840" s="2"/>
    </row>
    <row r="841" spans="1:9" ht="13.2" x14ac:dyDescent="0.3">
      <c r="A841" s="2"/>
      <c r="B841" s="15">
        <v>5</v>
      </c>
      <c r="C841" s="20" t="s">
        <v>24</v>
      </c>
      <c r="D841" s="16">
        <f t="shared" si="34"/>
        <v>13</v>
      </c>
      <c r="E841" s="17" t="s">
        <v>902</v>
      </c>
      <c r="F841" s="66" t="s">
        <v>901</v>
      </c>
      <c r="G841" s="18" t="s">
        <v>11</v>
      </c>
      <c r="H841" s="19"/>
      <c r="I841" s="2"/>
    </row>
    <row r="842" spans="1:9" ht="32.4" x14ac:dyDescent="0.3">
      <c r="A842" s="2"/>
      <c r="B842" s="15">
        <v>5</v>
      </c>
      <c r="C842" s="20" t="s">
        <v>24</v>
      </c>
      <c r="D842" s="16">
        <f t="shared" si="34"/>
        <v>14</v>
      </c>
      <c r="E842" s="17" t="s">
        <v>608</v>
      </c>
      <c r="F842" s="66" t="s">
        <v>607</v>
      </c>
      <c r="G842" s="18" t="s">
        <v>11</v>
      </c>
      <c r="H842" s="19"/>
      <c r="I842" s="2"/>
    </row>
    <row r="843" spans="1:9" ht="43.2" x14ac:dyDescent="0.3">
      <c r="A843" s="2"/>
      <c r="B843" s="15">
        <v>5</v>
      </c>
      <c r="C843" s="20" t="s">
        <v>24</v>
      </c>
      <c r="D843" s="16">
        <f t="shared" si="34"/>
        <v>15</v>
      </c>
      <c r="E843" s="17" t="s">
        <v>900</v>
      </c>
      <c r="F843" s="66" t="s">
        <v>899</v>
      </c>
      <c r="G843" s="18" t="s">
        <v>11</v>
      </c>
      <c r="H843" s="19"/>
      <c r="I843" s="2"/>
    </row>
    <row r="844" spans="1:9" ht="21.6" x14ac:dyDescent="0.3">
      <c r="A844" s="2"/>
      <c r="B844" s="15">
        <v>5</v>
      </c>
      <c r="C844" s="20" t="s">
        <v>24</v>
      </c>
      <c r="D844" s="16">
        <f t="shared" si="34"/>
        <v>16</v>
      </c>
      <c r="E844" s="17" t="s">
        <v>894</v>
      </c>
      <c r="F844" s="66" t="s">
        <v>892</v>
      </c>
      <c r="G844" s="18" t="s">
        <v>11</v>
      </c>
      <c r="H844" s="19"/>
      <c r="I844" s="2"/>
    </row>
    <row r="845" spans="1:9" ht="32.4" x14ac:dyDescent="0.3">
      <c r="A845" s="2"/>
      <c r="B845" s="15">
        <v>5</v>
      </c>
      <c r="C845" s="20" t="s">
        <v>24</v>
      </c>
      <c r="D845" s="16">
        <f t="shared" si="34"/>
        <v>17</v>
      </c>
      <c r="E845" s="17" t="s">
        <v>893</v>
      </c>
      <c r="F845" s="66" t="s">
        <v>889</v>
      </c>
      <c r="G845" s="18" t="s">
        <v>11</v>
      </c>
      <c r="H845" s="19"/>
      <c r="I845" s="2"/>
    </row>
    <row r="846" spans="1:9" ht="21.6" x14ac:dyDescent="0.3">
      <c r="A846" s="2"/>
      <c r="B846" s="15">
        <v>5</v>
      </c>
      <c r="C846" s="20" t="s">
        <v>24</v>
      </c>
      <c r="D846" s="16">
        <f t="shared" si="34"/>
        <v>18</v>
      </c>
      <c r="E846" s="17" t="s">
        <v>891</v>
      </c>
      <c r="F846" s="66" t="s">
        <v>890</v>
      </c>
      <c r="G846" s="18" t="s">
        <v>11</v>
      </c>
      <c r="H846" s="19"/>
      <c r="I846" s="2"/>
    </row>
    <row r="847" spans="1:9" ht="21.6" x14ac:dyDescent="0.3">
      <c r="A847" s="2"/>
      <c r="B847" s="15">
        <v>5</v>
      </c>
      <c r="C847" s="20" t="s">
        <v>24</v>
      </c>
      <c r="D847" s="16">
        <f t="shared" si="34"/>
        <v>19</v>
      </c>
      <c r="E847" s="17" t="s">
        <v>904</v>
      </c>
      <c r="F847" s="66" t="s">
        <v>895</v>
      </c>
      <c r="G847" s="18" t="s">
        <v>11</v>
      </c>
      <c r="H847" s="19"/>
      <c r="I847" s="2"/>
    </row>
    <row r="848" spans="1:9" ht="32.4" x14ac:dyDescent="0.3">
      <c r="A848" s="2"/>
      <c r="B848" s="15">
        <v>5</v>
      </c>
      <c r="C848" s="20" t="s">
        <v>24</v>
      </c>
      <c r="D848" s="16">
        <f t="shared" si="34"/>
        <v>20</v>
      </c>
      <c r="E848" s="17" t="s">
        <v>897</v>
      </c>
      <c r="F848" s="66" t="s">
        <v>896</v>
      </c>
      <c r="G848" s="18" t="s">
        <v>11</v>
      </c>
      <c r="H848" s="19"/>
      <c r="I848" s="2"/>
    </row>
    <row r="849" spans="1:9" ht="32.4" x14ac:dyDescent="0.3">
      <c r="A849" s="2"/>
      <c r="B849" s="15">
        <v>5</v>
      </c>
      <c r="C849" s="20" t="s">
        <v>24</v>
      </c>
      <c r="D849" s="16">
        <f t="shared" si="34"/>
        <v>21</v>
      </c>
      <c r="E849" s="17" t="s">
        <v>452</v>
      </c>
      <c r="F849" s="66" t="s">
        <v>451</v>
      </c>
      <c r="G849" s="18" t="s">
        <v>11</v>
      </c>
      <c r="H849" s="19"/>
      <c r="I849" s="2"/>
    </row>
    <row r="850" spans="1:9" ht="32.4" x14ac:dyDescent="0.3">
      <c r="A850" s="2"/>
      <c r="B850" s="15">
        <v>5</v>
      </c>
      <c r="C850" s="20" t="s">
        <v>24</v>
      </c>
      <c r="D850" s="16">
        <f t="shared" si="34"/>
        <v>22</v>
      </c>
      <c r="E850" s="17" t="s">
        <v>454</v>
      </c>
      <c r="F850" s="66" t="s">
        <v>453</v>
      </c>
      <c r="G850" s="18" t="s">
        <v>11</v>
      </c>
      <c r="H850" s="19"/>
      <c r="I850" s="2"/>
    </row>
    <row r="851" spans="1:9" ht="32.4" x14ac:dyDescent="0.3">
      <c r="A851" s="2"/>
      <c r="B851" s="15">
        <v>5</v>
      </c>
      <c r="C851" s="20" t="s">
        <v>24</v>
      </c>
      <c r="D851" s="16">
        <f t="shared" si="34"/>
        <v>23</v>
      </c>
      <c r="E851" s="17" t="s">
        <v>456</v>
      </c>
      <c r="F851" s="66" t="s">
        <v>455</v>
      </c>
      <c r="G851" s="18" t="s">
        <v>11</v>
      </c>
      <c r="H851" s="19"/>
      <c r="I851" s="2"/>
    </row>
    <row r="852" spans="1:9" ht="21.6" x14ac:dyDescent="0.3">
      <c r="A852" s="2"/>
      <c r="B852" s="15">
        <v>5</v>
      </c>
      <c r="C852" s="20" t="s">
        <v>24</v>
      </c>
      <c r="D852" s="16">
        <f t="shared" si="34"/>
        <v>24</v>
      </c>
      <c r="E852" s="17" t="s">
        <v>552</v>
      </c>
      <c r="F852" s="66" t="s">
        <v>457</v>
      </c>
      <c r="G852" s="18" t="s">
        <v>11</v>
      </c>
      <c r="H852" s="19"/>
      <c r="I852" s="2"/>
    </row>
    <row r="853" spans="1:9" ht="54" x14ac:dyDescent="0.3">
      <c r="A853" s="2"/>
      <c r="B853" s="15">
        <v>5</v>
      </c>
      <c r="C853" s="20" t="s">
        <v>24</v>
      </c>
      <c r="D853" s="16">
        <f t="shared" si="34"/>
        <v>25</v>
      </c>
      <c r="E853" s="17" t="s">
        <v>554</v>
      </c>
      <c r="F853" s="66" t="s">
        <v>553</v>
      </c>
      <c r="G853" s="18" t="s">
        <v>11</v>
      </c>
      <c r="H853" s="19"/>
      <c r="I853" s="2"/>
    </row>
    <row r="854" spans="1:9" ht="54" x14ac:dyDescent="0.3">
      <c r="A854" s="2"/>
      <c r="B854" s="15">
        <v>5</v>
      </c>
      <c r="C854" s="20" t="s">
        <v>24</v>
      </c>
      <c r="D854" s="16">
        <f t="shared" si="34"/>
        <v>26</v>
      </c>
      <c r="E854" s="17" t="s">
        <v>888</v>
      </c>
      <c r="F854" s="66" t="s">
        <v>887</v>
      </c>
      <c r="G854" s="18" t="s">
        <v>11</v>
      </c>
      <c r="H854" s="19"/>
      <c r="I854" s="2"/>
    </row>
    <row r="855" spans="1:9" ht="43.2" x14ac:dyDescent="0.3">
      <c r="A855" s="2"/>
      <c r="B855" s="15">
        <v>5</v>
      </c>
      <c r="C855" s="20" t="s">
        <v>24</v>
      </c>
      <c r="D855" s="16">
        <f t="shared" si="34"/>
        <v>27</v>
      </c>
      <c r="E855" s="17" t="s">
        <v>886</v>
      </c>
      <c r="F855" s="66" t="s">
        <v>885</v>
      </c>
      <c r="G855" s="18" t="s">
        <v>11</v>
      </c>
      <c r="H855" s="19"/>
      <c r="I855" s="2"/>
    </row>
    <row r="856" spans="1:9" ht="32.4" x14ac:dyDescent="0.3">
      <c r="A856" s="2"/>
      <c r="B856" s="15">
        <v>5</v>
      </c>
      <c r="C856" s="20" t="s">
        <v>24</v>
      </c>
      <c r="D856" s="16">
        <f t="shared" si="34"/>
        <v>28</v>
      </c>
      <c r="E856" s="17" t="s">
        <v>665</v>
      </c>
      <c r="F856" s="66" t="s">
        <v>884</v>
      </c>
      <c r="G856" s="18" t="s">
        <v>11</v>
      </c>
      <c r="H856" s="19"/>
      <c r="I856" s="2"/>
    </row>
    <row r="857" spans="1:9" ht="32.4" x14ac:dyDescent="0.3">
      <c r="A857" s="2"/>
      <c r="B857" s="15">
        <v>5</v>
      </c>
      <c r="C857" s="20" t="s">
        <v>24</v>
      </c>
      <c r="D857" s="16">
        <f t="shared" si="34"/>
        <v>29</v>
      </c>
      <c r="E857" s="17" t="s">
        <v>662</v>
      </c>
      <c r="F857" s="66" t="s">
        <v>903</v>
      </c>
      <c r="G857" s="18" t="s">
        <v>11</v>
      </c>
      <c r="H857" s="19"/>
      <c r="I857" s="2"/>
    </row>
    <row r="858" spans="1:9" ht="18.75" customHeight="1" x14ac:dyDescent="0.3">
      <c r="A858" s="2"/>
      <c r="B858" s="10" t="s">
        <v>35</v>
      </c>
      <c r="C858" s="11"/>
      <c r="D858" s="11"/>
      <c r="E858" s="12" t="str">
        <f>IF(B858=0,"",VLOOKUP(B858,Daten!$A$2:$B$56,2,FALSE))</f>
        <v>Schutzleitfaden-306</v>
      </c>
      <c r="F858" s="12" t="str">
        <f>VLOOKUP(E858,Daten!$B$2:$C$56,2,)</f>
        <v>Fassentleerung</v>
      </c>
      <c r="G858" s="13"/>
      <c r="H858" s="14"/>
      <c r="I858" s="2"/>
    </row>
    <row r="859" spans="1:9" ht="13.2" x14ac:dyDescent="0.3">
      <c r="A859" s="2"/>
      <c r="B859" s="15">
        <v>5</v>
      </c>
      <c r="C859" s="20" t="s">
        <v>26</v>
      </c>
      <c r="D859" s="16">
        <f>ROW(A859)-(ROW(A$858))</f>
        <v>1</v>
      </c>
      <c r="E859" s="17" t="s">
        <v>192</v>
      </c>
      <c r="F859" s="66" t="s">
        <v>782</v>
      </c>
      <c r="G859" s="18" t="s">
        <v>11</v>
      </c>
      <c r="H859" s="19"/>
      <c r="I859" s="2"/>
    </row>
    <row r="860" spans="1:9" ht="21.6" x14ac:dyDescent="0.3">
      <c r="A860" s="2"/>
      <c r="B860" s="15">
        <v>5</v>
      </c>
      <c r="C860" s="20" t="s">
        <v>26</v>
      </c>
      <c r="D860" s="16">
        <f t="shared" ref="D860:D886" si="35">ROW(A860)-(ROW(A$858))</f>
        <v>2</v>
      </c>
      <c r="E860" s="17" t="s">
        <v>983</v>
      </c>
      <c r="F860" s="66" t="s">
        <v>981</v>
      </c>
      <c r="G860" s="18" t="s">
        <v>11</v>
      </c>
      <c r="H860" s="19"/>
      <c r="I860" s="2"/>
    </row>
    <row r="861" spans="1:9" ht="13.2" x14ac:dyDescent="0.3">
      <c r="A861" s="2"/>
      <c r="B861" s="15">
        <v>5</v>
      </c>
      <c r="C861" s="20" t="s">
        <v>26</v>
      </c>
      <c r="D861" s="16">
        <f t="shared" si="35"/>
        <v>3</v>
      </c>
      <c r="E861" s="17" t="s">
        <v>1024</v>
      </c>
      <c r="F861" s="66" t="s">
        <v>1025</v>
      </c>
      <c r="G861" s="18" t="s">
        <v>11</v>
      </c>
      <c r="H861" s="19"/>
      <c r="I861" s="2"/>
    </row>
    <row r="862" spans="1:9" ht="21.6" x14ac:dyDescent="0.3">
      <c r="A862" s="2"/>
      <c r="B862" s="15">
        <v>5</v>
      </c>
      <c r="C862" s="20" t="s">
        <v>26</v>
      </c>
      <c r="D862" s="16">
        <f t="shared" si="35"/>
        <v>4</v>
      </c>
      <c r="E862" s="17" t="s">
        <v>1027</v>
      </c>
      <c r="F862" s="66" t="s">
        <v>1026</v>
      </c>
      <c r="G862" s="18" t="s">
        <v>11</v>
      </c>
      <c r="H862" s="19"/>
      <c r="I862" s="2"/>
    </row>
    <row r="863" spans="1:9" ht="32.4" x14ac:dyDescent="0.3">
      <c r="A863" s="2"/>
      <c r="B863" s="15">
        <v>5</v>
      </c>
      <c r="C863" s="20" t="s">
        <v>26</v>
      </c>
      <c r="D863" s="16">
        <f t="shared" si="35"/>
        <v>5</v>
      </c>
      <c r="E863" s="17" t="s">
        <v>1018</v>
      </c>
      <c r="F863" s="66" t="s">
        <v>1017</v>
      </c>
      <c r="G863" s="18" t="s">
        <v>11</v>
      </c>
      <c r="H863" s="19"/>
      <c r="I863" s="2"/>
    </row>
    <row r="864" spans="1:9" ht="32.4" x14ac:dyDescent="0.3">
      <c r="A864" s="2"/>
      <c r="B864" s="15">
        <v>5</v>
      </c>
      <c r="C864" s="20" t="s">
        <v>26</v>
      </c>
      <c r="D864" s="16">
        <f t="shared" si="35"/>
        <v>6</v>
      </c>
      <c r="E864" s="17" t="s">
        <v>1014</v>
      </c>
      <c r="F864" s="66" t="s">
        <v>1013</v>
      </c>
      <c r="G864" s="18" t="s">
        <v>11</v>
      </c>
      <c r="H864" s="19"/>
      <c r="I864" s="2"/>
    </row>
    <row r="865" spans="1:9" ht="21.6" x14ac:dyDescent="0.3">
      <c r="A865" s="2"/>
      <c r="B865" s="15">
        <v>5</v>
      </c>
      <c r="C865" s="20" t="s">
        <v>26</v>
      </c>
      <c r="D865" s="16">
        <f t="shared" si="35"/>
        <v>7</v>
      </c>
      <c r="E865" s="17" t="s">
        <v>1029</v>
      </c>
      <c r="F865" s="66" t="s">
        <v>1028</v>
      </c>
      <c r="G865" s="18" t="s">
        <v>11</v>
      </c>
      <c r="H865" s="19"/>
      <c r="I865" s="2"/>
    </row>
    <row r="866" spans="1:9" ht="21.6" x14ac:dyDescent="0.3">
      <c r="A866" s="2"/>
      <c r="B866" s="15">
        <v>5</v>
      </c>
      <c r="C866" s="20" t="s">
        <v>26</v>
      </c>
      <c r="D866" s="16">
        <f t="shared" si="35"/>
        <v>8</v>
      </c>
      <c r="E866" s="17" t="s">
        <v>1031</v>
      </c>
      <c r="F866" s="66" t="s">
        <v>1030</v>
      </c>
      <c r="G866" s="18" t="s">
        <v>11</v>
      </c>
      <c r="H866" s="19"/>
      <c r="I866" s="2"/>
    </row>
    <row r="867" spans="1:9" ht="21.6" x14ac:dyDescent="0.3">
      <c r="A867" s="2"/>
      <c r="B867" s="15">
        <v>5</v>
      </c>
      <c r="C867" s="20" t="s">
        <v>26</v>
      </c>
      <c r="D867" s="16">
        <f t="shared" si="35"/>
        <v>9</v>
      </c>
      <c r="E867" s="17" t="s">
        <v>1033</v>
      </c>
      <c r="F867" s="66" t="s">
        <v>1032</v>
      </c>
      <c r="G867" s="18" t="s">
        <v>11</v>
      </c>
      <c r="H867" s="19"/>
      <c r="I867" s="2"/>
    </row>
    <row r="868" spans="1:9" ht="13.2" x14ac:dyDescent="0.3">
      <c r="A868" s="2"/>
      <c r="B868" s="15">
        <v>5</v>
      </c>
      <c r="C868" s="20" t="s">
        <v>26</v>
      </c>
      <c r="D868" s="16">
        <f t="shared" si="35"/>
        <v>10</v>
      </c>
      <c r="E868" s="17" t="s">
        <v>1036</v>
      </c>
      <c r="F868" s="66" t="s">
        <v>1035</v>
      </c>
      <c r="G868" s="18" t="s">
        <v>11</v>
      </c>
      <c r="H868" s="19"/>
      <c r="I868" s="2"/>
    </row>
    <row r="869" spans="1:9" ht="21.6" x14ac:dyDescent="0.3">
      <c r="A869" s="2"/>
      <c r="B869" s="15">
        <v>5</v>
      </c>
      <c r="C869" s="20" t="s">
        <v>26</v>
      </c>
      <c r="D869" s="16">
        <f t="shared" si="35"/>
        <v>11</v>
      </c>
      <c r="E869" s="17" t="s">
        <v>733</v>
      </c>
      <c r="F869" s="66" t="s">
        <v>1034</v>
      </c>
      <c r="G869" s="18" t="s">
        <v>11</v>
      </c>
      <c r="H869" s="19"/>
      <c r="I869" s="2"/>
    </row>
    <row r="870" spans="1:9" ht="54" x14ac:dyDescent="0.3">
      <c r="A870" s="2"/>
      <c r="B870" s="15">
        <v>5</v>
      </c>
      <c r="C870" s="20" t="s">
        <v>26</v>
      </c>
      <c r="D870" s="16">
        <f t="shared" si="35"/>
        <v>12</v>
      </c>
      <c r="E870" s="17" t="s">
        <v>535</v>
      </c>
      <c r="F870" s="66" t="s">
        <v>534</v>
      </c>
      <c r="G870" s="18" t="s">
        <v>11</v>
      </c>
      <c r="H870" s="19"/>
      <c r="I870" s="2"/>
    </row>
    <row r="871" spans="1:9" ht="32.4" x14ac:dyDescent="0.3">
      <c r="A871" s="2"/>
      <c r="B871" s="15">
        <v>5</v>
      </c>
      <c r="C871" s="20" t="s">
        <v>26</v>
      </c>
      <c r="D871" s="16">
        <f t="shared" si="35"/>
        <v>13</v>
      </c>
      <c r="E871" s="17" t="s">
        <v>608</v>
      </c>
      <c r="F871" s="66" t="s">
        <v>607</v>
      </c>
      <c r="G871" s="18" t="s">
        <v>11</v>
      </c>
      <c r="H871" s="19"/>
      <c r="I871" s="2"/>
    </row>
    <row r="872" spans="1:9" ht="43.2" x14ac:dyDescent="0.3">
      <c r="A872" s="2"/>
      <c r="B872" s="15">
        <v>5</v>
      </c>
      <c r="C872" s="20" t="s">
        <v>26</v>
      </c>
      <c r="D872" s="16">
        <f t="shared" si="35"/>
        <v>14</v>
      </c>
      <c r="E872" s="17" t="s">
        <v>900</v>
      </c>
      <c r="F872" s="66" t="s">
        <v>899</v>
      </c>
      <c r="G872" s="18" t="s">
        <v>11</v>
      </c>
      <c r="H872" s="19"/>
      <c r="I872" s="2"/>
    </row>
    <row r="873" spans="1:9" ht="21.6" x14ac:dyDescent="0.3">
      <c r="A873" s="2"/>
      <c r="B873" s="15">
        <v>5</v>
      </c>
      <c r="C873" s="20" t="s">
        <v>26</v>
      </c>
      <c r="D873" s="16">
        <f t="shared" si="35"/>
        <v>15</v>
      </c>
      <c r="E873" s="17" t="s">
        <v>894</v>
      </c>
      <c r="F873" s="66" t="s">
        <v>892</v>
      </c>
      <c r="G873" s="18" t="s">
        <v>11</v>
      </c>
      <c r="H873" s="19"/>
      <c r="I873" s="2"/>
    </row>
    <row r="874" spans="1:9" ht="32.4" x14ac:dyDescent="0.3">
      <c r="A874" s="2"/>
      <c r="B874" s="15">
        <v>5</v>
      </c>
      <c r="C874" s="20" t="s">
        <v>26</v>
      </c>
      <c r="D874" s="16">
        <f t="shared" si="35"/>
        <v>16</v>
      </c>
      <c r="E874" s="17" t="s">
        <v>893</v>
      </c>
      <c r="F874" s="66" t="s">
        <v>889</v>
      </c>
      <c r="G874" s="18" t="s">
        <v>11</v>
      </c>
      <c r="H874" s="19"/>
      <c r="I874" s="2"/>
    </row>
    <row r="875" spans="1:9" ht="21.6" x14ac:dyDescent="0.3">
      <c r="A875" s="2"/>
      <c r="B875" s="15">
        <v>5</v>
      </c>
      <c r="C875" s="20" t="s">
        <v>26</v>
      </c>
      <c r="D875" s="16">
        <f t="shared" si="35"/>
        <v>17</v>
      </c>
      <c r="E875" s="17" t="s">
        <v>891</v>
      </c>
      <c r="F875" s="66" t="s">
        <v>890</v>
      </c>
      <c r="G875" s="18" t="s">
        <v>11</v>
      </c>
      <c r="H875" s="19"/>
      <c r="I875" s="2"/>
    </row>
    <row r="876" spans="1:9" ht="21.6" x14ac:dyDescent="0.3">
      <c r="A876" s="2"/>
      <c r="B876" s="15">
        <v>5</v>
      </c>
      <c r="C876" s="20" t="s">
        <v>26</v>
      </c>
      <c r="D876" s="16">
        <f t="shared" si="35"/>
        <v>18</v>
      </c>
      <c r="E876" s="17" t="s">
        <v>898</v>
      </c>
      <c r="F876" s="66" t="s">
        <v>895</v>
      </c>
      <c r="G876" s="18" t="s">
        <v>11</v>
      </c>
      <c r="H876" s="19"/>
      <c r="I876" s="2"/>
    </row>
    <row r="877" spans="1:9" ht="32.4" x14ac:dyDescent="0.3">
      <c r="A877" s="2"/>
      <c r="B877" s="15">
        <v>5</v>
      </c>
      <c r="C877" s="20" t="s">
        <v>26</v>
      </c>
      <c r="D877" s="16">
        <f t="shared" si="35"/>
        <v>19</v>
      </c>
      <c r="E877" s="17" t="s">
        <v>897</v>
      </c>
      <c r="F877" s="66" t="s">
        <v>896</v>
      </c>
      <c r="G877" s="18" t="s">
        <v>11</v>
      </c>
      <c r="H877" s="19"/>
      <c r="I877" s="2"/>
    </row>
    <row r="878" spans="1:9" ht="32.4" x14ac:dyDescent="0.3">
      <c r="A878" s="2"/>
      <c r="B878" s="15">
        <v>5</v>
      </c>
      <c r="C878" s="20" t="s">
        <v>26</v>
      </c>
      <c r="D878" s="16">
        <f t="shared" si="35"/>
        <v>20</v>
      </c>
      <c r="E878" s="17" t="s">
        <v>452</v>
      </c>
      <c r="F878" s="66" t="s">
        <v>451</v>
      </c>
      <c r="G878" s="18" t="s">
        <v>11</v>
      </c>
      <c r="H878" s="19"/>
      <c r="I878" s="2"/>
    </row>
    <row r="879" spans="1:9" ht="32.4" x14ac:dyDescent="0.3">
      <c r="A879" s="2"/>
      <c r="B879" s="15">
        <v>5</v>
      </c>
      <c r="C879" s="20" t="s">
        <v>26</v>
      </c>
      <c r="D879" s="16">
        <f t="shared" si="35"/>
        <v>21</v>
      </c>
      <c r="E879" s="17" t="s">
        <v>454</v>
      </c>
      <c r="F879" s="66" t="s">
        <v>453</v>
      </c>
      <c r="G879" s="18" t="s">
        <v>11</v>
      </c>
      <c r="H879" s="19"/>
      <c r="I879" s="2"/>
    </row>
    <row r="880" spans="1:9" ht="32.4" x14ac:dyDescent="0.3">
      <c r="A880" s="2"/>
      <c r="B880" s="15">
        <v>5</v>
      </c>
      <c r="C880" s="20" t="s">
        <v>26</v>
      </c>
      <c r="D880" s="16">
        <f t="shared" si="35"/>
        <v>22</v>
      </c>
      <c r="E880" s="17" t="s">
        <v>456</v>
      </c>
      <c r="F880" s="66" t="s">
        <v>455</v>
      </c>
      <c r="G880" s="18" t="s">
        <v>11</v>
      </c>
      <c r="H880" s="19"/>
      <c r="I880" s="2"/>
    </row>
    <row r="881" spans="1:9" ht="21.6" x14ac:dyDescent="0.3">
      <c r="A881" s="2"/>
      <c r="B881" s="15">
        <v>5</v>
      </c>
      <c r="C881" s="20" t="s">
        <v>26</v>
      </c>
      <c r="D881" s="16">
        <f t="shared" si="35"/>
        <v>23</v>
      </c>
      <c r="E881" s="17" t="s">
        <v>552</v>
      </c>
      <c r="F881" s="66" t="s">
        <v>457</v>
      </c>
      <c r="G881" s="18" t="s">
        <v>11</v>
      </c>
      <c r="H881" s="19"/>
      <c r="I881" s="2"/>
    </row>
    <row r="882" spans="1:9" ht="54" x14ac:dyDescent="0.3">
      <c r="A882" s="2"/>
      <c r="B882" s="15">
        <v>5</v>
      </c>
      <c r="C882" s="20" t="s">
        <v>26</v>
      </c>
      <c r="D882" s="16">
        <f t="shared" si="35"/>
        <v>24</v>
      </c>
      <c r="E882" s="17" t="s">
        <v>554</v>
      </c>
      <c r="F882" s="66" t="s">
        <v>553</v>
      </c>
      <c r="G882" s="18" t="s">
        <v>11</v>
      </c>
      <c r="H882" s="19"/>
      <c r="I882" s="2"/>
    </row>
    <row r="883" spans="1:9" ht="54" x14ac:dyDescent="0.3">
      <c r="A883" s="2"/>
      <c r="B883" s="15">
        <v>5</v>
      </c>
      <c r="C883" s="20" t="s">
        <v>26</v>
      </c>
      <c r="D883" s="16">
        <f t="shared" si="35"/>
        <v>25</v>
      </c>
      <c r="E883" s="17" t="s">
        <v>888</v>
      </c>
      <c r="F883" s="66" t="s">
        <v>887</v>
      </c>
      <c r="G883" s="18" t="s">
        <v>11</v>
      </c>
      <c r="H883" s="19"/>
      <c r="I883" s="2"/>
    </row>
    <row r="884" spans="1:9" ht="43.2" x14ac:dyDescent="0.3">
      <c r="A884" s="2"/>
      <c r="B884" s="15">
        <v>5</v>
      </c>
      <c r="C884" s="20" t="s">
        <v>26</v>
      </c>
      <c r="D884" s="16">
        <f t="shared" si="35"/>
        <v>26</v>
      </c>
      <c r="E884" s="17" t="s">
        <v>886</v>
      </c>
      <c r="F884" s="66" t="s">
        <v>885</v>
      </c>
      <c r="G884" s="18" t="s">
        <v>11</v>
      </c>
      <c r="H884" s="19"/>
      <c r="I884" s="2"/>
    </row>
    <row r="885" spans="1:9" ht="32.4" x14ac:dyDescent="0.3">
      <c r="A885" s="2"/>
      <c r="B885" s="15">
        <v>5</v>
      </c>
      <c r="C885" s="20" t="s">
        <v>26</v>
      </c>
      <c r="D885" s="16">
        <f t="shared" si="35"/>
        <v>27</v>
      </c>
      <c r="E885" s="17" t="s">
        <v>665</v>
      </c>
      <c r="F885" s="66" t="s">
        <v>884</v>
      </c>
      <c r="G885" s="18" t="s">
        <v>11</v>
      </c>
      <c r="H885" s="19"/>
      <c r="I885" s="2"/>
    </row>
    <row r="886" spans="1:9" ht="32.4" x14ac:dyDescent="0.3">
      <c r="A886" s="2"/>
      <c r="B886" s="15">
        <v>5</v>
      </c>
      <c r="C886" s="20" t="s">
        <v>26</v>
      </c>
      <c r="D886" s="16">
        <f t="shared" si="35"/>
        <v>28</v>
      </c>
      <c r="E886" s="17" t="s">
        <v>662</v>
      </c>
      <c r="F886" s="66" t="s">
        <v>680</v>
      </c>
      <c r="G886" s="18" t="s">
        <v>11</v>
      </c>
      <c r="H886" s="19"/>
      <c r="I886" s="2"/>
    </row>
    <row r="887" spans="1:9" ht="18.75" customHeight="1" x14ac:dyDescent="0.3">
      <c r="A887" s="2"/>
      <c r="B887" s="10" t="s">
        <v>36</v>
      </c>
      <c r="C887" s="11"/>
      <c r="D887" s="11"/>
      <c r="E887" s="12" t="str">
        <f>IF(B887=0,"",VLOOKUP(B887,Daten!$A$2:$B$56,2,FALSE))</f>
        <v>Schutzleitfaden-307</v>
      </c>
      <c r="F887" s="12" t="str">
        <f>VLOOKUP(E887,Daten!$B$2:$C$56,2,)</f>
        <v>Befüllung und Entleerung von IBC-Containern (Feststoffe)</v>
      </c>
      <c r="G887" s="13"/>
      <c r="H887" s="14"/>
      <c r="I887" s="2"/>
    </row>
    <row r="888" spans="1:9" ht="13.2" x14ac:dyDescent="0.3">
      <c r="A888" s="2"/>
      <c r="B888" s="15">
        <v>5</v>
      </c>
      <c r="C888" s="20" t="s">
        <v>41</v>
      </c>
      <c r="D888" s="16">
        <f>ROW(A888)-(ROW(A$887))</f>
        <v>1</v>
      </c>
      <c r="E888" s="17" t="s">
        <v>192</v>
      </c>
      <c r="F888" s="66" t="s">
        <v>782</v>
      </c>
      <c r="G888" s="18" t="s">
        <v>11</v>
      </c>
      <c r="H888" s="19"/>
      <c r="I888" s="2"/>
    </row>
    <row r="889" spans="1:9" ht="21.6" x14ac:dyDescent="0.3">
      <c r="A889" s="2"/>
      <c r="B889" s="15">
        <v>5</v>
      </c>
      <c r="C889" s="20" t="s">
        <v>41</v>
      </c>
      <c r="D889" s="16">
        <f t="shared" ref="D889:D913" si="36">ROW(A889)-(ROW(A$887))</f>
        <v>2</v>
      </c>
      <c r="E889" s="17" t="s">
        <v>983</v>
      </c>
      <c r="F889" s="66" t="s">
        <v>981</v>
      </c>
      <c r="G889" s="18" t="s">
        <v>11</v>
      </c>
      <c r="H889" s="19"/>
      <c r="I889" s="2"/>
    </row>
    <row r="890" spans="1:9" ht="21.6" x14ac:dyDescent="0.3">
      <c r="A890" s="2"/>
      <c r="B890" s="15">
        <v>5</v>
      </c>
      <c r="C890" s="20" t="s">
        <v>41</v>
      </c>
      <c r="D890" s="16">
        <f t="shared" si="36"/>
        <v>3</v>
      </c>
      <c r="E890" s="17" t="s">
        <v>698</v>
      </c>
      <c r="F890" s="66" t="s">
        <v>1037</v>
      </c>
      <c r="G890" s="18" t="s">
        <v>11</v>
      </c>
      <c r="H890" s="19"/>
      <c r="I890" s="2"/>
    </row>
    <row r="891" spans="1:9" ht="21.6" x14ac:dyDescent="0.3">
      <c r="A891" s="2"/>
      <c r="B891" s="15">
        <v>5</v>
      </c>
      <c r="C891" s="20" t="s">
        <v>41</v>
      </c>
      <c r="D891" s="16">
        <f t="shared" si="36"/>
        <v>4</v>
      </c>
      <c r="E891" s="17" t="s">
        <v>526</v>
      </c>
      <c r="F891" s="66" t="s">
        <v>906</v>
      </c>
      <c r="G891" s="18" t="s">
        <v>11</v>
      </c>
      <c r="H891" s="19"/>
      <c r="I891" s="2"/>
    </row>
    <row r="892" spans="1:9" ht="13.2" x14ac:dyDescent="0.3">
      <c r="A892" s="2"/>
      <c r="B892" s="15">
        <v>5</v>
      </c>
      <c r="C892" s="20" t="s">
        <v>41</v>
      </c>
      <c r="D892" s="16">
        <f t="shared" si="36"/>
        <v>5</v>
      </c>
      <c r="E892" s="17" t="s">
        <v>696</v>
      </c>
      <c r="F892" s="66" t="s">
        <v>695</v>
      </c>
      <c r="G892" s="18" t="s">
        <v>11</v>
      </c>
      <c r="H892" s="19"/>
      <c r="I892" s="2"/>
    </row>
    <row r="893" spans="1:9" ht="32.4" x14ac:dyDescent="0.3">
      <c r="A893" s="2"/>
      <c r="B893" s="15">
        <v>5</v>
      </c>
      <c r="C893" s="20" t="s">
        <v>41</v>
      </c>
      <c r="D893" s="16">
        <f t="shared" si="36"/>
        <v>6</v>
      </c>
      <c r="E893" s="17" t="s">
        <v>1039</v>
      </c>
      <c r="F893" s="66" t="s">
        <v>1038</v>
      </c>
      <c r="G893" s="18" t="s">
        <v>11</v>
      </c>
      <c r="H893" s="19"/>
      <c r="I893" s="2"/>
    </row>
    <row r="894" spans="1:9" ht="32.4" x14ac:dyDescent="0.3">
      <c r="A894" s="2"/>
      <c r="B894" s="15">
        <v>5</v>
      </c>
      <c r="C894" s="20" t="s">
        <v>41</v>
      </c>
      <c r="D894" s="16">
        <f t="shared" si="36"/>
        <v>7</v>
      </c>
      <c r="E894" s="17" t="s">
        <v>686</v>
      </c>
      <c r="F894" s="66" t="s">
        <v>1050</v>
      </c>
      <c r="G894" s="18" t="s">
        <v>11</v>
      </c>
      <c r="H894" s="19"/>
      <c r="I894" s="2"/>
    </row>
    <row r="895" spans="1:9" ht="21.6" x14ac:dyDescent="0.3">
      <c r="A895" s="2"/>
      <c r="B895" s="15">
        <v>5</v>
      </c>
      <c r="C895" s="20" t="s">
        <v>41</v>
      </c>
      <c r="D895" s="16">
        <f t="shared" si="36"/>
        <v>8</v>
      </c>
      <c r="E895" s="17" t="s">
        <v>1040</v>
      </c>
      <c r="F895" s="66" t="s">
        <v>1041</v>
      </c>
      <c r="G895" s="18" t="s">
        <v>11</v>
      </c>
      <c r="H895" s="19"/>
      <c r="I895" s="2"/>
    </row>
    <row r="896" spans="1:9" ht="21.6" x14ac:dyDescent="0.3">
      <c r="A896" s="2"/>
      <c r="B896" s="15">
        <v>5</v>
      </c>
      <c r="C896" s="20" t="s">
        <v>41</v>
      </c>
      <c r="D896" s="16">
        <f t="shared" si="36"/>
        <v>9</v>
      </c>
      <c r="E896" s="17" t="s">
        <v>1048</v>
      </c>
      <c r="F896" s="66" t="s">
        <v>1047</v>
      </c>
      <c r="G896" s="18" t="s">
        <v>11</v>
      </c>
      <c r="H896" s="19"/>
      <c r="I896" s="2"/>
    </row>
    <row r="897" spans="1:9" ht="43.2" x14ac:dyDescent="0.3">
      <c r="A897" s="2"/>
      <c r="B897" s="15">
        <v>5</v>
      </c>
      <c r="C897" s="20" t="s">
        <v>41</v>
      </c>
      <c r="D897" s="16">
        <f t="shared" si="36"/>
        <v>10</v>
      </c>
      <c r="E897" s="17" t="s">
        <v>198</v>
      </c>
      <c r="F897" s="66" t="s">
        <v>1049</v>
      </c>
      <c r="G897" s="18" t="s">
        <v>11</v>
      </c>
      <c r="H897" s="19"/>
      <c r="I897" s="2"/>
    </row>
    <row r="898" spans="1:9" ht="43.2" x14ac:dyDescent="0.3">
      <c r="A898" s="2"/>
      <c r="B898" s="15">
        <v>5</v>
      </c>
      <c r="C898" s="20" t="s">
        <v>41</v>
      </c>
      <c r="D898" s="16">
        <f t="shared" si="36"/>
        <v>11</v>
      </c>
      <c r="E898" s="17" t="s">
        <v>900</v>
      </c>
      <c r="F898" s="66" t="s">
        <v>1051</v>
      </c>
      <c r="G898" s="18" t="s">
        <v>11</v>
      </c>
      <c r="H898" s="19"/>
      <c r="I898" s="2"/>
    </row>
    <row r="899" spans="1:9" ht="21.6" x14ac:dyDescent="0.3">
      <c r="A899" s="2"/>
      <c r="B899" s="15">
        <v>5</v>
      </c>
      <c r="C899" s="20" t="s">
        <v>41</v>
      </c>
      <c r="D899" s="16">
        <f t="shared" si="36"/>
        <v>12</v>
      </c>
      <c r="E899" s="17" t="s">
        <v>894</v>
      </c>
      <c r="F899" s="66" t="s">
        <v>892</v>
      </c>
      <c r="G899" s="18" t="s">
        <v>11</v>
      </c>
      <c r="H899" s="19"/>
      <c r="I899" s="2"/>
    </row>
    <row r="900" spans="1:9" ht="32.4" x14ac:dyDescent="0.3">
      <c r="A900" s="2"/>
      <c r="B900" s="15">
        <v>5</v>
      </c>
      <c r="C900" s="20" t="s">
        <v>41</v>
      </c>
      <c r="D900" s="16">
        <f t="shared" si="36"/>
        <v>13</v>
      </c>
      <c r="E900" s="17" t="s">
        <v>893</v>
      </c>
      <c r="F900" s="66" t="s">
        <v>889</v>
      </c>
      <c r="G900" s="18" t="s">
        <v>11</v>
      </c>
      <c r="H900" s="19"/>
      <c r="I900" s="2"/>
    </row>
    <row r="901" spans="1:9" ht="21.6" x14ac:dyDescent="0.3">
      <c r="A901" s="2"/>
      <c r="B901" s="15">
        <v>5</v>
      </c>
      <c r="C901" s="20" t="s">
        <v>41</v>
      </c>
      <c r="D901" s="16">
        <f t="shared" si="36"/>
        <v>14</v>
      </c>
      <c r="E901" s="17" t="s">
        <v>891</v>
      </c>
      <c r="F901" s="66" t="s">
        <v>890</v>
      </c>
      <c r="G901" s="18" t="s">
        <v>11</v>
      </c>
      <c r="H901" s="19"/>
      <c r="I901" s="2"/>
    </row>
    <row r="902" spans="1:9" ht="13.2" x14ac:dyDescent="0.3">
      <c r="A902" s="2"/>
      <c r="B902" s="15">
        <v>5</v>
      </c>
      <c r="C902" s="20" t="s">
        <v>41</v>
      </c>
      <c r="D902" s="16">
        <f t="shared" si="36"/>
        <v>15</v>
      </c>
      <c r="E902" s="17" t="s">
        <v>902</v>
      </c>
      <c r="F902" s="66" t="s">
        <v>1042</v>
      </c>
      <c r="G902" s="18" t="s">
        <v>11</v>
      </c>
      <c r="H902" s="19"/>
      <c r="I902" s="2"/>
    </row>
    <row r="903" spans="1:9" ht="21.6" x14ac:dyDescent="0.3">
      <c r="A903" s="2"/>
      <c r="B903" s="15">
        <v>5</v>
      </c>
      <c r="C903" s="20" t="s">
        <v>41</v>
      </c>
      <c r="D903" s="16">
        <f t="shared" si="36"/>
        <v>16</v>
      </c>
      <c r="E903" s="17" t="s">
        <v>1044</v>
      </c>
      <c r="F903" s="66" t="s">
        <v>1043</v>
      </c>
      <c r="G903" s="18" t="s">
        <v>11</v>
      </c>
      <c r="H903" s="19"/>
      <c r="I903" s="2"/>
    </row>
    <row r="904" spans="1:9" ht="32.4" x14ac:dyDescent="0.3">
      <c r="A904" s="2"/>
      <c r="B904" s="15">
        <v>5</v>
      </c>
      <c r="C904" s="20" t="s">
        <v>41</v>
      </c>
      <c r="D904" s="16">
        <f t="shared" si="36"/>
        <v>17</v>
      </c>
      <c r="E904" s="17" t="s">
        <v>1046</v>
      </c>
      <c r="F904" s="66" t="s">
        <v>1045</v>
      </c>
      <c r="G904" s="18" t="s">
        <v>11</v>
      </c>
      <c r="H904" s="19"/>
      <c r="I904" s="2"/>
    </row>
    <row r="905" spans="1:9" ht="32.4" x14ac:dyDescent="0.3">
      <c r="A905" s="2"/>
      <c r="B905" s="15">
        <v>5</v>
      </c>
      <c r="C905" s="20" t="s">
        <v>41</v>
      </c>
      <c r="D905" s="16">
        <f t="shared" si="36"/>
        <v>18</v>
      </c>
      <c r="E905" s="17" t="s">
        <v>662</v>
      </c>
      <c r="F905" s="66" t="s">
        <v>680</v>
      </c>
      <c r="G905" s="18" t="s">
        <v>11</v>
      </c>
      <c r="H905" s="19"/>
      <c r="I905" s="2"/>
    </row>
    <row r="906" spans="1:9" ht="32.4" x14ac:dyDescent="0.3">
      <c r="A906" s="2"/>
      <c r="B906" s="15">
        <v>5</v>
      </c>
      <c r="C906" s="20" t="s">
        <v>41</v>
      </c>
      <c r="D906" s="16">
        <f t="shared" si="36"/>
        <v>19</v>
      </c>
      <c r="E906" s="17" t="s">
        <v>452</v>
      </c>
      <c r="F906" s="66" t="s">
        <v>451</v>
      </c>
      <c r="G906" s="18" t="s">
        <v>11</v>
      </c>
      <c r="H906" s="19"/>
      <c r="I906" s="2"/>
    </row>
    <row r="907" spans="1:9" ht="32.4" x14ac:dyDescent="0.3">
      <c r="A907" s="2"/>
      <c r="B907" s="15">
        <v>5</v>
      </c>
      <c r="C907" s="20" t="s">
        <v>41</v>
      </c>
      <c r="D907" s="16">
        <f t="shared" si="36"/>
        <v>20</v>
      </c>
      <c r="E907" s="17" t="s">
        <v>454</v>
      </c>
      <c r="F907" s="66" t="s">
        <v>453</v>
      </c>
      <c r="G907" s="18" t="s">
        <v>11</v>
      </c>
      <c r="H907" s="19"/>
      <c r="I907" s="2"/>
    </row>
    <row r="908" spans="1:9" ht="32.4" x14ac:dyDescent="0.3">
      <c r="A908" s="2"/>
      <c r="B908" s="15">
        <v>5</v>
      </c>
      <c r="C908" s="20" t="s">
        <v>41</v>
      </c>
      <c r="D908" s="16">
        <f t="shared" si="36"/>
        <v>21</v>
      </c>
      <c r="E908" s="17" t="s">
        <v>456</v>
      </c>
      <c r="F908" s="66" t="s">
        <v>455</v>
      </c>
      <c r="G908" s="18" t="s">
        <v>11</v>
      </c>
      <c r="H908" s="19"/>
      <c r="I908" s="2"/>
    </row>
    <row r="909" spans="1:9" ht="21.6" x14ac:dyDescent="0.3">
      <c r="A909" s="2"/>
      <c r="B909" s="15">
        <v>5</v>
      </c>
      <c r="C909" s="20" t="s">
        <v>41</v>
      </c>
      <c r="D909" s="16">
        <f t="shared" si="36"/>
        <v>22</v>
      </c>
      <c r="E909" s="17" t="s">
        <v>552</v>
      </c>
      <c r="F909" s="66" t="s">
        <v>457</v>
      </c>
      <c r="G909" s="18" t="s">
        <v>11</v>
      </c>
      <c r="H909" s="19"/>
      <c r="I909" s="2"/>
    </row>
    <row r="910" spans="1:9" ht="54" x14ac:dyDescent="0.3">
      <c r="A910" s="2"/>
      <c r="B910" s="15">
        <v>5</v>
      </c>
      <c r="C910" s="20" t="s">
        <v>41</v>
      </c>
      <c r="D910" s="16">
        <f t="shared" si="36"/>
        <v>23</v>
      </c>
      <c r="E910" s="17" t="s">
        <v>554</v>
      </c>
      <c r="F910" s="66" t="s">
        <v>553</v>
      </c>
      <c r="G910" s="18" t="s">
        <v>11</v>
      </c>
      <c r="H910" s="19"/>
      <c r="I910" s="2"/>
    </row>
    <row r="911" spans="1:9" ht="54" x14ac:dyDescent="0.3">
      <c r="A911" s="2"/>
      <c r="B911" s="15">
        <v>5</v>
      </c>
      <c r="C911" s="20" t="s">
        <v>41</v>
      </c>
      <c r="D911" s="16">
        <f t="shared" si="36"/>
        <v>24</v>
      </c>
      <c r="E911" s="17" t="s">
        <v>888</v>
      </c>
      <c r="F911" s="66" t="s">
        <v>887</v>
      </c>
      <c r="G911" s="18" t="s">
        <v>11</v>
      </c>
      <c r="H911" s="19"/>
      <c r="I911" s="2"/>
    </row>
    <row r="912" spans="1:9" ht="43.2" x14ac:dyDescent="0.3">
      <c r="A912" s="2"/>
      <c r="B912" s="15">
        <v>5</v>
      </c>
      <c r="C912" s="20" t="s">
        <v>41</v>
      </c>
      <c r="D912" s="16">
        <f t="shared" si="36"/>
        <v>25</v>
      </c>
      <c r="E912" s="17" t="s">
        <v>886</v>
      </c>
      <c r="F912" s="66" t="s">
        <v>885</v>
      </c>
      <c r="G912" s="18" t="s">
        <v>11</v>
      </c>
      <c r="H912" s="19"/>
      <c r="I912" s="2"/>
    </row>
    <row r="913" spans="1:9" ht="32.4" x14ac:dyDescent="0.3">
      <c r="A913" s="2"/>
      <c r="B913" s="15">
        <v>5</v>
      </c>
      <c r="C913" s="20" t="s">
        <v>41</v>
      </c>
      <c r="D913" s="16">
        <f t="shared" si="36"/>
        <v>26</v>
      </c>
      <c r="E913" s="17" t="s">
        <v>665</v>
      </c>
      <c r="F913" s="66" t="s">
        <v>884</v>
      </c>
      <c r="G913" s="18" t="s">
        <v>11</v>
      </c>
      <c r="H913" s="19"/>
      <c r="I913" s="2"/>
    </row>
    <row r="914" spans="1:9" ht="18.75" customHeight="1" x14ac:dyDescent="0.3">
      <c r="A914" s="2"/>
      <c r="B914" s="10" t="s">
        <v>37</v>
      </c>
      <c r="C914" s="11"/>
      <c r="D914" s="11"/>
      <c r="E914" s="12" t="str">
        <f>IF(B914=0,"",VLOOKUP(B914,Daten!$A$2:$B$56,2,FALSE))</f>
        <v>Schutzleitfaden-308</v>
      </c>
      <c r="F914" s="12" t="str">
        <f>VLOOKUP(E914,Daten!$B$2:$C$56,2,)</f>
        <v>Befüllung und Entleerung von IBC-Containern (Flüssigkeiten)</v>
      </c>
      <c r="G914" s="13"/>
      <c r="H914" s="14"/>
      <c r="I914" s="2"/>
    </row>
    <row r="915" spans="1:9" ht="13.2" x14ac:dyDescent="0.3">
      <c r="A915" s="2"/>
      <c r="B915" s="15">
        <v>5</v>
      </c>
      <c r="C915" s="20" t="s">
        <v>38</v>
      </c>
      <c r="D915" s="16">
        <f>ROW(A915)-(ROW(A$914))</f>
        <v>1</v>
      </c>
      <c r="E915" s="17" t="s">
        <v>192</v>
      </c>
      <c r="F915" s="66" t="s">
        <v>782</v>
      </c>
      <c r="G915" s="18" t="s">
        <v>11</v>
      </c>
      <c r="H915" s="19"/>
      <c r="I915" s="2"/>
    </row>
    <row r="916" spans="1:9" ht="21.6" x14ac:dyDescent="0.3">
      <c r="A916" s="2"/>
      <c r="B916" s="15">
        <v>5</v>
      </c>
      <c r="C916" s="20" t="s">
        <v>38</v>
      </c>
      <c r="D916" s="16">
        <f t="shared" ref="D916:D945" si="37">ROW(A916)-(ROW(A$914))</f>
        <v>2</v>
      </c>
      <c r="E916" s="17" t="s">
        <v>983</v>
      </c>
      <c r="F916" s="66" t="s">
        <v>981</v>
      </c>
      <c r="G916" s="18" t="s">
        <v>11</v>
      </c>
      <c r="H916" s="19"/>
      <c r="I916" s="2"/>
    </row>
    <row r="917" spans="1:9" ht="21.6" x14ac:dyDescent="0.3">
      <c r="A917" s="2"/>
      <c r="B917" s="15">
        <v>5</v>
      </c>
      <c r="C917" s="20" t="s">
        <v>38</v>
      </c>
      <c r="D917" s="16">
        <f t="shared" si="37"/>
        <v>3</v>
      </c>
      <c r="E917" s="17" t="s">
        <v>984</v>
      </c>
      <c r="F917" s="66" t="s">
        <v>982</v>
      </c>
      <c r="G917" s="18" t="s">
        <v>11</v>
      </c>
      <c r="H917" s="19"/>
      <c r="I917" s="2"/>
    </row>
    <row r="918" spans="1:9" ht="21.6" x14ac:dyDescent="0.3">
      <c r="A918" s="2"/>
      <c r="B918" s="15">
        <v>5</v>
      </c>
      <c r="C918" s="20" t="s">
        <v>38</v>
      </c>
      <c r="D918" s="16">
        <f t="shared" si="37"/>
        <v>4</v>
      </c>
      <c r="E918" s="17" t="s">
        <v>526</v>
      </c>
      <c r="F918" s="66" t="s">
        <v>906</v>
      </c>
      <c r="G918" s="18" t="s">
        <v>11</v>
      </c>
      <c r="H918" s="19"/>
      <c r="I918" s="2"/>
    </row>
    <row r="919" spans="1:9" ht="43.2" x14ac:dyDescent="0.3">
      <c r="A919" s="2"/>
      <c r="B919" s="15">
        <v>5</v>
      </c>
      <c r="C919" s="20" t="s">
        <v>38</v>
      </c>
      <c r="D919" s="16">
        <f t="shared" si="37"/>
        <v>5</v>
      </c>
      <c r="E919" s="17"/>
      <c r="F919" s="66" t="s">
        <v>872</v>
      </c>
      <c r="G919" s="18" t="s">
        <v>11</v>
      </c>
      <c r="H919" s="19"/>
      <c r="I919" s="2"/>
    </row>
    <row r="920" spans="1:9" ht="32.4" x14ac:dyDescent="0.3">
      <c r="A920" s="2"/>
      <c r="B920" s="15">
        <v>5</v>
      </c>
      <c r="C920" s="20" t="s">
        <v>38</v>
      </c>
      <c r="D920" s="16">
        <f t="shared" si="37"/>
        <v>6</v>
      </c>
      <c r="E920" s="17"/>
      <c r="F920" s="66" t="s">
        <v>873</v>
      </c>
      <c r="G920" s="18" t="s">
        <v>11</v>
      </c>
      <c r="H920" s="19"/>
      <c r="I920" s="2"/>
    </row>
    <row r="921" spans="1:9" ht="32.4" x14ac:dyDescent="0.3">
      <c r="A921" s="2"/>
      <c r="B921" s="15">
        <v>5</v>
      </c>
      <c r="C921" s="20" t="s">
        <v>38</v>
      </c>
      <c r="D921" s="16">
        <f t="shared" si="37"/>
        <v>7</v>
      </c>
      <c r="E921" s="17"/>
      <c r="F921" s="66" t="s">
        <v>874</v>
      </c>
      <c r="G921" s="18" t="s">
        <v>11</v>
      </c>
      <c r="H921" s="19"/>
      <c r="I921" s="2"/>
    </row>
    <row r="922" spans="1:9" ht="21.6" x14ac:dyDescent="0.3">
      <c r="A922" s="2"/>
      <c r="B922" s="15">
        <v>5</v>
      </c>
      <c r="C922" s="20" t="s">
        <v>38</v>
      </c>
      <c r="D922" s="16">
        <f t="shared" si="37"/>
        <v>8</v>
      </c>
      <c r="E922" s="17"/>
      <c r="F922" s="66" t="s">
        <v>875</v>
      </c>
      <c r="G922" s="18" t="s">
        <v>11</v>
      </c>
      <c r="H922" s="19"/>
      <c r="I922" s="2"/>
    </row>
    <row r="923" spans="1:9" ht="13.2" x14ac:dyDescent="0.3">
      <c r="A923" s="2"/>
      <c r="B923" s="15">
        <v>5</v>
      </c>
      <c r="C923" s="20" t="s">
        <v>38</v>
      </c>
      <c r="D923" s="16">
        <f t="shared" si="37"/>
        <v>9</v>
      </c>
      <c r="E923" s="17"/>
      <c r="F923" s="66" t="s">
        <v>876</v>
      </c>
      <c r="G923" s="18" t="s">
        <v>11</v>
      </c>
      <c r="H923" s="19"/>
      <c r="I923" s="2"/>
    </row>
    <row r="924" spans="1:9" ht="21.6" x14ac:dyDescent="0.3">
      <c r="A924" s="2"/>
      <c r="B924" s="15">
        <v>5</v>
      </c>
      <c r="C924" s="20" t="s">
        <v>38</v>
      </c>
      <c r="D924" s="16">
        <f t="shared" si="37"/>
        <v>10</v>
      </c>
      <c r="E924" s="17"/>
      <c r="F924" s="66" t="s">
        <v>877</v>
      </c>
      <c r="G924" s="18" t="s">
        <v>11</v>
      </c>
      <c r="H924" s="19"/>
      <c r="I924" s="2"/>
    </row>
    <row r="925" spans="1:9" ht="13.2" x14ac:dyDescent="0.3">
      <c r="A925" s="2"/>
      <c r="B925" s="15">
        <v>5</v>
      </c>
      <c r="C925" s="20" t="s">
        <v>38</v>
      </c>
      <c r="D925" s="16">
        <f t="shared" si="37"/>
        <v>11</v>
      </c>
      <c r="E925" s="17"/>
      <c r="F925" s="66" t="s">
        <v>878</v>
      </c>
      <c r="G925" s="18" t="s">
        <v>11</v>
      </c>
      <c r="H925" s="19"/>
      <c r="I925" s="2"/>
    </row>
    <row r="926" spans="1:9" ht="21.6" x14ac:dyDescent="0.3">
      <c r="A926" s="2"/>
      <c r="B926" s="15">
        <v>5</v>
      </c>
      <c r="C926" s="20" t="s">
        <v>38</v>
      </c>
      <c r="D926" s="16">
        <f t="shared" si="37"/>
        <v>12</v>
      </c>
      <c r="E926" s="17"/>
      <c r="F926" s="66" t="s">
        <v>879</v>
      </c>
      <c r="G926" s="18" t="s">
        <v>11</v>
      </c>
      <c r="H926" s="19"/>
      <c r="I926" s="2"/>
    </row>
    <row r="927" spans="1:9" ht="21.6" x14ac:dyDescent="0.3">
      <c r="A927" s="2"/>
      <c r="B927" s="15">
        <v>5</v>
      </c>
      <c r="C927" s="20" t="s">
        <v>38</v>
      </c>
      <c r="D927" s="16">
        <f t="shared" si="37"/>
        <v>13</v>
      </c>
      <c r="E927" s="17"/>
      <c r="F927" s="66" t="s">
        <v>880</v>
      </c>
      <c r="G927" s="18" t="s">
        <v>11</v>
      </c>
      <c r="H927" s="19"/>
      <c r="I927" s="2"/>
    </row>
    <row r="928" spans="1:9" ht="13.2" x14ac:dyDescent="0.3">
      <c r="A928" s="2"/>
      <c r="B928" s="15">
        <v>5</v>
      </c>
      <c r="C928" s="20" t="s">
        <v>38</v>
      </c>
      <c r="D928" s="16">
        <f t="shared" si="37"/>
        <v>14</v>
      </c>
      <c r="E928" s="17"/>
      <c r="F928" s="66" t="s">
        <v>881</v>
      </c>
      <c r="G928" s="18" t="s">
        <v>11</v>
      </c>
      <c r="H928" s="19"/>
      <c r="I928" s="2"/>
    </row>
    <row r="929" spans="1:9" ht="54" x14ac:dyDescent="0.3">
      <c r="A929" s="2"/>
      <c r="B929" s="15">
        <v>5</v>
      </c>
      <c r="C929" s="20" t="s">
        <v>38</v>
      </c>
      <c r="D929" s="16">
        <f t="shared" si="37"/>
        <v>15</v>
      </c>
      <c r="E929" s="17" t="s">
        <v>535</v>
      </c>
      <c r="F929" s="66" t="s">
        <v>919</v>
      </c>
      <c r="G929" s="18" t="s">
        <v>11</v>
      </c>
      <c r="H929" s="19"/>
      <c r="I929" s="2"/>
    </row>
    <row r="930" spans="1:9" ht="32.4" x14ac:dyDescent="0.3">
      <c r="A930" s="2"/>
      <c r="B930" s="15">
        <v>5</v>
      </c>
      <c r="C930" s="20" t="s">
        <v>38</v>
      </c>
      <c r="D930" s="16">
        <f t="shared" si="37"/>
        <v>16</v>
      </c>
      <c r="E930" s="17"/>
      <c r="F930" s="66" t="s">
        <v>882</v>
      </c>
      <c r="G930" s="18" t="s">
        <v>11</v>
      </c>
      <c r="H930" s="19"/>
      <c r="I930" s="2"/>
    </row>
    <row r="931" spans="1:9" ht="43.2" x14ac:dyDescent="0.3">
      <c r="A931" s="2"/>
      <c r="B931" s="15">
        <v>5</v>
      </c>
      <c r="C931" s="20" t="s">
        <v>38</v>
      </c>
      <c r="D931" s="16">
        <f t="shared" si="37"/>
        <v>17</v>
      </c>
      <c r="E931" s="17"/>
      <c r="F931" s="66" t="s">
        <v>883</v>
      </c>
      <c r="G931" s="18" t="s">
        <v>11</v>
      </c>
      <c r="H931" s="19"/>
      <c r="I931" s="2"/>
    </row>
    <row r="932" spans="1:9" ht="43.2" x14ac:dyDescent="0.3">
      <c r="A932" s="2"/>
      <c r="B932" s="15">
        <v>5</v>
      </c>
      <c r="C932" s="20" t="s">
        <v>38</v>
      </c>
      <c r="D932" s="16">
        <f t="shared" si="37"/>
        <v>18</v>
      </c>
      <c r="E932" s="17" t="s">
        <v>900</v>
      </c>
      <c r="F932" s="66" t="s">
        <v>899</v>
      </c>
      <c r="G932" s="18" t="s">
        <v>11</v>
      </c>
      <c r="H932" s="19"/>
      <c r="I932" s="2"/>
    </row>
    <row r="933" spans="1:9" ht="21.6" x14ac:dyDescent="0.3">
      <c r="A933" s="2"/>
      <c r="B933" s="15">
        <v>5</v>
      </c>
      <c r="C933" s="20" t="s">
        <v>38</v>
      </c>
      <c r="D933" s="16">
        <f t="shared" si="37"/>
        <v>19</v>
      </c>
      <c r="E933" s="17" t="s">
        <v>894</v>
      </c>
      <c r="F933" s="66" t="s">
        <v>892</v>
      </c>
      <c r="G933" s="18" t="s">
        <v>11</v>
      </c>
      <c r="H933" s="19"/>
      <c r="I933" s="2"/>
    </row>
    <row r="934" spans="1:9" ht="32.4" x14ac:dyDescent="0.3">
      <c r="A934" s="2"/>
      <c r="B934" s="15">
        <v>5</v>
      </c>
      <c r="C934" s="20" t="s">
        <v>38</v>
      </c>
      <c r="D934" s="16">
        <f t="shared" si="37"/>
        <v>20</v>
      </c>
      <c r="E934" s="17" t="s">
        <v>893</v>
      </c>
      <c r="F934" s="66" t="s">
        <v>889</v>
      </c>
      <c r="G934" s="18" t="s">
        <v>11</v>
      </c>
      <c r="H934" s="19"/>
      <c r="I934" s="2"/>
    </row>
    <row r="935" spans="1:9" ht="21.6" x14ac:dyDescent="0.3">
      <c r="A935" s="2"/>
      <c r="B935" s="15">
        <v>5</v>
      </c>
      <c r="C935" s="20" t="s">
        <v>38</v>
      </c>
      <c r="D935" s="16">
        <f t="shared" si="37"/>
        <v>21</v>
      </c>
      <c r="E935" s="17" t="s">
        <v>891</v>
      </c>
      <c r="F935" s="66" t="s">
        <v>890</v>
      </c>
      <c r="G935" s="18" t="s">
        <v>11</v>
      </c>
      <c r="H935" s="19"/>
      <c r="I935" s="2"/>
    </row>
    <row r="936" spans="1:9" ht="21.6" x14ac:dyDescent="0.3">
      <c r="A936" s="2"/>
      <c r="B936" s="15">
        <v>5</v>
      </c>
      <c r="C936" s="20" t="s">
        <v>38</v>
      </c>
      <c r="D936" s="16">
        <f t="shared" si="37"/>
        <v>22</v>
      </c>
      <c r="E936" s="17" t="s">
        <v>898</v>
      </c>
      <c r="F936" s="66" t="s">
        <v>895</v>
      </c>
      <c r="G936" s="18" t="s">
        <v>11</v>
      </c>
      <c r="H936" s="19"/>
      <c r="I936" s="2"/>
    </row>
    <row r="937" spans="1:9" ht="32.4" x14ac:dyDescent="0.3">
      <c r="A937" s="2"/>
      <c r="B937" s="15">
        <v>5</v>
      </c>
      <c r="C937" s="20" t="s">
        <v>38</v>
      </c>
      <c r="D937" s="16">
        <f t="shared" si="37"/>
        <v>23</v>
      </c>
      <c r="E937" s="17" t="s">
        <v>897</v>
      </c>
      <c r="F937" s="66" t="s">
        <v>896</v>
      </c>
      <c r="G937" s="18" t="s">
        <v>11</v>
      </c>
      <c r="H937" s="19"/>
      <c r="I937" s="2"/>
    </row>
    <row r="938" spans="1:9" ht="32.4" x14ac:dyDescent="0.3">
      <c r="A938" s="2"/>
      <c r="B938" s="15">
        <v>5</v>
      </c>
      <c r="C938" s="20" t="s">
        <v>38</v>
      </c>
      <c r="D938" s="16">
        <f t="shared" si="37"/>
        <v>24</v>
      </c>
      <c r="E938" s="17" t="s">
        <v>452</v>
      </c>
      <c r="F938" s="66" t="s">
        <v>451</v>
      </c>
      <c r="G938" s="18" t="s">
        <v>11</v>
      </c>
      <c r="H938" s="19"/>
      <c r="I938" s="2"/>
    </row>
    <row r="939" spans="1:9" ht="32.4" x14ac:dyDescent="0.3">
      <c r="A939" s="2"/>
      <c r="B939" s="15">
        <v>5</v>
      </c>
      <c r="C939" s="20" t="s">
        <v>38</v>
      </c>
      <c r="D939" s="16">
        <f t="shared" si="37"/>
        <v>25</v>
      </c>
      <c r="E939" s="17" t="s">
        <v>454</v>
      </c>
      <c r="F939" s="66" t="s">
        <v>453</v>
      </c>
      <c r="G939" s="18" t="s">
        <v>11</v>
      </c>
      <c r="H939" s="19"/>
      <c r="I939" s="2"/>
    </row>
    <row r="940" spans="1:9" ht="32.4" x14ac:dyDescent="0.3">
      <c r="A940" s="2"/>
      <c r="B940" s="15">
        <v>5</v>
      </c>
      <c r="C940" s="20" t="s">
        <v>38</v>
      </c>
      <c r="D940" s="16">
        <f t="shared" si="37"/>
        <v>26</v>
      </c>
      <c r="E940" s="17" t="s">
        <v>456</v>
      </c>
      <c r="F940" s="66" t="s">
        <v>455</v>
      </c>
      <c r="G940" s="18" t="s">
        <v>11</v>
      </c>
      <c r="H940" s="19"/>
      <c r="I940" s="2"/>
    </row>
    <row r="941" spans="1:9" ht="21.6" x14ac:dyDescent="0.3">
      <c r="A941" s="2"/>
      <c r="B941" s="15">
        <v>5</v>
      </c>
      <c r="C941" s="20" t="s">
        <v>38</v>
      </c>
      <c r="D941" s="16">
        <f t="shared" si="37"/>
        <v>27</v>
      </c>
      <c r="E941" s="17" t="s">
        <v>552</v>
      </c>
      <c r="F941" s="66" t="s">
        <v>457</v>
      </c>
      <c r="G941" s="18" t="s">
        <v>11</v>
      </c>
      <c r="H941" s="19"/>
      <c r="I941" s="2"/>
    </row>
    <row r="942" spans="1:9" ht="54" x14ac:dyDescent="0.3">
      <c r="A942" s="2"/>
      <c r="B942" s="15">
        <v>5</v>
      </c>
      <c r="C942" s="20" t="s">
        <v>38</v>
      </c>
      <c r="D942" s="16">
        <f t="shared" si="37"/>
        <v>28</v>
      </c>
      <c r="E942" s="17" t="s">
        <v>554</v>
      </c>
      <c r="F942" s="66" t="s">
        <v>553</v>
      </c>
      <c r="G942" s="18" t="s">
        <v>11</v>
      </c>
      <c r="H942" s="19"/>
      <c r="I942" s="2"/>
    </row>
    <row r="943" spans="1:9" ht="54" x14ac:dyDescent="0.3">
      <c r="A943" s="2"/>
      <c r="B943" s="15">
        <v>5</v>
      </c>
      <c r="C943" s="20" t="s">
        <v>38</v>
      </c>
      <c r="D943" s="16">
        <f t="shared" si="37"/>
        <v>29</v>
      </c>
      <c r="E943" s="17" t="s">
        <v>888</v>
      </c>
      <c r="F943" s="66" t="s">
        <v>887</v>
      </c>
      <c r="G943" s="18" t="s">
        <v>11</v>
      </c>
      <c r="H943" s="19"/>
      <c r="I943" s="2"/>
    </row>
    <row r="944" spans="1:9" ht="43.2" x14ac:dyDescent="0.3">
      <c r="A944" s="2"/>
      <c r="B944" s="15">
        <v>5</v>
      </c>
      <c r="C944" s="20" t="s">
        <v>38</v>
      </c>
      <c r="D944" s="16">
        <f t="shared" si="37"/>
        <v>30</v>
      </c>
      <c r="E944" s="17" t="s">
        <v>886</v>
      </c>
      <c r="F944" s="66" t="s">
        <v>885</v>
      </c>
      <c r="G944" s="18" t="s">
        <v>11</v>
      </c>
      <c r="H944" s="19"/>
      <c r="I944" s="2"/>
    </row>
    <row r="945" spans="1:9" ht="32.4" x14ac:dyDescent="0.3">
      <c r="A945" s="2"/>
      <c r="B945" s="15">
        <v>5</v>
      </c>
      <c r="C945" s="20" t="s">
        <v>38</v>
      </c>
      <c r="D945" s="16">
        <f t="shared" si="37"/>
        <v>31</v>
      </c>
      <c r="E945" s="17" t="s">
        <v>665</v>
      </c>
      <c r="F945" s="66" t="s">
        <v>884</v>
      </c>
      <c r="G945" s="18" t="s">
        <v>11</v>
      </c>
      <c r="H945" s="19"/>
      <c r="I945" s="2"/>
    </row>
    <row r="946" spans="1:9" ht="18.75" customHeight="1" x14ac:dyDescent="0.3">
      <c r="A946" s="2"/>
      <c r="B946" s="10" t="s">
        <v>102</v>
      </c>
      <c r="C946" s="11"/>
      <c r="D946" s="11"/>
      <c r="E946" s="12" t="str">
        <f>IF(B946=0,"",VLOOKUP(B946,Daten!$A$2:$B$56,2,FALSE))</f>
        <v>Schutzleitfaden-310</v>
      </c>
      <c r="F946" s="12" t="str">
        <f>VLOOKUP(E946,Daten!$B$2:$C$56,2,)</f>
        <v>Befüllen und Entleeren von Tankfahrzeugen</v>
      </c>
      <c r="G946" s="13"/>
      <c r="H946" s="14"/>
      <c r="I946" s="2"/>
    </row>
    <row r="947" spans="1:9" ht="21.6" x14ac:dyDescent="0.3">
      <c r="A947" s="2"/>
      <c r="B947" s="15">
        <v>5</v>
      </c>
      <c r="C947" s="20" t="s">
        <v>39</v>
      </c>
      <c r="D947" s="16">
        <f>ROW(A947)-(ROW(A$946))</f>
        <v>1</v>
      </c>
      <c r="E947" s="17" t="s">
        <v>923</v>
      </c>
      <c r="F947" s="66" t="s">
        <v>922</v>
      </c>
      <c r="G947" s="18" t="s">
        <v>11</v>
      </c>
      <c r="H947" s="19"/>
      <c r="I947" s="2"/>
    </row>
    <row r="948" spans="1:9" ht="32.4" x14ac:dyDescent="0.3">
      <c r="A948" s="2"/>
      <c r="B948" s="15">
        <v>5</v>
      </c>
      <c r="C948" s="20" t="s">
        <v>39</v>
      </c>
      <c r="D948" s="16">
        <f t="shared" ref="D948:D967" si="38">ROW(A948)-(ROW(A$946))</f>
        <v>2</v>
      </c>
      <c r="E948" s="17" t="s">
        <v>925</v>
      </c>
      <c r="F948" s="66" t="s">
        <v>924</v>
      </c>
      <c r="G948" s="18" t="s">
        <v>11</v>
      </c>
      <c r="H948" s="19"/>
      <c r="I948" s="2"/>
    </row>
    <row r="949" spans="1:9" ht="21.6" x14ac:dyDescent="0.3">
      <c r="A949" s="2"/>
      <c r="B949" s="15">
        <v>5</v>
      </c>
      <c r="C949" s="20" t="s">
        <v>39</v>
      </c>
      <c r="D949" s="16">
        <f t="shared" si="38"/>
        <v>3</v>
      </c>
      <c r="E949" s="17" t="s">
        <v>927</v>
      </c>
      <c r="F949" s="66" t="s">
        <v>926</v>
      </c>
      <c r="G949" s="18" t="s">
        <v>11</v>
      </c>
      <c r="H949" s="19"/>
      <c r="I949" s="2"/>
    </row>
    <row r="950" spans="1:9" ht="43.2" x14ac:dyDescent="0.3">
      <c r="A950" s="2"/>
      <c r="B950" s="15">
        <v>5</v>
      </c>
      <c r="C950" s="20" t="s">
        <v>39</v>
      </c>
      <c r="D950" s="16">
        <f t="shared" si="38"/>
        <v>4</v>
      </c>
      <c r="E950" s="17" t="s">
        <v>929</v>
      </c>
      <c r="F950" s="66" t="s">
        <v>928</v>
      </c>
      <c r="G950" s="18" t="s">
        <v>11</v>
      </c>
      <c r="H950" s="19"/>
      <c r="I950" s="2"/>
    </row>
    <row r="951" spans="1:9" ht="21.6" x14ac:dyDescent="0.3">
      <c r="A951" s="2"/>
      <c r="B951" s="15">
        <v>5</v>
      </c>
      <c r="C951" s="20" t="s">
        <v>39</v>
      </c>
      <c r="D951" s="16">
        <f t="shared" si="38"/>
        <v>5</v>
      </c>
      <c r="E951" s="17" t="s">
        <v>931</v>
      </c>
      <c r="F951" s="66" t="s">
        <v>930</v>
      </c>
      <c r="G951" s="18" t="s">
        <v>11</v>
      </c>
      <c r="H951" s="19"/>
      <c r="I951" s="2"/>
    </row>
    <row r="952" spans="1:9" ht="32.4" x14ac:dyDescent="0.3">
      <c r="A952" s="2"/>
      <c r="B952" s="15">
        <v>5</v>
      </c>
      <c r="C952" s="20" t="s">
        <v>39</v>
      </c>
      <c r="D952" s="16">
        <f t="shared" si="38"/>
        <v>6</v>
      </c>
      <c r="E952" s="17" t="s">
        <v>933</v>
      </c>
      <c r="F952" s="66" t="s">
        <v>932</v>
      </c>
      <c r="G952" s="18" t="s">
        <v>11</v>
      </c>
      <c r="H952" s="19"/>
      <c r="I952" s="2"/>
    </row>
    <row r="953" spans="1:9" ht="21.6" x14ac:dyDescent="0.3">
      <c r="A953" s="2"/>
      <c r="B953" s="15">
        <v>5</v>
      </c>
      <c r="C953" s="20" t="s">
        <v>39</v>
      </c>
      <c r="D953" s="16">
        <f t="shared" si="38"/>
        <v>7</v>
      </c>
      <c r="E953" s="17" t="s">
        <v>934</v>
      </c>
      <c r="F953" s="66" t="s">
        <v>871</v>
      </c>
      <c r="G953" s="18" t="s">
        <v>11</v>
      </c>
      <c r="H953" s="19"/>
      <c r="I953" s="2"/>
    </row>
    <row r="954" spans="1:9" ht="32.4" x14ac:dyDescent="0.3">
      <c r="A954" s="2"/>
      <c r="B954" s="15">
        <v>5</v>
      </c>
      <c r="C954" s="20" t="s">
        <v>39</v>
      </c>
      <c r="D954" s="16">
        <f t="shared" si="38"/>
        <v>8</v>
      </c>
      <c r="E954" s="17" t="s">
        <v>936</v>
      </c>
      <c r="F954" s="66" t="s">
        <v>935</v>
      </c>
      <c r="G954" s="18" t="s">
        <v>11</v>
      </c>
      <c r="H954" s="19"/>
      <c r="I954" s="2"/>
    </row>
    <row r="955" spans="1:9" ht="32.4" x14ac:dyDescent="0.3">
      <c r="A955" s="2"/>
      <c r="B955" s="15">
        <v>5</v>
      </c>
      <c r="C955" s="20" t="s">
        <v>39</v>
      </c>
      <c r="D955" s="16">
        <f t="shared" si="38"/>
        <v>9</v>
      </c>
      <c r="E955" s="17" t="s">
        <v>938</v>
      </c>
      <c r="F955" s="66" t="s">
        <v>937</v>
      </c>
      <c r="G955" s="18" t="s">
        <v>11</v>
      </c>
      <c r="H955" s="19"/>
      <c r="I955" s="2"/>
    </row>
    <row r="956" spans="1:9" ht="54" x14ac:dyDescent="0.3">
      <c r="A956" s="2"/>
      <c r="B956" s="15">
        <v>5</v>
      </c>
      <c r="C956" s="20" t="s">
        <v>39</v>
      </c>
      <c r="D956" s="16">
        <f t="shared" si="38"/>
        <v>10</v>
      </c>
      <c r="E956" s="17" t="s">
        <v>535</v>
      </c>
      <c r="F956" s="66" t="s">
        <v>939</v>
      </c>
      <c r="G956" s="18" t="s">
        <v>11</v>
      </c>
      <c r="H956" s="19"/>
      <c r="I956" s="2"/>
    </row>
    <row r="957" spans="1:9" ht="43.2" x14ac:dyDescent="0.3">
      <c r="A957" s="2"/>
      <c r="B957" s="15">
        <v>5</v>
      </c>
      <c r="C957" s="20" t="s">
        <v>39</v>
      </c>
      <c r="D957" s="16">
        <f t="shared" si="38"/>
        <v>11</v>
      </c>
      <c r="E957" s="17" t="s">
        <v>941</v>
      </c>
      <c r="F957" s="66" t="s">
        <v>940</v>
      </c>
      <c r="G957" s="18" t="s">
        <v>11</v>
      </c>
      <c r="H957" s="19"/>
      <c r="I957" s="2"/>
    </row>
    <row r="958" spans="1:9" ht="32.4" x14ac:dyDescent="0.3">
      <c r="A958" s="2"/>
      <c r="B958" s="15">
        <v>5</v>
      </c>
      <c r="C958" s="20" t="s">
        <v>39</v>
      </c>
      <c r="D958" s="16">
        <f t="shared" si="38"/>
        <v>12</v>
      </c>
      <c r="E958" s="17" t="s">
        <v>943</v>
      </c>
      <c r="F958" s="66" t="s">
        <v>942</v>
      </c>
      <c r="G958" s="18" t="s">
        <v>11</v>
      </c>
      <c r="H958" s="19"/>
      <c r="I958" s="2"/>
    </row>
    <row r="959" spans="1:9" ht="21.6" x14ac:dyDescent="0.3">
      <c r="A959" s="2"/>
      <c r="B959" s="15">
        <v>5</v>
      </c>
      <c r="C959" s="20" t="s">
        <v>39</v>
      </c>
      <c r="D959" s="16">
        <f t="shared" si="38"/>
        <v>13</v>
      </c>
      <c r="E959" s="17" t="s">
        <v>945</v>
      </c>
      <c r="F959" s="66" t="s">
        <v>944</v>
      </c>
      <c r="G959" s="18" t="s">
        <v>11</v>
      </c>
      <c r="H959" s="19"/>
      <c r="I959" s="2"/>
    </row>
    <row r="960" spans="1:9" ht="32.4" x14ac:dyDescent="0.3">
      <c r="A960" s="2"/>
      <c r="B960" s="15">
        <v>5</v>
      </c>
      <c r="C960" s="20" t="s">
        <v>39</v>
      </c>
      <c r="D960" s="16">
        <f t="shared" si="38"/>
        <v>14</v>
      </c>
      <c r="E960" s="17" t="s">
        <v>900</v>
      </c>
      <c r="F960" s="66" t="s">
        <v>946</v>
      </c>
      <c r="G960" s="18" t="s">
        <v>11</v>
      </c>
      <c r="H960" s="19"/>
      <c r="I960" s="2"/>
    </row>
    <row r="961" spans="1:9" ht="32.4" x14ac:dyDescent="0.3">
      <c r="A961" s="2"/>
      <c r="B961" s="15">
        <v>5</v>
      </c>
      <c r="C961" s="20" t="s">
        <v>39</v>
      </c>
      <c r="D961" s="16">
        <f t="shared" si="38"/>
        <v>15</v>
      </c>
      <c r="E961" s="17" t="s">
        <v>947</v>
      </c>
      <c r="F961" s="66" t="s">
        <v>948</v>
      </c>
      <c r="G961" s="18" t="s">
        <v>11</v>
      </c>
      <c r="H961" s="19"/>
      <c r="I961" s="2"/>
    </row>
    <row r="962" spans="1:9" ht="32.4" x14ac:dyDescent="0.3">
      <c r="A962" s="2"/>
      <c r="B962" s="15">
        <v>5</v>
      </c>
      <c r="C962" s="20" t="s">
        <v>39</v>
      </c>
      <c r="D962" s="16">
        <f t="shared" si="38"/>
        <v>16</v>
      </c>
      <c r="E962" s="17" t="s">
        <v>950</v>
      </c>
      <c r="F962" s="66" t="s">
        <v>949</v>
      </c>
      <c r="G962" s="18" t="s">
        <v>11</v>
      </c>
      <c r="H962" s="19"/>
      <c r="I962" s="2"/>
    </row>
    <row r="963" spans="1:9" ht="32.4" x14ac:dyDescent="0.3">
      <c r="A963" s="2"/>
      <c r="B963" s="15">
        <v>5</v>
      </c>
      <c r="C963" s="20" t="s">
        <v>39</v>
      </c>
      <c r="D963" s="16">
        <f t="shared" si="38"/>
        <v>17</v>
      </c>
      <c r="E963" s="17" t="s">
        <v>452</v>
      </c>
      <c r="F963" s="66" t="s">
        <v>451</v>
      </c>
      <c r="G963" s="18" t="s">
        <v>11</v>
      </c>
      <c r="H963" s="19"/>
      <c r="I963" s="2"/>
    </row>
    <row r="964" spans="1:9" ht="32.4" x14ac:dyDescent="0.3">
      <c r="A964" s="2"/>
      <c r="B964" s="15">
        <v>5</v>
      </c>
      <c r="C964" s="20" t="s">
        <v>39</v>
      </c>
      <c r="D964" s="16">
        <f t="shared" si="38"/>
        <v>18</v>
      </c>
      <c r="E964" s="17" t="s">
        <v>454</v>
      </c>
      <c r="F964" s="66" t="s">
        <v>453</v>
      </c>
      <c r="G964" s="18" t="s">
        <v>11</v>
      </c>
      <c r="H964" s="19"/>
      <c r="I964" s="2"/>
    </row>
    <row r="965" spans="1:9" ht="32.4" x14ac:dyDescent="0.3">
      <c r="A965" s="2"/>
      <c r="B965" s="15">
        <v>5</v>
      </c>
      <c r="C965" s="20" t="s">
        <v>39</v>
      </c>
      <c r="D965" s="16">
        <f t="shared" si="38"/>
        <v>19</v>
      </c>
      <c r="E965" s="17" t="s">
        <v>456</v>
      </c>
      <c r="F965" s="66" t="s">
        <v>455</v>
      </c>
      <c r="G965" s="18" t="s">
        <v>11</v>
      </c>
      <c r="H965" s="19"/>
      <c r="I965" s="2"/>
    </row>
    <row r="966" spans="1:9" ht="21.6" x14ac:dyDescent="0.3">
      <c r="A966" s="2"/>
      <c r="B966" s="15">
        <v>5</v>
      </c>
      <c r="C966" s="20" t="s">
        <v>39</v>
      </c>
      <c r="D966" s="16">
        <f t="shared" si="38"/>
        <v>20</v>
      </c>
      <c r="E966" s="17" t="s">
        <v>552</v>
      </c>
      <c r="F966" s="66" t="s">
        <v>457</v>
      </c>
      <c r="G966" s="18" t="s">
        <v>11</v>
      </c>
      <c r="H966" s="19"/>
      <c r="I966" s="2"/>
    </row>
    <row r="967" spans="1:9" ht="54" x14ac:dyDescent="0.3">
      <c r="A967" s="2"/>
      <c r="B967" s="15">
        <v>5</v>
      </c>
      <c r="C967" s="20" t="s">
        <v>39</v>
      </c>
      <c r="D967" s="16">
        <f t="shared" si="38"/>
        <v>21</v>
      </c>
      <c r="E967" s="17" t="s">
        <v>554</v>
      </c>
      <c r="F967" s="66" t="s">
        <v>553</v>
      </c>
      <c r="G967" s="18" t="s">
        <v>11</v>
      </c>
      <c r="H967" s="19"/>
      <c r="I967" s="2"/>
    </row>
    <row r="968" spans="1:9" ht="18.75" customHeight="1" x14ac:dyDescent="0.3">
      <c r="A968" s="2"/>
      <c r="B968" s="10" t="s">
        <v>103</v>
      </c>
      <c r="C968" s="11"/>
      <c r="D968" s="11"/>
      <c r="E968" s="12" t="str">
        <f>IF(B968=0,"",VLOOKUP(B968,Daten!$A$2:$B$56,2,FALSE))</f>
        <v>Schutzleitfaden-312</v>
      </c>
      <c r="F968" s="12" t="str">
        <f>VLOOKUP(E968,Daten!$B$2:$C$56,2,)</f>
        <v>Umpumpen von Flüssigkeiten</v>
      </c>
      <c r="G968" s="13"/>
      <c r="H968" s="14"/>
      <c r="I968" s="2"/>
    </row>
    <row r="969" spans="1:9" ht="32.4" x14ac:dyDescent="0.3">
      <c r="A969" s="2"/>
      <c r="B969" s="15">
        <v>5</v>
      </c>
      <c r="C969" s="20" t="s">
        <v>40</v>
      </c>
      <c r="D969" s="16">
        <f>ROW(A969)-(ROW(A$968))</f>
        <v>1</v>
      </c>
      <c r="E969" s="17" t="s">
        <v>952</v>
      </c>
      <c r="F969" s="66" t="s">
        <v>951</v>
      </c>
      <c r="G969" s="18" t="s">
        <v>11</v>
      </c>
      <c r="H969" s="19"/>
      <c r="I969" s="2"/>
    </row>
    <row r="970" spans="1:9" ht="13.2" x14ac:dyDescent="0.3">
      <c r="A970" s="2"/>
      <c r="B970" s="15">
        <v>5</v>
      </c>
      <c r="C970" s="20" t="s">
        <v>40</v>
      </c>
      <c r="D970" s="16">
        <f t="shared" ref="D970:D994" si="39">ROW(A970)-(ROW(A$968))</f>
        <v>2</v>
      </c>
      <c r="E970" s="17" t="s">
        <v>918</v>
      </c>
      <c r="F970" s="66" t="s">
        <v>870</v>
      </c>
      <c r="G970" s="18" t="s">
        <v>11</v>
      </c>
      <c r="H970" s="19"/>
      <c r="I970" s="2"/>
    </row>
    <row r="971" spans="1:9" ht="43.2" x14ac:dyDescent="0.3">
      <c r="A971" s="2"/>
      <c r="B971" s="15">
        <v>5</v>
      </c>
      <c r="C971" s="20" t="s">
        <v>40</v>
      </c>
      <c r="D971" s="16">
        <f t="shared" si="39"/>
        <v>3</v>
      </c>
      <c r="E971" s="17" t="s">
        <v>953</v>
      </c>
      <c r="F971" s="66" t="s">
        <v>960</v>
      </c>
      <c r="G971" s="18" t="s">
        <v>11</v>
      </c>
      <c r="H971" s="19"/>
      <c r="I971" s="2"/>
    </row>
    <row r="972" spans="1:9" ht="32.4" x14ac:dyDescent="0.3">
      <c r="A972" s="2"/>
      <c r="B972" s="15">
        <v>5</v>
      </c>
      <c r="C972" s="20" t="s">
        <v>40</v>
      </c>
      <c r="D972" s="16">
        <f t="shared" si="39"/>
        <v>4</v>
      </c>
      <c r="E972" s="17" t="s">
        <v>955</v>
      </c>
      <c r="F972" s="66" t="s">
        <v>954</v>
      </c>
      <c r="G972" s="18" t="s">
        <v>11</v>
      </c>
      <c r="H972" s="19"/>
      <c r="I972" s="2"/>
    </row>
    <row r="973" spans="1:9" ht="21.6" x14ac:dyDescent="0.3">
      <c r="A973" s="2"/>
      <c r="B973" s="15">
        <v>5</v>
      </c>
      <c r="C973" s="20" t="s">
        <v>40</v>
      </c>
      <c r="D973" s="16">
        <f t="shared" si="39"/>
        <v>5</v>
      </c>
      <c r="E973" s="17" t="s">
        <v>957</v>
      </c>
      <c r="F973" s="66" t="s">
        <v>956</v>
      </c>
      <c r="G973" s="18" t="s">
        <v>11</v>
      </c>
      <c r="H973" s="19"/>
      <c r="I973" s="2"/>
    </row>
    <row r="974" spans="1:9" ht="21.6" x14ac:dyDescent="0.3">
      <c r="A974" s="2"/>
      <c r="B974" s="15">
        <v>5</v>
      </c>
      <c r="C974" s="20" t="s">
        <v>40</v>
      </c>
      <c r="D974" s="16">
        <f t="shared" si="39"/>
        <v>6</v>
      </c>
      <c r="E974" s="17" t="s">
        <v>959</v>
      </c>
      <c r="F974" s="66" t="s">
        <v>958</v>
      </c>
      <c r="G974" s="18" t="s">
        <v>11</v>
      </c>
      <c r="H974" s="19"/>
      <c r="I974" s="2"/>
    </row>
    <row r="975" spans="1:9" ht="32.4" x14ac:dyDescent="0.3">
      <c r="A975" s="2"/>
      <c r="B975" s="15">
        <v>5</v>
      </c>
      <c r="C975" s="20" t="s">
        <v>40</v>
      </c>
      <c r="D975" s="16">
        <f t="shared" si="39"/>
        <v>7</v>
      </c>
      <c r="E975" s="17" t="s">
        <v>970</v>
      </c>
      <c r="F975" s="66" t="s">
        <v>969</v>
      </c>
      <c r="G975" s="18" t="s">
        <v>11</v>
      </c>
      <c r="H975" s="19"/>
      <c r="I975" s="2"/>
    </row>
    <row r="976" spans="1:9" ht="32.4" x14ac:dyDescent="0.3">
      <c r="A976" s="2"/>
      <c r="B976" s="15">
        <v>5</v>
      </c>
      <c r="C976" s="20" t="s">
        <v>40</v>
      </c>
      <c r="D976" s="16">
        <f t="shared" si="39"/>
        <v>8</v>
      </c>
      <c r="E976" s="17" t="s">
        <v>962</v>
      </c>
      <c r="F976" s="66" t="s">
        <v>961</v>
      </c>
      <c r="G976" s="18" t="s">
        <v>11</v>
      </c>
      <c r="H976" s="19"/>
      <c r="I976" s="2"/>
    </row>
    <row r="977" spans="1:9" ht="32.4" x14ac:dyDescent="0.3">
      <c r="A977" s="2"/>
      <c r="B977" s="15">
        <v>5</v>
      </c>
      <c r="C977" s="20" t="s">
        <v>40</v>
      </c>
      <c r="D977" s="16">
        <f t="shared" si="39"/>
        <v>9</v>
      </c>
      <c r="E977" s="17" t="s">
        <v>964</v>
      </c>
      <c r="F977" s="66" t="s">
        <v>963</v>
      </c>
      <c r="G977" s="18" t="s">
        <v>11</v>
      </c>
      <c r="H977" s="19"/>
      <c r="I977" s="2"/>
    </row>
    <row r="978" spans="1:9" ht="32.4" x14ac:dyDescent="0.3">
      <c r="A978" s="2"/>
      <c r="B978" s="15">
        <v>5</v>
      </c>
      <c r="C978" s="20" t="s">
        <v>40</v>
      </c>
      <c r="D978" s="16">
        <f t="shared" si="39"/>
        <v>10</v>
      </c>
      <c r="E978" s="17" t="s">
        <v>966</v>
      </c>
      <c r="F978" s="66" t="s">
        <v>965</v>
      </c>
      <c r="G978" s="18" t="s">
        <v>11</v>
      </c>
      <c r="H978" s="19"/>
      <c r="I978" s="2"/>
    </row>
    <row r="979" spans="1:9" ht="32.4" x14ac:dyDescent="0.3">
      <c r="A979" s="2"/>
      <c r="B979" s="15">
        <v>5</v>
      </c>
      <c r="C979" s="20" t="s">
        <v>40</v>
      </c>
      <c r="D979" s="16">
        <f t="shared" si="39"/>
        <v>11</v>
      </c>
      <c r="E979" s="17" t="s">
        <v>967</v>
      </c>
      <c r="F979" s="66" t="s">
        <v>968</v>
      </c>
      <c r="G979" s="18" t="s">
        <v>11</v>
      </c>
      <c r="H979" s="19"/>
      <c r="I979" s="2"/>
    </row>
    <row r="980" spans="1:9" ht="32.4" x14ac:dyDescent="0.3">
      <c r="A980" s="2"/>
      <c r="B980" s="15">
        <v>5</v>
      </c>
      <c r="C980" s="20" t="s">
        <v>40</v>
      </c>
      <c r="D980" s="16">
        <f t="shared" si="39"/>
        <v>12</v>
      </c>
      <c r="E980" s="17" t="s">
        <v>972</v>
      </c>
      <c r="F980" s="66" t="s">
        <v>971</v>
      </c>
      <c r="G980" s="18" t="s">
        <v>11</v>
      </c>
      <c r="H980" s="19"/>
      <c r="I980" s="2"/>
    </row>
    <row r="981" spans="1:9" ht="21.6" x14ac:dyDescent="0.3">
      <c r="A981" s="2"/>
      <c r="B981" s="15">
        <v>5</v>
      </c>
      <c r="C981" s="20" t="s">
        <v>40</v>
      </c>
      <c r="D981" s="16">
        <f t="shared" si="39"/>
        <v>13</v>
      </c>
      <c r="E981" s="17" t="s">
        <v>974</v>
      </c>
      <c r="F981" s="66" t="s">
        <v>973</v>
      </c>
      <c r="G981" s="18" t="s">
        <v>11</v>
      </c>
      <c r="H981" s="19"/>
      <c r="I981" s="2"/>
    </row>
    <row r="982" spans="1:9" ht="21.6" x14ac:dyDescent="0.3">
      <c r="A982" s="2"/>
      <c r="B982" s="15">
        <v>5</v>
      </c>
      <c r="C982" s="20" t="s">
        <v>40</v>
      </c>
      <c r="D982" s="16">
        <f t="shared" si="39"/>
        <v>14</v>
      </c>
      <c r="E982" s="17" t="s">
        <v>976</v>
      </c>
      <c r="F982" s="66" t="s">
        <v>975</v>
      </c>
      <c r="G982" s="18" t="s">
        <v>11</v>
      </c>
      <c r="H982" s="19"/>
      <c r="I982" s="2"/>
    </row>
    <row r="983" spans="1:9" ht="32.4" x14ac:dyDescent="0.3">
      <c r="A983" s="2"/>
      <c r="B983" s="15">
        <v>5</v>
      </c>
      <c r="C983" s="20" t="s">
        <v>40</v>
      </c>
      <c r="D983" s="16">
        <f t="shared" si="39"/>
        <v>15</v>
      </c>
      <c r="E983" s="17" t="s">
        <v>978</v>
      </c>
      <c r="F983" s="66" t="s">
        <v>977</v>
      </c>
      <c r="G983" s="18" t="s">
        <v>11</v>
      </c>
      <c r="H983" s="19"/>
      <c r="I983" s="2"/>
    </row>
    <row r="984" spans="1:9" ht="32.4" x14ac:dyDescent="0.3">
      <c r="A984" s="2"/>
      <c r="B984" s="15">
        <v>5</v>
      </c>
      <c r="C984" s="20" t="s">
        <v>40</v>
      </c>
      <c r="D984" s="16">
        <f t="shared" si="39"/>
        <v>16</v>
      </c>
      <c r="E984" s="17" t="s">
        <v>900</v>
      </c>
      <c r="F984" s="66" t="s">
        <v>946</v>
      </c>
      <c r="G984" s="18" t="s">
        <v>11</v>
      </c>
      <c r="H984" s="19"/>
      <c r="I984" s="2"/>
    </row>
    <row r="985" spans="1:9" ht="32.4" x14ac:dyDescent="0.3">
      <c r="A985" s="2"/>
      <c r="B985" s="15">
        <v>5</v>
      </c>
      <c r="C985" s="20" t="s">
        <v>40</v>
      </c>
      <c r="D985" s="16">
        <f t="shared" si="39"/>
        <v>17</v>
      </c>
      <c r="E985" s="17" t="s">
        <v>947</v>
      </c>
      <c r="F985" s="66" t="s">
        <v>948</v>
      </c>
      <c r="G985" s="18" t="s">
        <v>11</v>
      </c>
      <c r="H985" s="19"/>
      <c r="I985" s="2"/>
    </row>
    <row r="986" spans="1:9" ht="32.4" x14ac:dyDescent="0.3">
      <c r="A986" s="2"/>
      <c r="B986" s="15">
        <v>5</v>
      </c>
      <c r="C986" s="20" t="s">
        <v>40</v>
      </c>
      <c r="D986" s="16">
        <f t="shared" si="39"/>
        <v>18</v>
      </c>
      <c r="E986" s="17" t="s">
        <v>950</v>
      </c>
      <c r="F986" s="66" t="s">
        <v>949</v>
      </c>
      <c r="G986" s="18" t="s">
        <v>11</v>
      </c>
      <c r="H986" s="19"/>
      <c r="I986" s="2"/>
    </row>
    <row r="987" spans="1:9" ht="43.2" x14ac:dyDescent="0.3">
      <c r="A987" s="2"/>
      <c r="B987" s="15">
        <v>5</v>
      </c>
      <c r="C987" s="20" t="s">
        <v>40</v>
      </c>
      <c r="D987" s="16">
        <f t="shared" si="39"/>
        <v>19</v>
      </c>
      <c r="E987" s="17" t="s">
        <v>450</v>
      </c>
      <c r="F987" s="66" t="s">
        <v>449</v>
      </c>
      <c r="G987" s="18" t="s">
        <v>11</v>
      </c>
      <c r="H987" s="19"/>
      <c r="I987" s="2"/>
    </row>
    <row r="988" spans="1:9" ht="32.4" x14ac:dyDescent="0.3">
      <c r="A988" s="2"/>
      <c r="B988" s="15">
        <v>5</v>
      </c>
      <c r="C988" s="20" t="s">
        <v>40</v>
      </c>
      <c r="D988" s="16">
        <f t="shared" si="39"/>
        <v>20</v>
      </c>
      <c r="E988" s="17" t="s">
        <v>893</v>
      </c>
      <c r="F988" s="66" t="s">
        <v>889</v>
      </c>
      <c r="G988" s="18" t="s">
        <v>11</v>
      </c>
      <c r="H988" s="19"/>
      <c r="I988" s="2"/>
    </row>
    <row r="989" spans="1:9" ht="21.6" x14ac:dyDescent="0.3">
      <c r="A989" s="2"/>
      <c r="B989" s="15">
        <v>5</v>
      </c>
      <c r="C989" s="20" t="s">
        <v>40</v>
      </c>
      <c r="D989" s="16">
        <f t="shared" si="39"/>
        <v>21</v>
      </c>
      <c r="E989" s="17" t="s">
        <v>891</v>
      </c>
      <c r="F989" s="66" t="s">
        <v>890</v>
      </c>
      <c r="G989" s="18" t="s">
        <v>11</v>
      </c>
      <c r="H989" s="19"/>
      <c r="I989" s="2"/>
    </row>
    <row r="990" spans="1:9" ht="32.4" x14ac:dyDescent="0.3">
      <c r="A990" s="2"/>
      <c r="B990" s="15">
        <v>5</v>
      </c>
      <c r="C990" s="20" t="s">
        <v>40</v>
      </c>
      <c r="D990" s="16">
        <f t="shared" si="39"/>
        <v>22</v>
      </c>
      <c r="E990" s="17" t="s">
        <v>452</v>
      </c>
      <c r="F990" s="66" t="s">
        <v>451</v>
      </c>
      <c r="G990" s="18" t="s">
        <v>11</v>
      </c>
      <c r="H990" s="19"/>
      <c r="I990" s="2"/>
    </row>
    <row r="991" spans="1:9" ht="32.4" x14ac:dyDescent="0.3">
      <c r="A991" s="2"/>
      <c r="B991" s="15">
        <v>5</v>
      </c>
      <c r="C991" s="20" t="s">
        <v>40</v>
      </c>
      <c r="D991" s="16">
        <f t="shared" si="39"/>
        <v>23</v>
      </c>
      <c r="E991" s="17" t="s">
        <v>454</v>
      </c>
      <c r="F991" s="66" t="s">
        <v>453</v>
      </c>
      <c r="G991" s="18" t="s">
        <v>11</v>
      </c>
      <c r="H991" s="19"/>
      <c r="I991" s="2"/>
    </row>
    <row r="992" spans="1:9" ht="32.4" x14ac:dyDescent="0.3">
      <c r="A992" s="2"/>
      <c r="B992" s="15">
        <v>5</v>
      </c>
      <c r="C992" s="20" t="s">
        <v>40</v>
      </c>
      <c r="D992" s="16">
        <f t="shared" si="39"/>
        <v>24</v>
      </c>
      <c r="E992" s="17" t="s">
        <v>456</v>
      </c>
      <c r="F992" s="66" t="s">
        <v>455</v>
      </c>
      <c r="G992" s="18" t="s">
        <v>11</v>
      </c>
      <c r="H992" s="19"/>
      <c r="I992" s="2"/>
    </row>
    <row r="993" spans="1:9" ht="21.6" x14ac:dyDescent="0.3">
      <c r="A993" s="2"/>
      <c r="B993" s="15">
        <v>5</v>
      </c>
      <c r="C993" s="20" t="s">
        <v>40</v>
      </c>
      <c r="D993" s="16">
        <f t="shared" si="39"/>
        <v>25</v>
      </c>
      <c r="E993" s="17" t="s">
        <v>552</v>
      </c>
      <c r="F993" s="66" t="s">
        <v>457</v>
      </c>
      <c r="G993" s="18" t="s">
        <v>11</v>
      </c>
      <c r="H993" s="19"/>
      <c r="I993" s="2"/>
    </row>
    <row r="994" spans="1:9" ht="54" x14ac:dyDescent="0.3">
      <c r="A994" s="2"/>
      <c r="B994" s="15">
        <v>5</v>
      </c>
      <c r="C994" s="20" t="s">
        <v>40</v>
      </c>
      <c r="D994" s="16">
        <f t="shared" si="39"/>
        <v>26</v>
      </c>
      <c r="E994" s="17" t="s">
        <v>554</v>
      </c>
      <c r="F994" s="66" t="s">
        <v>553</v>
      </c>
      <c r="G994" s="18" t="s">
        <v>11</v>
      </c>
      <c r="H994" s="19"/>
      <c r="I994" s="2"/>
    </row>
    <row r="995" spans="1:9" ht="18.75" customHeight="1" x14ac:dyDescent="0.3">
      <c r="A995" s="2"/>
      <c r="B995" s="5" t="s">
        <v>38</v>
      </c>
      <c r="C995" s="6"/>
      <c r="D995" s="6"/>
      <c r="E995" s="7" t="str">
        <f>IF(B995=0,"",VLOOKUP(B995,Daten!$A$2:$B$56,2,FALSE))</f>
        <v>Maßnahmenstufe 3b</v>
      </c>
      <c r="F995" s="7" t="str">
        <f>VLOOKUP(E995,Daten!$B$2:$C$56,2,)</f>
        <v>Schutzleitfäden für Brand und Explosion</v>
      </c>
      <c r="G995" s="8"/>
      <c r="H995" s="9"/>
      <c r="I995" s="2"/>
    </row>
    <row r="996" spans="1:9" ht="18.75" customHeight="1" x14ac:dyDescent="0.3">
      <c r="A996" s="2"/>
      <c r="B996" s="10" t="s">
        <v>1082</v>
      </c>
      <c r="C996" s="11"/>
      <c r="D996" s="11"/>
      <c r="E996" s="12" t="str">
        <f>IF(B996=0,"",VLOOKUP(B996,Daten!$A$2:$B$56,2,FALSE))</f>
        <v>Schutzleitfaden-PC370</v>
      </c>
      <c r="F996" s="12" t="str">
        <f>VLOOKUP(E996,Daten!$B$2:$C$56,2,)</f>
        <v>Hohe Brandschutzmaßnahmen - Grundanforderungen</v>
      </c>
      <c r="G996" s="13"/>
      <c r="H996" s="14"/>
      <c r="I996" s="2"/>
    </row>
    <row r="997" spans="1:9" ht="64.8" x14ac:dyDescent="0.3">
      <c r="A997" s="2"/>
      <c r="B997" s="15">
        <v>4</v>
      </c>
      <c r="C997" s="20" t="s">
        <v>39</v>
      </c>
      <c r="D997" s="16">
        <f>ROW(A997)-(ROW(A$996))</f>
        <v>1</v>
      </c>
      <c r="E997" s="17"/>
      <c r="F997" s="66" t="s">
        <v>835</v>
      </c>
      <c r="G997" s="18" t="s">
        <v>11</v>
      </c>
      <c r="H997" s="19"/>
      <c r="I997" s="2"/>
    </row>
    <row r="998" spans="1:9" ht="21.6" x14ac:dyDescent="0.3">
      <c r="A998" s="2"/>
      <c r="B998" s="15">
        <v>4</v>
      </c>
      <c r="C998" s="20" t="s">
        <v>39</v>
      </c>
      <c r="D998" s="16">
        <f t="shared" ref="D998:D1030" si="40">ROW(A998)-(ROW(A$996))</f>
        <v>2</v>
      </c>
      <c r="E998" s="17"/>
      <c r="F998" s="66" t="s">
        <v>836</v>
      </c>
      <c r="G998" s="18" t="s">
        <v>11</v>
      </c>
      <c r="H998" s="19"/>
      <c r="I998" s="2"/>
    </row>
    <row r="999" spans="1:9" ht="21.6" x14ac:dyDescent="0.3">
      <c r="A999" s="2"/>
      <c r="B999" s="15">
        <v>4</v>
      </c>
      <c r="C999" s="20" t="s">
        <v>39</v>
      </c>
      <c r="D999" s="16">
        <f t="shared" si="40"/>
        <v>3</v>
      </c>
      <c r="E999" s="17"/>
      <c r="F999" s="66" t="s">
        <v>837</v>
      </c>
      <c r="G999" s="18" t="s">
        <v>11</v>
      </c>
      <c r="H999" s="19"/>
      <c r="I999" s="2"/>
    </row>
    <row r="1000" spans="1:9" ht="21.6" x14ac:dyDescent="0.3">
      <c r="A1000" s="2"/>
      <c r="B1000" s="15">
        <v>4</v>
      </c>
      <c r="C1000" s="20" t="s">
        <v>39</v>
      </c>
      <c r="D1000" s="16">
        <f t="shared" si="40"/>
        <v>4</v>
      </c>
      <c r="E1000" s="17"/>
      <c r="F1000" s="66" t="s">
        <v>838</v>
      </c>
      <c r="G1000" s="18" t="s">
        <v>11</v>
      </c>
      <c r="H1000" s="19"/>
      <c r="I1000" s="2"/>
    </row>
    <row r="1001" spans="1:9" ht="32.4" x14ac:dyDescent="0.3">
      <c r="A1001" s="2"/>
      <c r="B1001" s="15">
        <v>4</v>
      </c>
      <c r="C1001" s="20" t="s">
        <v>39</v>
      </c>
      <c r="D1001" s="16">
        <f t="shared" si="40"/>
        <v>5</v>
      </c>
      <c r="E1001" s="17"/>
      <c r="F1001" s="66" t="s">
        <v>839</v>
      </c>
      <c r="G1001" s="18" t="s">
        <v>11</v>
      </c>
      <c r="H1001" s="19"/>
      <c r="I1001" s="2"/>
    </row>
    <row r="1002" spans="1:9" ht="21.6" x14ac:dyDescent="0.3">
      <c r="A1002" s="2"/>
      <c r="B1002" s="15">
        <v>4</v>
      </c>
      <c r="C1002" s="20" t="s">
        <v>39</v>
      </c>
      <c r="D1002" s="16">
        <f t="shared" si="40"/>
        <v>6</v>
      </c>
      <c r="E1002" s="17"/>
      <c r="F1002" s="66" t="s">
        <v>840</v>
      </c>
      <c r="G1002" s="18" t="s">
        <v>11</v>
      </c>
      <c r="H1002" s="19"/>
      <c r="I1002" s="2"/>
    </row>
    <row r="1003" spans="1:9" ht="21.6" x14ac:dyDescent="0.3">
      <c r="A1003" s="2"/>
      <c r="B1003" s="15">
        <v>4</v>
      </c>
      <c r="C1003" s="20" t="s">
        <v>39</v>
      </c>
      <c r="D1003" s="16">
        <f t="shared" si="40"/>
        <v>7</v>
      </c>
      <c r="E1003" s="17"/>
      <c r="F1003" s="66" t="s">
        <v>841</v>
      </c>
      <c r="G1003" s="18" t="s">
        <v>11</v>
      </c>
      <c r="H1003" s="19"/>
      <c r="I1003" s="2"/>
    </row>
    <row r="1004" spans="1:9" ht="13.2" x14ac:dyDescent="0.3">
      <c r="A1004" s="2"/>
      <c r="B1004" s="15">
        <v>4</v>
      </c>
      <c r="C1004" s="20" t="s">
        <v>39</v>
      </c>
      <c r="D1004" s="16">
        <f t="shared" si="40"/>
        <v>8</v>
      </c>
      <c r="E1004" s="17"/>
      <c r="F1004" s="66" t="s">
        <v>842</v>
      </c>
      <c r="G1004" s="18" t="s">
        <v>11</v>
      </c>
      <c r="H1004" s="19"/>
      <c r="I1004" s="2"/>
    </row>
    <row r="1005" spans="1:9" ht="64.8" x14ac:dyDescent="0.3">
      <c r="A1005" s="2"/>
      <c r="B1005" s="15">
        <v>4</v>
      </c>
      <c r="C1005" s="20" t="s">
        <v>39</v>
      </c>
      <c r="D1005" s="16">
        <f t="shared" si="40"/>
        <v>9</v>
      </c>
      <c r="E1005" s="17"/>
      <c r="F1005" s="66" t="s">
        <v>843</v>
      </c>
      <c r="G1005" s="18" t="s">
        <v>11</v>
      </c>
      <c r="H1005" s="19"/>
      <c r="I1005" s="2"/>
    </row>
    <row r="1006" spans="1:9" ht="21.6" x14ac:dyDescent="0.3">
      <c r="A1006" s="2"/>
      <c r="B1006" s="15">
        <v>4</v>
      </c>
      <c r="C1006" s="20" t="s">
        <v>39</v>
      </c>
      <c r="D1006" s="16">
        <f t="shared" si="40"/>
        <v>10</v>
      </c>
      <c r="E1006" s="17"/>
      <c r="F1006" s="66" t="s">
        <v>844</v>
      </c>
      <c r="G1006" s="18" t="s">
        <v>11</v>
      </c>
      <c r="H1006" s="19"/>
      <c r="I1006" s="2"/>
    </row>
    <row r="1007" spans="1:9" ht="21.6" x14ac:dyDescent="0.3">
      <c r="A1007" s="2"/>
      <c r="B1007" s="15">
        <v>4</v>
      </c>
      <c r="C1007" s="20" t="s">
        <v>39</v>
      </c>
      <c r="D1007" s="16">
        <f t="shared" si="40"/>
        <v>11</v>
      </c>
      <c r="E1007" s="17"/>
      <c r="F1007" s="66" t="s">
        <v>845</v>
      </c>
      <c r="G1007" s="18" t="s">
        <v>11</v>
      </c>
      <c r="H1007" s="19"/>
      <c r="I1007" s="2"/>
    </row>
    <row r="1008" spans="1:9" ht="32.4" x14ac:dyDescent="0.3">
      <c r="A1008" s="2"/>
      <c r="B1008" s="15">
        <v>4</v>
      </c>
      <c r="C1008" s="20" t="s">
        <v>39</v>
      </c>
      <c r="D1008" s="16">
        <f t="shared" si="40"/>
        <v>12</v>
      </c>
      <c r="E1008" s="17"/>
      <c r="F1008" s="66" t="s">
        <v>846</v>
      </c>
      <c r="G1008" s="18" t="s">
        <v>11</v>
      </c>
      <c r="H1008" s="19"/>
      <c r="I1008" s="2"/>
    </row>
    <row r="1009" spans="1:9" ht="21.6" x14ac:dyDescent="0.3">
      <c r="A1009" s="2"/>
      <c r="B1009" s="15">
        <v>4</v>
      </c>
      <c r="C1009" s="20" t="s">
        <v>39</v>
      </c>
      <c r="D1009" s="16">
        <f t="shared" si="40"/>
        <v>13</v>
      </c>
      <c r="E1009" s="17"/>
      <c r="F1009" s="66" t="s">
        <v>847</v>
      </c>
      <c r="G1009" s="18" t="s">
        <v>11</v>
      </c>
      <c r="H1009" s="19"/>
      <c r="I1009" s="2"/>
    </row>
    <row r="1010" spans="1:9" ht="32.4" x14ac:dyDescent="0.3">
      <c r="A1010" s="2"/>
      <c r="B1010" s="15">
        <v>4</v>
      </c>
      <c r="C1010" s="20" t="s">
        <v>39</v>
      </c>
      <c r="D1010" s="16">
        <f t="shared" si="40"/>
        <v>14</v>
      </c>
      <c r="E1010" s="17"/>
      <c r="F1010" s="66" t="s">
        <v>848</v>
      </c>
      <c r="G1010" s="18" t="s">
        <v>11</v>
      </c>
      <c r="H1010" s="19"/>
      <c r="I1010" s="2"/>
    </row>
    <row r="1011" spans="1:9" ht="43.2" x14ac:dyDescent="0.3">
      <c r="A1011" s="2"/>
      <c r="B1011" s="15">
        <v>4</v>
      </c>
      <c r="C1011" s="20" t="s">
        <v>39</v>
      </c>
      <c r="D1011" s="16">
        <f t="shared" si="40"/>
        <v>15</v>
      </c>
      <c r="E1011" s="17"/>
      <c r="F1011" s="66" t="s">
        <v>849</v>
      </c>
      <c r="G1011" s="18" t="s">
        <v>11</v>
      </c>
      <c r="H1011" s="19"/>
      <c r="I1011" s="2"/>
    </row>
    <row r="1012" spans="1:9" ht="86.4" x14ac:dyDescent="0.3">
      <c r="A1012" s="2"/>
      <c r="B1012" s="15">
        <v>4</v>
      </c>
      <c r="C1012" s="20" t="s">
        <v>39</v>
      </c>
      <c r="D1012" s="16">
        <f t="shared" si="40"/>
        <v>16</v>
      </c>
      <c r="E1012" s="17"/>
      <c r="F1012" s="66" t="s">
        <v>850</v>
      </c>
      <c r="G1012" s="18" t="s">
        <v>11</v>
      </c>
      <c r="H1012" s="19"/>
      <c r="I1012" s="2"/>
    </row>
    <row r="1013" spans="1:9" ht="32.4" x14ac:dyDescent="0.3">
      <c r="A1013" s="2"/>
      <c r="B1013" s="15">
        <v>4</v>
      </c>
      <c r="C1013" s="20" t="s">
        <v>39</v>
      </c>
      <c r="D1013" s="16">
        <f t="shared" si="40"/>
        <v>17</v>
      </c>
      <c r="E1013" s="17"/>
      <c r="F1013" s="66" t="s">
        <v>851</v>
      </c>
      <c r="G1013" s="18" t="s">
        <v>11</v>
      </c>
      <c r="H1013" s="19"/>
      <c r="I1013" s="2"/>
    </row>
    <row r="1014" spans="1:9" ht="32.4" x14ac:dyDescent="0.3">
      <c r="A1014" s="2"/>
      <c r="B1014" s="15">
        <v>4</v>
      </c>
      <c r="C1014" s="20" t="s">
        <v>39</v>
      </c>
      <c r="D1014" s="16">
        <f t="shared" si="40"/>
        <v>18</v>
      </c>
      <c r="E1014" s="17"/>
      <c r="F1014" s="66" t="s">
        <v>852</v>
      </c>
      <c r="G1014" s="18" t="s">
        <v>11</v>
      </c>
      <c r="H1014" s="19"/>
      <c r="I1014" s="2"/>
    </row>
    <row r="1015" spans="1:9" ht="21.6" x14ac:dyDescent="0.3">
      <c r="A1015" s="2"/>
      <c r="B1015" s="15">
        <v>4</v>
      </c>
      <c r="C1015" s="20" t="s">
        <v>39</v>
      </c>
      <c r="D1015" s="16">
        <f t="shared" si="40"/>
        <v>19</v>
      </c>
      <c r="E1015" s="17"/>
      <c r="F1015" s="66" t="s">
        <v>853</v>
      </c>
      <c r="G1015" s="18" t="s">
        <v>11</v>
      </c>
      <c r="H1015" s="19"/>
      <c r="I1015" s="2"/>
    </row>
    <row r="1016" spans="1:9" ht="32.4" x14ac:dyDescent="0.3">
      <c r="A1016" s="2"/>
      <c r="B1016" s="15">
        <v>4</v>
      </c>
      <c r="C1016" s="20" t="s">
        <v>39</v>
      </c>
      <c r="D1016" s="16">
        <f t="shared" si="40"/>
        <v>20</v>
      </c>
      <c r="E1016" s="17"/>
      <c r="F1016" s="66" t="s">
        <v>854</v>
      </c>
      <c r="G1016" s="18" t="s">
        <v>11</v>
      </c>
      <c r="H1016" s="19"/>
      <c r="I1016" s="2"/>
    </row>
    <row r="1017" spans="1:9" ht="21.6" x14ac:dyDescent="0.3">
      <c r="A1017" s="2"/>
      <c r="B1017" s="15">
        <v>4</v>
      </c>
      <c r="C1017" s="20" t="s">
        <v>39</v>
      </c>
      <c r="D1017" s="16">
        <f t="shared" si="40"/>
        <v>21</v>
      </c>
      <c r="E1017" s="17"/>
      <c r="F1017" s="66" t="s">
        <v>855</v>
      </c>
      <c r="G1017" s="18" t="s">
        <v>11</v>
      </c>
      <c r="H1017" s="19"/>
      <c r="I1017" s="2"/>
    </row>
    <row r="1018" spans="1:9" ht="21.6" x14ac:dyDescent="0.3">
      <c r="A1018" s="2"/>
      <c r="B1018" s="15">
        <v>4</v>
      </c>
      <c r="C1018" s="20" t="s">
        <v>39</v>
      </c>
      <c r="D1018" s="16">
        <f t="shared" si="40"/>
        <v>22</v>
      </c>
      <c r="E1018" s="17"/>
      <c r="F1018" s="66" t="s">
        <v>856</v>
      </c>
      <c r="G1018" s="18" t="s">
        <v>11</v>
      </c>
      <c r="H1018" s="19"/>
      <c r="I1018" s="2"/>
    </row>
    <row r="1019" spans="1:9" ht="32.4" x14ac:dyDescent="0.3">
      <c r="A1019" s="2"/>
      <c r="B1019" s="15">
        <v>4</v>
      </c>
      <c r="C1019" s="20" t="s">
        <v>39</v>
      </c>
      <c r="D1019" s="16">
        <f t="shared" si="40"/>
        <v>23</v>
      </c>
      <c r="E1019" s="17"/>
      <c r="F1019" s="66" t="s">
        <v>857</v>
      </c>
      <c r="G1019" s="18" t="s">
        <v>11</v>
      </c>
      <c r="H1019" s="19"/>
      <c r="I1019" s="2"/>
    </row>
    <row r="1020" spans="1:9" ht="32.4" x14ac:dyDescent="0.3">
      <c r="A1020" s="2"/>
      <c r="B1020" s="15">
        <v>4</v>
      </c>
      <c r="C1020" s="20" t="s">
        <v>39</v>
      </c>
      <c r="D1020" s="16">
        <f t="shared" si="40"/>
        <v>24</v>
      </c>
      <c r="E1020" s="17"/>
      <c r="F1020" s="66" t="s">
        <v>858</v>
      </c>
      <c r="G1020" s="18" t="s">
        <v>11</v>
      </c>
      <c r="H1020" s="19"/>
      <c r="I1020" s="2"/>
    </row>
    <row r="1021" spans="1:9" ht="21.6" x14ac:dyDescent="0.3">
      <c r="A1021" s="2"/>
      <c r="B1021" s="15">
        <v>4</v>
      </c>
      <c r="C1021" s="20" t="s">
        <v>39</v>
      </c>
      <c r="D1021" s="16">
        <f t="shared" si="40"/>
        <v>25</v>
      </c>
      <c r="E1021" s="17"/>
      <c r="F1021" s="66" t="s">
        <v>859</v>
      </c>
      <c r="G1021" s="18" t="s">
        <v>11</v>
      </c>
      <c r="H1021" s="19"/>
      <c r="I1021" s="2"/>
    </row>
    <row r="1022" spans="1:9" ht="54" x14ac:dyDescent="0.3">
      <c r="A1022" s="2"/>
      <c r="B1022" s="15">
        <v>4</v>
      </c>
      <c r="C1022" s="20" t="s">
        <v>39</v>
      </c>
      <c r="D1022" s="16">
        <f t="shared" si="40"/>
        <v>26</v>
      </c>
      <c r="E1022" s="17"/>
      <c r="F1022" s="66" t="s">
        <v>860</v>
      </c>
      <c r="G1022" s="18" t="s">
        <v>11</v>
      </c>
      <c r="H1022" s="19"/>
      <c r="I1022" s="2"/>
    </row>
    <row r="1023" spans="1:9" ht="32.4" x14ac:dyDescent="0.3">
      <c r="A1023" s="2"/>
      <c r="B1023" s="15">
        <v>4</v>
      </c>
      <c r="C1023" s="20" t="s">
        <v>39</v>
      </c>
      <c r="D1023" s="16">
        <f t="shared" si="40"/>
        <v>27</v>
      </c>
      <c r="E1023" s="17"/>
      <c r="F1023" s="66" t="s">
        <v>861</v>
      </c>
      <c r="G1023" s="18" t="s">
        <v>11</v>
      </c>
      <c r="H1023" s="19"/>
      <c r="I1023" s="2"/>
    </row>
    <row r="1024" spans="1:9" ht="21.6" x14ac:dyDescent="0.3">
      <c r="A1024" s="2"/>
      <c r="B1024" s="15">
        <v>4</v>
      </c>
      <c r="C1024" s="20" t="s">
        <v>39</v>
      </c>
      <c r="D1024" s="16">
        <f t="shared" si="40"/>
        <v>28</v>
      </c>
      <c r="E1024" s="17"/>
      <c r="F1024" s="66" t="s">
        <v>862</v>
      </c>
      <c r="G1024" s="18" t="s">
        <v>11</v>
      </c>
      <c r="H1024" s="19"/>
      <c r="I1024" s="2"/>
    </row>
    <row r="1025" spans="1:9" ht="32.4" x14ac:dyDescent="0.3">
      <c r="A1025" s="2"/>
      <c r="B1025" s="15">
        <v>4</v>
      </c>
      <c r="C1025" s="20" t="s">
        <v>39</v>
      </c>
      <c r="D1025" s="16">
        <f t="shared" si="40"/>
        <v>29</v>
      </c>
      <c r="E1025" s="17"/>
      <c r="F1025" s="66" t="s">
        <v>863</v>
      </c>
      <c r="G1025" s="18" t="s">
        <v>11</v>
      </c>
      <c r="H1025" s="19"/>
      <c r="I1025" s="2"/>
    </row>
    <row r="1026" spans="1:9" ht="21.6" x14ac:dyDescent="0.3">
      <c r="A1026" s="2"/>
      <c r="B1026" s="15">
        <v>4</v>
      </c>
      <c r="C1026" s="20" t="s">
        <v>39</v>
      </c>
      <c r="D1026" s="16">
        <f t="shared" si="40"/>
        <v>30</v>
      </c>
      <c r="E1026" s="17"/>
      <c r="F1026" s="66" t="s">
        <v>864</v>
      </c>
      <c r="G1026" s="18" t="s">
        <v>11</v>
      </c>
      <c r="H1026" s="19"/>
      <c r="I1026" s="2"/>
    </row>
    <row r="1027" spans="1:9" ht="21.6" x14ac:dyDescent="0.3">
      <c r="A1027" s="2"/>
      <c r="B1027" s="15">
        <v>4</v>
      </c>
      <c r="C1027" s="20" t="s">
        <v>39</v>
      </c>
      <c r="D1027" s="16">
        <f t="shared" si="40"/>
        <v>31</v>
      </c>
      <c r="E1027" s="17"/>
      <c r="F1027" s="66" t="s">
        <v>865</v>
      </c>
      <c r="G1027" s="18" t="s">
        <v>11</v>
      </c>
      <c r="H1027" s="19"/>
      <c r="I1027" s="2"/>
    </row>
    <row r="1028" spans="1:9" ht="21.6" x14ac:dyDescent="0.3">
      <c r="A1028" s="2"/>
      <c r="B1028" s="15">
        <v>4</v>
      </c>
      <c r="C1028" s="20" t="s">
        <v>39</v>
      </c>
      <c r="D1028" s="16">
        <f t="shared" si="40"/>
        <v>32</v>
      </c>
      <c r="E1028" s="17"/>
      <c r="F1028" s="66" t="s">
        <v>866</v>
      </c>
      <c r="G1028" s="18" t="s">
        <v>11</v>
      </c>
      <c r="H1028" s="19"/>
      <c r="I1028" s="2"/>
    </row>
    <row r="1029" spans="1:9" ht="21.6" x14ac:dyDescent="0.3">
      <c r="A1029" s="2"/>
      <c r="B1029" s="15">
        <v>4</v>
      </c>
      <c r="C1029" s="20" t="s">
        <v>39</v>
      </c>
      <c r="D1029" s="16">
        <f t="shared" si="40"/>
        <v>33</v>
      </c>
      <c r="E1029" s="17"/>
      <c r="F1029" s="66" t="s">
        <v>867</v>
      </c>
      <c r="G1029" s="18" t="s">
        <v>11</v>
      </c>
      <c r="H1029" s="19"/>
      <c r="I1029" s="2"/>
    </row>
    <row r="1030" spans="1:9" ht="151.19999999999999" x14ac:dyDescent="0.3">
      <c r="A1030" s="2"/>
      <c r="B1030" s="15">
        <v>4</v>
      </c>
      <c r="C1030" s="20" t="s">
        <v>39</v>
      </c>
      <c r="D1030" s="16">
        <f t="shared" si="40"/>
        <v>34</v>
      </c>
      <c r="E1030" s="17" t="s">
        <v>869</v>
      </c>
      <c r="F1030" s="66" t="s">
        <v>868</v>
      </c>
      <c r="G1030" s="18" t="s">
        <v>11</v>
      </c>
      <c r="H1030" s="19"/>
      <c r="I1030" s="2"/>
    </row>
    <row r="1031" spans="1:9" ht="18.75" customHeight="1" x14ac:dyDescent="0.3">
      <c r="A1031" s="2"/>
      <c r="B1031" s="2"/>
      <c r="C1031" s="2"/>
      <c r="D1031" s="2"/>
      <c r="E1031" s="2"/>
      <c r="F1031" s="2"/>
      <c r="G1031" s="2"/>
      <c r="H1031" s="2"/>
      <c r="I1031" s="2"/>
    </row>
    <row r="1032" spans="1:9" s="4" customFormat="1" ht="18.75" customHeight="1" x14ac:dyDescent="0.3">
      <c r="A1032" s="1"/>
      <c r="B1032" s="3"/>
      <c r="C1032" s="3"/>
      <c r="D1032" s="3"/>
      <c r="E1032" s="1"/>
      <c r="F1032" s="1"/>
      <c r="G1032" s="1"/>
      <c r="H1032" s="1"/>
      <c r="I1032" s="1"/>
    </row>
    <row r="1033" spans="1:9" s="4" customFormat="1" ht="18.75" customHeight="1" x14ac:dyDescent="0.3">
      <c r="A1033" s="1"/>
      <c r="B1033" s="3"/>
      <c r="C1033" s="3"/>
      <c r="D1033" s="3"/>
      <c r="E1033" s="1"/>
      <c r="F1033" s="1"/>
      <c r="G1033" s="1"/>
      <c r="H1033" s="1"/>
      <c r="I1033" s="1"/>
    </row>
    <row r="1034" spans="1:9" s="4" customFormat="1" ht="18.75" customHeight="1" x14ac:dyDescent="0.3">
      <c r="A1034" s="1"/>
      <c r="B1034" s="3"/>
      <c r="C1034" s="3"/>
      <c r="D1034" s="3"/>
      <c r="E1034" s="1"/>
      <c r="F1034" s="1"/>
      <c r="G1034" s="1"/>
      <c r="H1034" s="1"/>
      <c r="I1034" s="1"/>
    </row>
    <row r="1035" spans="1:9" s="4" customFormat="1" ht="18.75" customHeight="1" x14ac:dyDescent="0.3">
      <c r="A1035" s="1"/>
      <c r="B1035" s="3"/>
      <c r="C1035" s="3"/>
      <c r="D1035" s="3"/>
      <c r="E1035" s="1"/>
      <c r="F1035" s="1"/>
      <c r="G1035" s="1"/>
      <c r="H1035" s="1"/>
      <c r="I1035" s="1"/>
    </row>
    <row r="1036" spans="1:9" s="4" customFormat="1" ht="18.75" customHeight="1" x14ac:dyDescent="0.3">
      <c r="A1036" s="1"/>
      <c r="B1036" s="3"/>
      <c r="C1036" s="3"/>
      <c r="D1036" s="3"/>
      <c r="E1036" s="1"/>
      <c r="F1036" s="1"/>
      <c r="G1036" s="1"/>
      <c r="H1036" s="1"/>
      <c r="I1036" s="1"/>
    </row>
    <row r="1037" spans="1:9" s="4" customFormat="1" ht="18.75" customHeight="1" x14ac:dyDescent="0.3">
      <c r="A1037" s="1"/>
      <c r="B1037" s="3"/>
      <c r="C1037" s="3"/>
      <c r="D1037" s="3"/>
      <c r="E1037" s="1"/>
      <c r="F1037" s="1"/>
      <c r="G1037" s="1"/>
      <c r="H1037" s="1"/>
      <c r="I1037" s="1"/>
    </row>
    <row r="1038" spans="1:9" s="4" customFormat="1" ht="18.75" customHeight="1" x14ac:dyDescent="0.3">
      <c r="A1038" s="1"/>
      <c r="B1038" s="3"/>
      <c r="C1038" s="3"/>
      <c r="D1038" s="3"/>
      <c r="E1038" s="1"/>
      <c r="F1038" s="1"/>
      <c r="G1038" s="1"/>
      <c r="H1038" s="1"/>
      <c r="I1038" s="1"/>
    </row>
    <row r="1039" spans="1:9" s="4" customFormat="1" ht="18.75" customHeight="1" x14ac:dyDescent="0.3">
      <c r="A1039" s="1"/>
      <c r="B1039" s="3"/>
      <c r="C1039" s="3"/>
      <c r="D1039" s="3"/>
      <c r="E1039" s="1"/>
      <c r="F1039" s="1"/>
      <c r="G1039" s="1"/>
      <c r="H1039" s="1"/>
      <c r="I1039" s="1"/>
    </row>
    <row r="1040" spans="1:9" s="4" customFormat="1" ht="18.75" customHeight="1" x14ac:dyDescent="0.3">
      <c r="A1040" s="1"/>
      <c r="B1040" s="3"/>
      <c r="C1040" s="3"/>
      <c r="D1040" s="3"/>
      <c r="E1040" s="1"/>
      <c r="F1040" s="1"/>
      <c r="G1040" s="1"/>
      <c r="H1040" s="1"/>
      <c r="I1040" s="1"/>
    </row>
    <row r="1041" spans="1:9" s="4" customFormat="1" ht="18.75" customHeight="1" x14ac:dyDescent="0.3">
      <c r="A1041" s="1"/>
      <c r="B1041" s="3"/>
      <c r="C1041" s="3"/>
      <c r="D1041" s="3"/>
      <c r="E1041" s="1"/>
      <c r="F1041" s="1"/>
      <c r="G1041" s="1"/>
      <c r="H1041" s="1"/>
      <c r="I1041" s="1"/>
    </row>
    <row r="1042" spans="1:9" s="4" customFormat="1" ht="18.75" customHeight="1" x14ac:dyDescent="0.3">
      <c r="A1042" s="1"/>
      <c r="B1042" s="3"/>
      <c r="C1042" s="3"/>
      <c r="D1042" s="3"/>
      <c r="E1042" s="1"/>
      <c r="F1042" s="1"/>
      <c r="G1042" s="1"/>
      <c r="H1042" s="1"/>
      <c r="I1042" s="1"/>
    </row>
    <row r="1043" spans="1:9" s="4" customFormat="1" ht="18.75" customHeight="1" x14ac:dyDescent="0.3">
      <c r="A1043" s="1"/>
      <c r="B1043" s="3"/>
      <c r="C1043" s="3"/>
      <c r="D1043" s="3"/>
      <c r="E1043" s="1"/>
      <c r="F1043" s="1"/>
      <c r="G1043" s="1"/>
      <c r="H1043" s="1"/>
      <c r="I1043" s="1"/>
    </row>
    <row r="1044" spans="1:9" s="4" customFormat="1" ht="18.75" customHeight="1" x14ac:dyDescent="0.3">
      <c r="A1044" s="1"/>
      <c r="B1044" s="3"/>
      <c r="C1044" s="3"/>
      <c r="D1044" s="3"/>
      <c r="E1044" s="1"/>
      <c r="F1044" s="1"/>
      <c r="G1044" s="1"/>
      <c r="H1044" s="1"/>
      <c r="I1044" s="1"/>
    </row>
    <row r="1045" spans="1:9" s="4" customFormat="1" ht="18.75" customHeight="1" x14ac:dyDescent="0.3">
      <c r="A1045" s="1"/>
      <c r="B1045" s="3"/>
      <c r="C1045" s="3"/>
      <c r="D1045" s="3"/>
      <c r="E1045" s="1"/>
      <c r="F1045" s="1"/>
      <c r="G1045" s="1"/>
      <c r="H1045" s="1"/>
      <c r="I1045" s="1"/>
    </row>
    <row r="1046" spans="1:9" s="4" customFormat="1" ht="18.75" customHeight="1" x14ac:dyDescent="0.3">
      <c r="A1046" s="1"/>
      <c r="B1046" s="3"/>
      <c r="C1046" s="3"/>
      <c r="D1046" s="3"/>
      <c r="E1046" s="1"/>
      <c r="F1046" s="1"/>
      <c r="G1046" s="1"/>
      <c r="H1046" s="1"/>
      <c r="I1046" s="1"/>
    </row>
    <row r="1047" spans="1:9" s="4" customFormat="1" ht="18.75" customHeight="1" x14ac:dyDescent="0.3">
      <c r="A1047" s="1"/>
      <c r="B1047" s="3"/>
      <c r="C1047" s="3"/>
      <c r="D1047" s="3"/>
      <c r="E1047" s="1"/>
      <c r="F1047" s="1"/>
      <c r="G1047" s="1"/>
      <c r="H1047" s="1"/>
      <c r="I1047" s="1"/>
    </row>
    <row r="1048" spans="1:9" s="4" customFormat="1" ht="18.75" customHeight="1" x14ac:dyDescent="0.3">
      <c r="A1048" s="1"/>
      <c r="B1048" s="3"/>
      <c r="C1048" s="3"/>
      <c r="D1048" s="3"/>
      <c r="E1048" s="1"/>
      <c r="F1048" s="1"/>
      <c r="G1048" s="1"/>
      <c r="H1048" s="1"/>
      <c r="I1048" s="1"/>
    </row>
    <row r="1049" spans="1:9" s="4" customFormat="1" ht="18.75" customHeight="1" x14ac:dyDescent="0.3">
      <c r="A1049" s="1"/>
      <c r="B1049" s="3"/>
      <c r="C1049" s="3"/>
      <c r="D1049" s="3"/>
      <c r="E1049" s="1"/>
      <c r="F1049" s="1"/>
      <c r="G1049" s="1"/>
      <c r="H1049" s="1"/>
      <c r="I1049" s="1"/>
    </row>
    <row r="1050" spans="1:9" s="4" customFormat="1" ht="18.75" customHeight="1" x14ac:dyDescent="0.3">
      <c r="A1050" s="1"/>
      <c r="B1050" s="3"/>
      <c r="C1050" s="3"/>
      <c r="D1050" s="3"/>
      <c r="E1050" s="1"/>
      <c r="F1050" s="1"/>
      <c r="G1050" s="1"/>
      <c r="H1050" s="1"/>
      <c r="I1050" s="1"/>
    </row>
    <row r="1051" spans="1:9" s="4" customFormat="1" ht="18.75" customHeight="1" x14ac:dyDescent="0.3">
      <c r="A1051" s="1"/>
      <c r="B1051" s="3"/>
      <c r="C1051" s="3"/>
      <c r="D1051" s="3"/>
      <c r="E1051" s="1"/>
      <c r="F1051" s="1"/>
      <c r="G1051" s="1"/>
      <c r="H1051" s="1"/>
      <c r="I1051" s="1"/>
    </row>
    <row r="1052" spans="1:9" s="4" customFormat="1" ht="18.75" customHeight="1" x14ac:dyDescent="0.3">
      <c r="A1052" s="1"/>
      <c r="B1052" s="3"/>
      <c r="C1052" s="3"/>
      <c r="D1052" s="3"/>
      <c r="E1052" s="1"/>
      <c r="F1052" s="1"/>
      <c r="G1052" s="1"/>
      <c r="H1052" s="1"/>
      <c r="I1052" s="1"/>
    </row>
    <row r="1053" spans="1:9" s="4" customFormat="1" ht="18.75" customHeight="1" x14ac:dyDescent="0.3">
      <c r="A1053" s="1"/>
      <c r="B1053" s="3"/>
      <c r="C1053" s="3"/>
      <c r="D1053" s="3"/>
      <c r="E1053" s="1"/>
      <c r="F1053" s="1"/>
      <c r="G1053" s="1"/>
      <c r="H1053" s="1"/>
      <c r="I1053" s="1"/>
    </row>
    <row r="1054" spans="1:9" s="4" customFormat="1" ht="18.75" customHeight="1" x14ac:dyDescent="0.3">
      <c r="A1054" s="1"/>
      <c r="B1054" s="3"/>
      <c r="C1054" s="3"/>
      <c r="D1054" s="3"/>
      <c r="E1054" s="1"/>
      <c r="F1054" s="1"/>
      <c r="G1054" s="1"/>
      <c r="H1054" s="1"/>
      <c r="I1054" s="1"/>
    </row>
    <row r="1055" spans="1:9" s="4" customFormat="1" ht="18.75" customHeight="1" x14ac:dyDescent="0.3">
      <c r="A1055" s="1"/>
      <c r="B1055" s="3"/>
      <c r="C1055" s="3"/>
      <c r="D1055" s="3"/>
      <c r="E1055" s="1"/>
      <c r="F1055" s="1"/>
      <c r="G1055" s="1"/>
      <c r="H1055" s="1"/>
      <c r="I1055" s="1"/>
    </row>
    <row r="1056" spans="1:9" s="4" customFormat="1" ht="18.75" customHeight="1" x14ac:dyDescent="0.3">
      <c r="A1056" s="1"/>
      <c r="B1056" s="3"/>
      <c r="C1056" s="3"/>
      <c r="D1056" s="3"/>
      <c r="E1056" s="1"/>
      <c r="F1056" s="1"/>
      <c r="G1056" s="1"/>
      <c r="H1056" s="1"/>
      <c r="I1056" s="1"/>
    </row>
    <row r="1057" spans="1:9" s="4" customFormat="1" ht="18.75" customHeight="1" x14ac:dyDescent="0.3">
      <c r="A1057" s="1"/>
      <c r="B1057" s="3"/>
      <c r="C1057" s="3"/>
      <c r="D1057" s="3"/>
      <c r="E1057" s="1"/>
      <c r="F1057" s="1"/>
      <c r="G1057" s="1"/>
      <c r="H1057" s="1"/>
      <c r="I1057" s="1"/>
    </row>
    <row r="1058" spans="1:9" s="4" customFormat="1" ht="18.75" customHeight="1" x14ac:dyDescent="0.3">
      <c r="A1058" s="1"/>
      <c r="B1058" s="3"/>
      <c r="C1058" s="3"/>
      <c r="D1058" s="3"/>
      <c r="E1058" s="1"/>
      <c r="F1058" s="1"/>
      <c r="G1058" s="1"/>
      <c r="H1058" s="1"/>
      <c r="I1058" s="1"/>
    </row>
    <row r="1059" spans="1:9" s="4" customFormat="1" ht="18.75" customHeight="1" x14ac:dyDescent="0.3">
      <c r="A1059" s="1"/>
      <c r="B1059" s="3"/>
      <c r="C1059" s="3"/>
      <c r="D1059" s="3"/>
      <c r="E1059" s="1"/>
      <c r="F1059" s="1"/>
      <c r="G1059" s="1"/>
      <c r="H1059" s="1"/>
      <c r="I1059" s="1"/>
    </row>
    <row r="1060" spans="1:9" s="4" customFormat="1" ht="18.75" customHeight="1" x14ac:dyDescent="0.3">
      <c r="A1060" s="1"/>
      <c r="B1060" s="3"/>
      <c r="C1060" s="3"/>
      <c r="D1060" s="3"/>
      <c r="E1060" s="1"/>
      <c r="F1060" s="1"/>
      <c r="G1060" s="1"/>
      <c r="H1060" s="1"/>
      <c r="I1060" s="1"/>
    </row>
    <row r="1061" spans="1:9" s="4" customFormat="1" ht="18.75" customHeight="1" x14ac:dyDescent="0.3">
      <c r="A1061" s="1"/>
      <c r="B1061" s="3"/>
      <c r="C1061" s="3"/>
      <c r="D1061" s="3"/>
      <c r="E1061" s="1"/>
      <c r="F1061" s="1"/>
      <c r="G1061" s="1"/>
      <c r="H1061" s="1"/>
      <c r="I1061" s="1"/>
    </row>
    <row r="1062" spans="1:9" s="4" customFormat="1" ht="18.75" customHeight="1" x14ac:dyDescent="0.3">
      <c r="A1062" s="1"/>
      <c r="B1062" s="3"/>
      <c r="C1062" s="3"/>
      <c r="D1062" s="3"/>
      <c r="E1062" s="1"/>
      <c r="F1062" s="1"/>
      <c r="G1062" s="1"/>
      <c r="H1062" s="1"/>
      <c r="I1062" s="1"/>
    </row>
    <row r="1063" spans="1:9" s="4" customFormat="1" ht="18.75" customHeight="1" x14ac:dyDescent="0.3">
      <c r="A1063" s="1"/>
      <c r="B1063" s="3"/>
      <c r="C1063" s="3"/>
      <c r="D1063" s="3"/>
      <c r="E1063" s="1"/>
      <c r="F1063" s="1"/>
      <c r="G1063" s="1"/>
      <c r="H1063" s="1"/>
      <c r="I1063" s="1"/>
    </row>
    <row r="1064" spans="1:9" s="4" customFormat="1" ht="18.75" customHeight="1" x14ac:dyDescent="0.3">
      <c r="A1064" s="1"/>
      <c r="B1064" s="3"/>
      <c r="C1064" s="3"/>
      <c r="D1064" s="3"/>
      <c r="E1064" s="1"/>
      <c r="F1064" s="1"/>
      <c r="G1064" s="1"/>
      <c r="H1064" s="1"/>
      <c r="I1064" s="1"/>
    </row>
    <row r="1065" spans="1:9" s="4" customFormat="1" ht="18.75" customHeight="1" x14ac:dyDescent="0.3">
      <c r="A1065" s="1"/>
      <c r="B1065" s="3"/>
      <c r="C1065" s="3"/>
      <c r="D1065" s="3"/>
      <c r="E1065" s="1"/>
      <c r="F1065" s="1"/>
      <c r="G1065" s="1"/>
      <c r="H1065" s="1"/>
      <c r="I1065" s="1"/>
    </row>
    <row r="1066" spans="1:9" s="4" customFormat="1" ht="18.75" customHeight="1" x14ac:dyDescent="0.3">
      <c r="A1066" s="1"/>
      <c r="B1066" s="3"/>
      <c r="C1066" s="3"/>
      <c r="D1066" s="3"/>
      <c r="E1066" s="1"/>
      <c r="F1066" s="1"/>
      <c r="G1066" s="1"/>
      <c r="H1066" s="1"/>
      <c r="I1066" s="1"/>
    </row>
    <row r="1067" spans="1:9" s="4" customFormat="1" ht="18.75" customHeight="1" x14ac:dyDescent="0.3">
      <c r="A1067" s="1"/>
      <c r="B1067" s="3"/>
      <c r="C1067" s="3"/>
      <c r="D1067" s="3"/>
      <c r="E1067" s="1"/>
      <c r="F1067" s="1"/>
      <c r="G1067" s="1"/>
      <c r="H1067" s="1"/>
      <c r="I1067" s="1"/>
    </row>
    <row r="1068" spans="1:9" s="4" customFormat="1" ht="18.75" customHeight="1" x14ac:dyDescent="0.3">
      <c r="A1068" s="1"/>
      <c r="B1068" s="3"/>
      <c r="C1068" s="3"/>
      <c r="D1068" s="3"/>
      <c r="E1068" s="1"/>
      <c r="F1068" s="1"/>
      <c r="G1068" s="1"/>
      <c r="H1068" s="1"/>
      <c r="I1068" s="1"/>
    </row>
    <row r="1069" spans="1:9" s="4" customFormat="1" ht="18.75" customHeight="1" x14ac:dyDescent="0.3">
      <c r="A1069" s="1"/>
      <c r="B1069" s="3"/>
      <c r="C1069" s="3"/>
      <c r="D1069" s="3"/>
      <c r="E1069" s="1"/>
      <c r="F1069" s="1"/>
      <c r="G1069" s="1"/>
      <c r="H1069" s="1"/>
      <c r="I1069" s="1"/>
    </row>
    <row r="1070" spans="1:9" s="4" customFormat="1" ht="18.75" customHeight="1" x14ac:dyDescent="0.3">
      <c r="A1070" s="1"/>
      <c r="B1070" s="3"/>
      <c r="C1070" s="3"/>
      <c r="D1070" s="3"/>
      <c r="E1070" s="1"/>
      <c r="F1070" s="1"/>
      <c r="G1070" s="1"/>
      <c r="H1070" s="1"/>
      <c r="I1070" s="1"/>
    </row>
    <row r="1071" spans="1:9" s="4" customFormat="1" ht="18.75" customHeight="1" x14ac:dyDescent="0.3">
      <c r="A1071" s="1"/>
      <c r="B1071" s="3"/>
      <c r="C1071" s="3"/>
      <c r="D1071" s="3"/>
      <c r="E1071" s="1"/>
      <c r="F1071" s="1"/>
      <c r="G1071" s="1"/>
      <c r="H1071" s="1"/>
      <c r="I1071" s="1"/>
    </row>
    <row r="1072" spans="1:9" s="4" customFormat="1" ht="18.75" customHeight="1" x14ac:dyDescent="0.3">
      <c r="A1072" s="1"/>
      <c r="B1072" s="3"/>
      <c r="C1072" s="3"/>
      <c r="D1072" s="3"/>
      <c r="E1072" s="1"/>
      <c r="F1072" s="1"/>
      <c r="G1072" s="1"/>
      <c r="H1072" s="1"/>
      <c r="I1072" s="1"/>
    </row>
    <row r="1073" spans="1:9" s="4" customFormat="1" ht="18.75" customHeight="1" x14ac:dyDescent="0.3">
      <c r="A1073" s="1"/>
      <c r="B1073" s="3"/>
      <c r="C1073" s="3"/>
      <c r="D1073" s="3"/>
      <c r="E1073" s="1"/>
      <c r="F1073" s="1"/>
      <c r="G1073" s="1"/>
      <c r="H1073" s="1"/>
      <c r="I1073" s="1"/>
    </row>
    <row r="1074" spans="1:9" s="4" customFormat="1" ht="18.75" customHeight="1" x14ac:dyDescent="0.3">
      <c r="A1074" s="1"/>
      <c r="B1074" s="3"/>
      <c r="C1074" s="3"/>
      <c r="D1074" s="3"/>
      <c r="E1074" s="1"/>
      <c r="F1074" s="1"/>
      <c r="G1074" s="1"/>
      <c r="H1074" s="1"/>
      <c r="I1074" s="1"/>
    </row>
    <row r="1075" spans="1:9" s="4" customFormat="1" ht="18.75" customHeight="1" x14ac:dyDescent="0.3">
      <c r="A1075" s="1"/>
      <c r="B1075" s="3"/>
      <c r="C1075" s="3"/>
      <c r="D1075" s="3"/>
      <c r="E1075" s="1"/>
      <c r="F1075" s="1"/>
      <c r="G1075" s="1"/>
      <c r="H1075" s="1"/>
      <c r="I1075" s="1"/>
    </row>
    <row r="1076" spans="1:9" s="4" customFormat="1" ht="18.75" customHeight="1" x14ac:dyDescent="0.3">
      <c r="A1076" s="1"/>
      <c r="B1076" s="3"/>
      <c r="C1076" s="3"/>
      <c r="D1076" s="3"/>
      <c r="E1076" s="1"/>
      <c r="F1076" s="1"/>
      <c r="G1076" s="1"/>
      <c r="H1076" s="1"/>
      <c r="I1076" s="1"/>
    </row>
    <row r="1077" spans="1:9" s="4" customFormat="1" ht="18.75" customHeight="1" x14ac:dyDescent="0.3">
      <c r="A1077" s="1"/>
      <c r="B1077" s="3"/>
      <c r="C1077" s="3"/>
      <c r="D1077" s="3"/>
      <c r="E1077" s="1"/>
      <c r="F1077" s="1"/>
      <c r="G1077" s="1"/>
      <c r="H1077" s="1"/>
      <c r="I1077" s="1"/>
    </row>
    <row r="1078" spans="1:9" s="4" customFormat="1" ht="18.75" customHeight="1" x14ac:dyDescent="0.3">
      <c r="A1078" s="1"/>
      <c r="B1078" s="3"/>
      <c r="C1078" s="3"/>
      <c r="D1078" s="3"/>
      <c r="E1078" s="1"/>
      <c r="F1078" s="1"/>
      <c r="G1078" s="1"/>
      <c r="H1078" s="1"/>
      <c r="I1078" s="1"/>
    </row>
    <row r="1079" spans="1:9" s="4" customFormat="1" ht="18.75" customHeight="1" x14ac:dyDescent="0.3">
      <c r="A1079" s="1"/>
      <c r="B1079" s="3"/>
      <c r="C1079" s="3"/>
      <c r="D1079" s="3"/>
      <c r="E1079" s="1"/>
      <c r="F1079" s="1"/>
      <c r="G1079" s="1"/>
      <c r="H1079" s="1"/>
      <c r="I1079" s="1"/>
    </row>
    <row r="1080" spans="1:9" s="4" customFormat="1" ht="18.75" customHeight="1" x14ac:dyDescent="0.3">
      <c r="A1080" s="1"/>
      <c r="B1080" s="3"/>
      <c r="C1080" s="3"/>
      <c r="D1080" s="3"/>
      <c r="E1080" s="1"/>
      <c r="F1080" s="1"/>
      <c r="G1080" s="1"/>
      <c r="H1080" s="1"/>
      <c r="I1080" s="1"/>
    </row>
    <row r="1081" spans="1:9" s="4" customFormat="1" ht="18.75" customHeight="1" x14ac:dyDescent="0.3">
      <c r="A1081" s="1"/>
      <c r="B1081" s="3"/>
      <c r="C1081" s="3"/>
      <c r="D1081" s="3"/>
      <c r="E1081" s="1"/>
      <c r="F1081" s="1"/>
      <c r="G1081" s="1"/>
      <c r="H1081" s="1"/>
      <c r="I1081" s="1"/>
    </row>
    <row r="1082" spans="1:9" s="4" customFormat="1" ht="18.75" customHeight="1" x14ac:dyDescent="0.3">
      <c r="A1082" s="1"/>
      <c r="B1082" s="3"/>
      <c r="C1082" s="3"/>
      <c r="D1082" s="3"/>
      <c r="E1082" s="1"/>
      <c r="F1082" s="1"/>
      <c r="G1082" s="1"/>
      <c r="H1082" s="1"/>
      <c r="I1082" s="1"/>
    </row>
    <row r="1083" spans="1:9" s="4" customFormat="1" ht="18.75" customHeight="1" x14ac:dyDescent="0.3">
      <c r="A1083" s="1"/>
      <c r="B1083" s="3"/>
      <c r="C1083" s="3"/>
      <c r="D1083" s="3"/>
      <c r="E1083" s="1"/>
      <c r="F1083" s="1"/>
      <c r="G1083" s="1"/>
      <c r="H1083" s="1"/>
      <c r="I1083" s="1"/>
    </row>
  </sheetData>
  <dataValidations count="2">
    <dataValidation type="list" errorStyle="warning" allowBlank="1" showInputMessage="1" showErrorMessage="1" errorTitle="Handlungsbedarf" error="Bitte geben Sie eine gültige Antwort ein:_x000a_ja, nein, prüfen" sqref="G596:G619 G18:G68 G545:G568 G969:G994 G651:G674 G570:G593 G450:G475 G175:G196 G105:G125 G726:G749 G70:G103 G127:G147 G4:G16 G219:G244 G298:G319 G321:G340 G342:G364 G366:G383 G385:G408 G410:G428 G150:G173 G246:G272 G198 G520:G543 G498:G518 G430:G448 G477:G496 G622:G649 G676:G699 G701:G724 G769:G795 G829:G857 G888:G913 G200:G217 G274:G296 G915:G945 G947:G967 G751:G766 G797:G827 G859:G886 G997:G1030" xr:uid="{C54104BE-D263-4C84-B035-D7630D943A04}">
      <formula1>Handlungsbedarf</formula1>
    </dataValidation>
    <dataValidation allowBlank="1" showInputMessage="1" showErrorMessage="1" promptTitle="offen" prompt="Handlungsbedarf" sqref="G1" xr:uid="{4090E05E-8CA7-46DD-AA6C-7C47E7B32210}"/>
  </dataValidations>
  <printOptions horizontalCentered="1"/>
  <pageMargins left="0.39370078740157483" right="0.39370078740157483" top="0.39370078740157483" bottom="0.47244094488188981" header="0.31496062992125984" footer="0.19685039370078741"/>
  <pageSetup paperSize="9" scale="80" orientation="portrait" r:id="rId1"/>
  <headerFooter>
    <oddFooter>&amp;L&amp;G&amp;C&amp;"Arial,Standard"&amp;9&amp;A&amp;R&amp;"Arial,Standard"&amp;9Seite &amp;P /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749A-4D59-40FB-B421-350E6C113A9B}">
  <sheetPr>
    <pageSetUpPr fitToPage="1"/>
  </sheetPr>
  <dimension ref="A1:J173"/>
  <sheetViews>
    <sheetView showGridLines="0" zoomScaleNormal="100" zoomScaleSheetLayoutView="80" workbookViewId="0">
      <selection activeCell="E5" sqref="E5"/>
    </sheetView>
  </sheetViews>
  <sheetFormatPr baseColWidth="10" defaultColWidth="11.44140625" defaultRowHeight="18.75" customHeight="1" x14ac:dyDescent="0.3"/>
  <cols>
    <col min="1" max="1" width="2.109375" style="1" customWidth="1"/>
    <col min="2" max="3" width="3.5546875" style="3" customWidth="1"/>
    <col min="4" max="4" width="33.33203125" style="1" customWidth="1"/>
    <col min="5" max="5" width="65.5546875" style="1" customWidth="1"/>
    <col min="6" max="6" width="1.109375" style="1" customWidth="1"/>
    <col min="7" max="7" width="8.88671875" style="1" customWidth="1"/>
    <col min="8" max="8" width="2.109375" style="1" customWidth="1"/>
    <col min="9" max="9" width="3.33203125" style="1" customWidth="1"/>
    <col min="10" max="10" width="63.33203125" style="1" customWidth="1"/>
    <col min="11" max="16384" width="11.44140625" style="1"/>
  </cols>
  <sheetData>
    <row r="1" spans="1:9" ht="25.95" customHeight="1" x14ac:dyDescent="0.4">
      <c r="A1" s="2"/>
      <c r="B1" s="103" t="s">
        <v>2516</v>
      </c>
      <c r="F1" s="100" t="s">
        <v>1149</v>
      </c>
      <c r="G1" s="129" t="s">
        <v>1556</v>
      </c>
      <c r="H1" s="2"/>
      <c r="I1" s="87"/>
    </row>
    <row r="2" spans="1:9" ht="24" customHeight="1" x14ac:dyDescent="0.3">
      <c r="A2" s="2"/>
      <c r="B2" s="125" t="str">
        <f>CONCATENATE(Daten!G2," · ",Daten!H2)</f>
        <v>OTH Oberflächentechnik Hagen GmbH &amp; Co. KG · Selbecker Str. 145-149, 58091 Hagen</v>
      </c>
      <c r="C2" s="79"/>
      <c r="D2" s="80"/>
      <c r="E2" s="81"/>
      <c r="F2" s="101" t="s">
        <v>1144</v>
      </c>
      <c r="G2" s="99">
        <f ca="1">TODAY()</f>
        <v>45905</v>
      </c>
      <c r="H2" s="2"/>
    </row>
    <row r="3" spans="1:9" ht="9" customHeight="1" x14ac:dyDescent="0.3">
      <c r="A3" s="2"/>
      <c r="D3" s="75"/>
      <c r="H3" s="2"/>
    </row>
    <row r="4" spans="1:9" ht="12" customHeight="1" x14ac:dyDescent="0.3">
      <c r="A4" s="2"/>
      <c r="H4" s="2"/>
    </row>
    <row r="5" spans="1:9" ht="18" customHeight="1" x14ac:dyDescent="0.3">
      <c r="A5" s="2"/>
      <c r="D5" s="74" t="s">
        <v>1112</v>
      </c>
      <c r="E5" s="130" t="s">
        <v>1150</v>
      </c>
      <c r="H5" s="2"/>
      <c r="I5" s="87"/>
    </row>
    <row r="6" spans="1:9" ht="18" customHeight="1" x14ac:dyDescent="0.3">
      <c r="A6" s="2"/>
      <c r="D6" s="74" t="s">
        <v>1</v>
      </c>
      <c r="E6" s="73" t="str">
        <f>CONCATENATE(Daten!G5," (",Daten!H5,")")</f>
        <v>Herr Udo Gensowski (Geschäftsführer)</v>
      </c>
      <c r="H6" s="2"/>
    </row>
    <row r="7" spans="1:9" ht="9" customHeight="1" x14ac:dyDescent="0.3">
      <c r="A7" s="2"/>
      <c r="D7" s="75"/>
      <c r="H7" s="2"/>
    </row>
    <row r="8" spans="1:9" ht="18" customHeight="1" x14ac:dyDescent="0.3">
      <c r="A8" s="2"/>
      <c r="B8" s="60" t="s">
        <v>1148</v>
      </c>
      <c r="C8" s="58"/>
      <c r="D8" s="76"/>
      <c r="E8" s="59"/>
      <c r="F8" s="2"/>
      <c r="G8" s="2"/>
      <c r="H8" s="2"/>
    </row>
    <row r="9" spans="1:9" ht="9" customHeight="1" x14ac:dyDescent="0.3">
      <c r="A9" s="2"/>
      <c r="D9" s="75"/>
      <c r="H9" s="2"/>
    </row>
    <row r="10" spans="1:9" ht="30" customHeight="1" x14ac:dyDescent="0.3">
      <c r="A10" s="2"/>
      <c r="B10" s="54"/>
      <c r="D10" s="77" t="s">
        <v>1107</v>
      </c>
      <c r="E10" s="61" t="e">
        <f>VLOOKUP($G$1,'Übersicht GBU'!A:AB,4,FALSE)</f>
        <v>#N/A</v>
      </c>
      <c r="H10" s="2"/>
    </row>
    <row r="11" spans="1:9" ht="18" customHeight="1" x14ac:dyDescent="0.3">
      <c r="A11" s="2"/>
      <c r="D11" s="85" t="s">
        <v>1108</v>
      </c>
      <c r="E11" s="83" t="e">
        <f>VLOOKUP($G$1,'Übersicht GBU'!A:AB,5,FALSE)</f>
        <v>#N/A</v>
      </c>
      <c r="H11" s="2"/>
    </row>
    <row r="12" spans="1:9" ht="18" customHeight="1" x14ac:dyDescent="0.3">
      <c r="A12" s="2"/>
      <c r="D12" s="86" t="s">
        <v>1106</v>
      </c>
      <c r="E12" s="84" t="e">
        <f>VLOOKUP($G$1,'Übersicht GBU'!A:AB,6,FALSE)</f>
        <v>#N/A</v>
      </c>
      <c r="H12" s="2"/>
    </row>
    <row r="13" spans="1:9" ht="18" customHeight="1" x14ac:dyDescent="0.3">
      <c r="A13" s="2"/>
      <c r="D13" s="85" t="s">
        <v>1111</v>
      </c>
      <c r="E13" s="83" t="e">
        <f>CONCATENATE(VLOOKUP($G$1,'Übersicht GBU'!A:AB,7,FALSE),", ",VLOOKUP($G$1,'Übersicht GBU'!A:AB,8,FALSE)," (",VLOOKUP($G$1,'Übersicht GBU'!A:AB,9,FALSE),")")</f>
        <v>#N/A</v>
      </c>
      <c r="H13" s="2"/>
    </row>
    <row r="14" spans="1:9" ht="30" customHeight="1" x14ac:dyDescent="0.3">
      <c r="A14" s="2"/>
      <c r="D14" s="77" t="s">
        <v>1109</v>
      </c>
      <c r="E14" s="72" t="e">
        <f>VLOOKUP($G$1,'Übersicht GBU'!A:AB,10,FALSE)</f>
        <v>#N/A</v>
      </c>
      <c r="H14" s="2"/>
    </row>
    <row r="15" spans="1:9" ht="9" customHeight="1" x14ac:dyDescent="0.3">
      <c r="A15" s="2"/>
      <c r="D15" s="75"/>
      <c r="H15" s="2"/>
    </row>
    <row r="16" spans="1:9" ht="209.4" customHeight="1" x14ac:dyDescent="0.3">
      <c r="A16" s="2"/>
      <c r="D16" s="78" t="s">
        <v>1187</v>
      </c>
      <c r="E16" s="131" t="s">
        <v>1291</v>
      </c>
      <c r="G16" s="123" t="s">
        <v>1555</v>
      </c>
      <c r="H16" s="2"/>
      <c r="I16" s="87"/>
    </row>
    <row r="17" spans="1:10" ht="9" customHeight="1" x14ac:dyDescent="0.3">
      <c r="A17" s="2"/>
      <c r="D17" s="75"/>
      <c r="H17" s="2"/>
    </row>
    <row r="18" spans="1:10" ht="18" customHeight="1" x14ac:dyDescent="0.3">
      <c r="A18" s="2"/>
      <c r="B18" s="60" t="s">
        <v>1254</v>
      </c>
      <c r="C18" s="58"/>
      <c r="D18" s="76"/>
      <c r="E18" s="59"/>
      <c r="F18" s="2"/>
      <c r="G18" s="2"/>
      <c r="H18" s="2"/>
    </row>
    <row r="19" spans="1:10" ht="9" customHeight="1" x14ac:dyDescent="0.3">
      <c r="A19" s="2"/>
      <c r="D19" s="75"/>
      <c r="H19" s="2"/>
    </row>
    <row r="20" spans="1:10" ht="18" customHeight="1" x14ac:dyDescent="0.3">
      <c r="A20" s="2"/>
      <c r="D20" s="85" t="s">
        <v>1114</v>
      </c>
      <c r="E20" s="83" t="e">
        <f>VLOOKUP($G$1,'Übersicht GBU'!A:AB,11,FALSE)</f>
        <v>#N/A</v>
      </c>
      <c r="H20" s="2"/>
    </row>
    <row r="21" spans="1:10" ht="30" customHeight="1" x14ac:dyDescent="0.3">
      <c r="A21" s="2"/>
      <c r="D21" s="77" t="s">
        <v>1181</v>
      </c>
      <c r="E21" s="72" t="e">
        <f>CONCATENATE(VLOOKUP($G$1,'Übersicht GBU'!A:AB,12,FALSE)," / ",(VLOOKUP($G$1,'Übersicht GBU'!A:AB,13,FALSE))," / ",(VLOOKUP($G$1,'Übersicht GBU'!A:AB,14,FALSE))," / ",(VLOOKUP($G$1,'Übersicht GBU'!A:AB,15,FALSE)))</f>
        <v>#N/A</v>
      </c>
      <c r="H21" s="2"/>
    </row>
    <row r="22" spans="1:10" ht="30" customHeight="1" x14ac:dyDescent="0.3">
      <c r="A22" s="2"/>
      <c r="D22" s="77" t="s">
        <v>1182</v>
      </c>
      <c r="E22" s="72" t="e">
        <f>CONCATENATE(VLOOKUP($G$1,'Übersicht GBU'!A:AB,16,FALSE)," / ",(VLOOKUP($G$1,'Übersicht GBU'!A:AB,17,FALSE))," / ",(VLOOKUP($G$1,'Übersicht GBU'!A:AB,18,FALSE))," / ",(VLOOKUP($G$1,'Übersicht GBU'!A:AB,19,FALSE))," / ",(VLOOKUP($G$1,'Übersicht GBU'!A:AB,20,FALSE)))</f>
        <v>#N/A</v>
      </c>
      <c r="H22" s="2"/>
    </row>
    <row r="23" spans="1:10" ht="30" customHeight="1" x14ac:dyDescent="0.3">
      <c r="A23" s="2"/>
      <c r="D23" s="85" t="s">
        <v>1116</v>
      </c>
      <c r="E23" s="128" t="e">
        <f>VLOOKUP($G$1,'Übersicht GBU'!A:AB,23,FALSE)</f>
        <v>#N/A</v>
      </c>
      <c r="H23" s="2"/>
    </row>
    <row r="24" spans="1:10" ht="18" customHeight="1" x14ac:dyDescent="0.3">
      <c r="A24" s="2"/>
      <c r="D24" s="85" t="s">
        <v>1110</v>
      </c>
      <c r="E24" s="83" t="e">
        <f>VLOOKUP(G24,Daten!J2:K6,2,FALSE)</f>
        <v>#N/A</v>
      </c>
      <c r="G24" s="98" t="e">
        <f>VLOOKUP($G$1,'Übersicht GBU'!A:AB,22,FALSE)</f>
        <v>#N/A</v>
      </c>
      <c r="H24" s="2"/>
    </row>
    <row r="25" spans="1:10" ht="18" customHeight="1" x14ac:dyDescent="0.3">
      <c r="A25" s="2"/>
      <c r="D25" s="85"/>
      <c r="E25" s="132"/>
      <c r="H25" s="2"/>
      <c r="I25" s="87"/>
      <c r="J25" s="116" t="s">
        <v>2531</v>
      </c>
    </row>
    <row r="26" spans="1:10" ht="30" customHeight="1" x14ac:dyDescent="0.3">
      <c r="A26" s="2"/>
      <c r="D26" s="77" t="s">
        <v>1233</v>
      </c>
      <c r="E26" s="72" t="e">
        <f>VLOOKUP($G$1,'Übersicht GBU'!A:AB,21,FALSE)</f>
        <v>#N/A</v>
      </c>
      <c r="H26" s="2"/>
    </row>
    <row r="27" spans="1:10" ht="30" customHeight="1" x14ac:dyDescent="0.3">
      <c r="A27" s="2"/>
      <c r="D27" s="77" t="s">
        <v>1235</v>
      </c>
      <c r="E27" s="102" t="e">
        <f>CONCATENATE(VLOOKUP($G$1,'Übersicht GBU'!A:AR,30,FALSE)," (",(VLOOKUP($G$1,'Übersicht GBU'!A:AR,31,FALSE)),"%), ",(VLOOKUP($G$1,'Übersicht GBU'!A:AR,32,FALSE))," / ",(VLOOKUP($G$1,'Übersicht GBU'!A:AR,33,FALSE))," - ",(VLOOKUP($G$1,'Übersicht GBU'!A:AR,34,FALSE)))</f>
        <v>#N/A</v>
      </c>
      <c r="H27" s="2"/>
    </row>
    <row r="28" spans="1:10" ht="30" customHeight="1" x14ac:dyDescent="0.3">
      <c r="A28" s="2"/>
      <c r="D28" s="77"/>
      <c r="E28" s="72" t="e">
        <f>CONCATENATE(VLOOKUP($G$1,'Übersicht GBU'!A:AR,35,FALSE)," (",(VLOOKUP($G$1,'Übersicht GBU'!A:AR,36,FALSE)),"%), ",(VLOOKUP($G$1,'Übersicht GBU'!A:AR,37,FALSE))," / ",(VLOOKUP($G$1,'Übersicht GBU'!A:AR,38,FALSE))," - ",(VLOOKUP($G$1,'Übersicht GBU'!A:AR,39,FALSE)))</f>
        <v>#N/A</v>
      </c>
      <c r="H28" s="2"/>
    </row>
    <row r="29" spans="1:10" ht="9" customHeight="1" x14ac:dyDescent="0.3">
      <c r="A29" s="2"/>
      <c r="H29" s="2"/>
    </row>
    <row r="30" spans="1:10" ht="18" customHeight="1" x14ac:dyDescent="0.3">
      <c r="A30" s="2"/>
      <c r="B30" s="60" t="s">
        <v>1256</v>
      </c>
      <c r="C30" s="58"/>
      <c r="D30" s="59"/>
      <c r="E30" s="59"/>
      <c r="F30" s="2"/>
      <c r="G30" s="2"/>
      <c r="H30" s="2"/>
    </row>
    <row r="31" spans="1:10" ht="9" customHeight="1" x14ac:dyDescent="0.3">
      <c r="A31" s="2"/>
      <c r="H31" s="2"/>
    </row>
    <row r="32" spans="1:10" ht="180" customHeight="1" x14ac:dyDescent="0.3">
      <c r="A32" s="2"/>
      <c r="D32" s="78" t="s">
        <v>1203</v>
      </c>
      <c r="E32" s="133" t="s">
        <v>1292</v>
      </c>
      <c r="H32" s="2"/>
      <c r="I32" s="87"/>
    </row>
    <row r="33" spans="1:10" ht="9" customHeight="1" x14ac:dyDescent="0.3">
      <c r="A33" s="2"/>
      <c r="H33" s="2"/>
    </row>
    <row r="34" spans="1:10" ht="18" customHeight="1" x14ac:dyDescent="0.3">
      <c r="A34" s="2"/>
      <c r="B34" s="60" t="s">
        <v>1255</v>
      </c>
      <c r="C34" s="58"/>
      <c r="D34" s="59"/>
      <c r="E34" s="59"/>
      <c r="F34" s="2"/>
      <c r="G34" s="109" t="s">
        <v>2538</v>
      </c>
      <c r="H34" s="2"/>
    </row>
    <row r="35" spans="1:10" ht="9" customHeight="1" x14ac:dyDescent="0.3">
      <c r="A35" s="2"/>
      <c r="H35" s="2"/>
    </row>
    <row r="36" spans="1:10" ht="18" customHeight="1" x14ac:dyDescent="0.3">
      <c r="A36" s="2"/>
      <c r="D36" s="93" t="s">
        <v>1212</v>
      </c>
      <c r="E36" s="134"/>
      <c r="G36" s="91" t="s">
        <v>1156</v>
      </c>
      <c r="H36" s="2"/>
      <c r="I36" s="87"/>
      <c r="J36" s="115"/>
    </row>
    <row r="37" spans="1:10" ht="18" customHeight="1" x14ac:dyDescent="0.3">
      <c r="A37" s="2"/>
      <c r="D37" s="85" t="s">
        <v>1211</v>
      </c>
      <c r="E37" s="135"/>
      <c r="G37" s="91" t="s">
        <v>1156</v>
      </c>
      <c r="H37" s="2"/>
      <c r="I37" s="87"/>
      <c r="J37" s="116" t="s">
        <v>1213</v>
      </c>
    </row>
    <row r="38" spans="1:10" ht="18" customHeight="1" x14ac:dyDescent="0.3">
      <c r="A38" s="2"/>
      <c r="D38" s="85" t="s">
        <v>1210</v>
      </c>
      <c r="E38" s="135"/>
      <c r="G38" s="91" t="s">
        <v>1156</v>
      </c>
      <c r="H38" s="2"/>
      <c r="I38" s="87"/>
      <c r="J38" s="117" t="s">
        <v>1214</v>
      </c>
    </row>
    <row r="39" spans="1:10" ht="18" customHeight="1" x14ac:dyDescent="0.3">
      <c r="A39" s="2"/>
      <c r="D39" s="85" t="s">
        <v>1215</v>
      </c>
      <c r="E39" s="135"/>
      <c r="G39" s="91" t="s">
        <v>1156</v>
      </c>
      <c r="H39" s="2"/>
      <c r="I39" s="87"/>
      <c r="J39" s="117" t="s">
        <v>2525</v>
      </c>
    </row>
    <row r="40" spans="1:10" ht="18" customHeight="1" x14ac:dyDescent="0.3">
      <c r="A40" s="2"/>
      <c r="D40" s="85" t="s">
        <v>1216</v>
      </c>
      <c r="E40" s="135"/>
      <c r="G40" s="91" t="s">
        <v>1156</v>
      </c>
      <c r="H40" s="2"/>
      <c r="I40" s="87"/>
      <c r="J40" s="118" t="s">
        <v>1220</v>
      </c>
    </row>
    <row r="41" spans="1:10" ht="18" customHeight="1" x14ac:dyDescent="0.3">
      <c r="A41" s="2"/>
      <c r="D41" s="85" t="s">
        <v>1287</v>
      </c>
      <c r="E41" s="135"/>
      <c r="G41" s="91" t="s">
        <v>1156</v>
      </c>
      <c r="H41" s="2"/>
      <c r="I41" s="87"/>
      <c r="J41" s="118" t="s">
        <v>1217</v>
      </c>
    </row>
    <row r="42" spans="1:10" ht="18" customHeight="1" x14ac:dyDescent="0.3">
      <c r="A42" s="2"/>
      <c r="D42" s="85" t="s">
        <v>1288</v>
      </c>
      <c r="E42" s="135"/>
      <c r="G42" s="91" t="s">
        <v>1156</v>
      </c>
      <c r="H42" s="2"/>
      <c r="I42" s="87"/>
      <c r="J42" s="118" t="s">
        <v>1219</v>
      </c>
    </row>
    <row r="43" spans="1:10" ht="18" customHeight="1" x14ac:dyDescent="0.3">
      <c r="A43" s="2"/>
      <c r="D43" s="85" t="s">
        <v>1218</v>
      </c>
      <c r="E43" s="135"/>
      <c r="G43" s="91" t="s">
        <v>1156</v>
      </c>
      <c r="H43" s="2"/>
      <c r="I43" s="87"/>
    </row>
    <row r="44" spans="1:10" ht="18" customHeight="1" x14ac:dyDescent="0.3">
      <c r="A44" s="2"/>
      <c r="D44" s="85" t="s">
        <v>1208</v>
      </c>
      <c r="E44" s="134" t="e">
        <f>CONCATENATE(VLOOKUP($G$1,'Übersicht GBU'!A:AB,26,FALSE)," (",VLOOKUP($G$1,'Übersicht GBU'!A:AB,27,FALSE),")")</f>
        <v>#N/A</v>
      </c>
      <c r="G44" s="91" t="s">
        <v>1156</v>
      </c>
      <c r="H44" s="2"/>
    </row>
    <row r="45" spans="1:10" ht="18" customHeight="1" x14ac:dyDescent="0.3">
      <c r="A45" s="2"/>
      <c r="D45" s="85"/>
      <c r="E45" s="134" t="s">
        <v>1206</v>
      </c>
      <c r="G45" s="91" t="s">
        <v>1156</v>
      </c>
      <c r="H45" s="2"/>
      <c r="J45" s="115" t="s">
        <v>1206</v>
      </c>
    </row>
    <row r="46" spans="1:10" ht="18" customHeight="1" x14ac:dyDescent="0.3">
      <c r="A46" s="2"/>
      <c r="D46" s="85" t="s">
        <v>1271</v>
      </c>
      <c r="E46" s="134" t="s">
        <v>1272</v>
      </c>
      <c r="G46" s="91" t="s">
        <v>1156</v>
      </c>
      <c r="H46" s="2"/>
      <c r="J46" s="115" t="s">
        <v>1272</v>
      </c>
    </row>
    <row r="47" spans="1:10" ht="18" customHeight="1" x14ac:dyDescent="0.3">
      <c r="A47" s="2"/>
      <c r="D47" s="85"/>
      <c r="E47" s="134"/>
      <c r="G47" s="91" t="s">
        <v>1156</v>
      </c>
      <c r="H47" s="2"/>
      <c r="J47" s="115" t="s">
        <v>2527</v>
      </c>
    </row>
    <row r="48" spans="1:10" ht="15" customHeight="1" x14ac:dyDescent="0.3">
      <c r="A48" s="2"/>
      <c r="E48" s="119"/>
      <c r="H48" s="2"/>
    </row>
    <row r="49" spans="1:10" ht="18" customHeight="1" x14ac:dyDescent="0.3">
      <c r="A49" s="2"/>
      <c r="D49" s="93" t="s">
        <v>1221</v>
      </c>
      <c r="E49" s="134"/>
      <c r="G49" s="91" t="s">
        <v>1156</v>
      </c>
      <c r="H49" s="2"/>
      <c r="I49" s="87"/>
      <c r="J49" s="115"/>
    </row>
    <row r="50" spans="1:10" ht="18" customHeight="1" x14ac:dyDescent="0.3">
      <c r="A50" s="2"/>
      <c r="D50" s="85" t="s">
        <v>1222</v>
      </c>
      <c r="E50" s="135"/>
      <c r="G50" s="91" t="s">
        <v>1156</v>
      </c>
      <c r="H50" s="2"/>
      <c r="I50" s="87"/>
      <c r="J50" s="115"/>
    </row>
    <row r="51" spans="1:10" ht="18" customHeight="1" x14ac:dyDescent="0.3">
      <c r="A51" s="2"/>
      <c r="D51" s="85" t="s">
        <v>1223</v>
      </c>
      <c r="E51" s="135"/>
      <c r="G51" s="91" t="s">
        <v>1156</v>
      </c>
      <c r="H51" s="2"/>
      <c r="I51" s="87"/>
      <c r="J51" s="115"/>
    </row>
    <row r="52" spans="1:10" ht="18" customHeight="1" x14ac:dyDescent="0.3">
      <c r="A52" s="2"/>
      <c r="D52" s="85" t="s">
        <v>1209</v>
      </c>
      <c r="E52" s="115" t="e">
        <f>CONCATENATE(VLOOKUP($G$1,'Übersicht GBU'!A:AB,24,FALSE)," (",VLOOKUP($G$1,'Übersicht GBU'!A:AB,25,FALSE),")")</f>
        <v>#N/A</v>
      </c>
      <c r="G52" s="91" t="s">
        <v>1156</v>
      </c>
      <c r="H52" s="2"/>
    </row>
    <row r="53" spans="1:10" ht="18" customHeight="1" x14ac:dyDescent="0.3">
      <c r="A53" s="2"/>
      <c r="D53" s="85"/>
      <c r="E53" s="134"/>
      <c r="G53" s="91" t="s">
        <v>1156</v>
      </c>
      <c r="H53" s="2"/>
      <c r="I53" s="87"/>
      <c r="J53" s="115"/>
    </row>
    <row r="54" spans="1:10" ht="18" customHeight="1" x14ac:dyDescent="0.3">
      <c r="A54" s="2"/>
      <c r="D54" s="85" t="s">
        <v>1273</v>
      </c>
      <c r="E54" s="115"/>
      <c r="G54" s="91" t="s">
        <v>1156</v>
      </c>
      <c r="H54" s="2"/>
      <c r="I54" s="87"/>
      <c r="J54" s="115"/>
    </row>
    <row r="55" spans="1:10" ht="18" customHeight="1" x14ac:dyDescent="0.3">
      <c r="A55" s="2"/>
      <c r="D55" s="85" t="s">
        <v>1283</v>
      </c>
      <c r="E55" s="115"/>
      <c r="G55" s="91" t="s">
        <v>1156</v>
      </c>
      <c r="H55" s="2"/>
      <c r="I55" s="87"/>
      <c r="J55" s="115"/>
    </row>
    <row r="56" spans="1:10" ht="18" customHeight="1" x14ac:dyDescent="0.3">
      <c r="A56" s="2"/>
      <c r="D56" s="85"/>
      <c r="E56" s="115"/>
      <c r="G56" s="91" t="s">
        <v>1156</v>
      </c>
      <c r="H56" s="2"/>
      <c r="I56" s="87"/>
      <c r="J56" s="115"/>
    </row>
    <row r="57" spans="1:10" ht="15" customHeight="1" x14ac:dyDescent="0.3">
      <c r="A57" s="2"/>
      <c r="E57" s="119"/>
      <c r="H57" s="2"/>
    </row>
    <row r="58" spans="1:10" ht="18" customHeight="1" x14ac:dyDescent="0.3">
      <c r="A58" s="2"/>
      <c r="D58" s="93" t="s">
        <v>1284</v>
      </c>
      <c r="E58" s="134"/>
      <c r="G58" s="91" t="s">
        <v>1156</v>
      </c>
      <c r="H58" s="2"/>
      <c r="I58" s="87"/>
      <c r="J58" s="115" t="s">
        <v>1274</v>
      </c>
    </row>
    <row r="59" spans="1:10" ht="18" customHeight="1" x14ac:dyDescent="0.3">
      <c r="A59" s="2"/>
      <c r="D59" s="85" t="s">
        <v>1497</v>
      </c>
      <c r="E59" s="135" t="e">
        <f>IF(VLOOKUP($G$1,'Übersicht GBU'!A:DJ,45,FALSE)="k. A.","keine Angabe",CONCATENATE(VLOOKUP($G$1,'Übersicht GBU'!A:DJ,45,FALSE),"°C"))</f>
        <v>#N/A</v>
      </c>
      <c r="G59" s="91" t="s">
        <v>1156</v>
      </c>
      <c r="H59" s="2"/>
    </row>
    <row r="60" spans="1:10" ht="18" customHeight="1" x14ac:dyDescent="0.3">
      <c r="A60" s="2"/>
      <c r="D60" s="85" t="s">
        <v>1498</v>
      </c>
      <c r="E60" s="135" t="e">
        <f>IF(VLOOKUP($G$1,'Übersicht GBU'!A:DJ,46,FALSE)="k. A.","keine Angabe",CONCATENATE(VLOOKUP($G$1,'Übersicht GBU'!A:DJ,46,FALSE)," - ",VLOOKUP($G$1,'Übersicht GBU'!A:DJ,47,FALSE)," Vol.-%"))</f>
        <v>#N/A</v>
      </c>
      <c r="G60" s="91" t="s">
        <v>1156</v>
      </c>
      <c r="H60" s="2"/>
    </row>
    <row r="61" spans="1:10" ht="18" customHeight="1" x14ac:dyDescent="0.3">
      <c r="A61" s="2"/>
      <c r="D61" s="85" t="s">
        <v>1285</v>
      </c>
      <c r="E61" s="135"/>
      <c r="G61" s="91" t="s">
        <v>1156</v>
      </c>
      <c r="H61" s="2"/>
      <c r="I61" s="87"/>
      <c r="J61" s="92" t="s">
        <v>3</v>
      </c>
    </row>
    <row r="62" spans="1:10" ht="18" customHeight="1" x14ac:dyDescent="0.3">
      <c r="A62" s="2"/>
      <c r="D62" s="85" t="s">
        <v>1286</v>
      </c>
      <c r="E62" s="135"/>
      <c r="G62" s="91" t="s">
        <v>1156</v>
      </c>
      <c r="H62" s="2"/>
      <c r="I62" s="87"/>
      <c r="J62" s="92" t="s">
        <v>1278</v>
      </c>
    </row>
    <row r="63" spans="1:10" ht="18" customHeight="1" x14ac:dyDescent="0.3">
      <c r="A63" s="2"/>
      <c r="D63" s="85" t="s">
        <v>1276</v>
      </c>
      <c r="E63" s="135"/>
      <c r="G63" s="91" t="s">
        <v>1156</v>
      </c>
      <c r="H63" s="2"/>
      <c r="I63" s="87"/>
      <c r="J63" s="92" t="s">
        <v>3</v>
      </c>
    </row>
    <row r="64" spans="1:10" ht="18" customHeight="1" x14ac:dyDescent="0.3">
      <c r="A64" s="2"/>
      <c r="D64" s="85" t="s">
        <v>1289</v>
      </c>
      <c r="E64" s="135"/>
      <c r="G64" s="91" t="s">
        <v>1156</v>
      </c>
      <c r="H64" s="2"/>
      <c r="I64" s="87"/>
      <c r="J64" s="92" t="s">
        <v>1277</v>
      </c>
    </row>
    <row r="65" spans="1:10" ht="18" customHeight="1" x14ac:dyDescent="0.3">
      <c r="A65" s="2"/>
      <c r="D65" s="85" t="s">
        <v>1115</v>
      </c>
      <c r="E65" s="115" t="e">
        <f>CONCATENATE(VLOOKUP($G$1,'Übersicht GBU'!A:AC,28,FALSE)," (",VLOOKUP($G$1,'Übersicht GBU'!A:AC,29,FALSE),")")</f>
        <v>#N/A</v>
      </c>
      <c r="G65" s="91" t="s">
        <v>1156</v>
      </c>
      <c r="H65" s="2"/>
    </row>
    <row r="66" spans="1:10" ht="18" customHeight="1" x14ac:dyDescent="0.3">
      <c r="A66" s="2"/>
      <c r="D66" s="85"/>
      <c r="E66" s="134"/>
      <c r="G66" s="91" t="s">
        <v>1156</v>
      </c>
      <c r="H66" s="2"/>
      <c r="I66" s="87"/>
      <c r="J66" s="115" t="s">
        <v>1275</v>
      </c>
    </row>
    <row r="67" spans="1:10" ht="15" customHeight="1" x14ac:dyDescent="0.3">
      <c r="A67" s="2"/>
      <c r="H67" s="2"/>
    </row>
    <row r="68" spans="1:10" ht="18" customHeight="1" x14ac:dyDescent="0.3">
      <c r="A68" s="2"/>
      <c r="D68" s="93" t="s">
        <v>1282</v>
      </c>
      <c r="E68" s="134"/>
      <c r="G68" s="91" t="s">
        <v>1156</v>
      </c>
      <c r="H68" s="2"/>
      <c r="I68" s="87"/>
      <c r="J68" s="115" t="s">
        <v>1253</v>
      </c>
    </row>
    <row r="69" spans="1:10" ht="18" customHeight="1" x14ac:dyDescent="0.3">
      <c r="A69" s="2"/>
      <c r="D69" s="93" t="s">
        <v>1280</v>
      </c>
      <c r="E69" s="135"/>
      <c r="G69" s="91" t="s">
        <v>1156</v>
      </c>
      <c r="H69" s="2"/>
      <c r="I69" s="87"/>
      <c r="J69" s="115" t="s">
        <v>1253</v>
      </c>
    </row>
    <row r="70" spans="1:10" ht="18" customHeight="1" x14ac:dyDescent="0.3">
      <c r="A70" s="2"/>
      <c r="D70" s="93" t="s">
        <v>1279</v>
      </c>
      <c r="E70" s="135"/>
      <c r="G70" s="91" t="s">
        <v>1156</v>
      </c>
      <c r="H70" s="2"/>
      <c r="I70" s="87"/>
      <c r="J70" s="115"/>
    </row>
    <row r="71" spans="1:10" ht="18" customHeight="1" x14ac:dyDescent="0.3">
      <c r="A71" s="2"/>
      <c r="D71" s="93" t="s">
        <v>1281</v>
      </c>
      <c r="E71" s="115" t="e">
        <f>VLOOKUP($G$1,'Übersicht GBU'!A:AW,49,FALSE)</f>
        <v>#N/A</v>
      </c>
      <c r="G71" s="91" t="s">
        <v>1156</v>
      </c>
      <c r="H71" s="2"/>
    </row>
    <row r="72" spans="1:10" ht="15" customHeight="1" x14ac:dyDescent="0.3">
      <c r="A72" s="2"/>
      <c r="H72" s="2"/>
    </row>
    <row r="73" spans="1:10" ht="99" customHeight="1" x14ac:dyDescent="0.3">
      <c r="A73" s="2"/>
      <c r="D73" s="137" t="s">
        <v>2535</v>
      </c>
      <c r="E73" s="133"/>
      <c r="G73" s="138"/>
      <c r="H73" s="2"/>
      <c r="I73" s="87"/>
      <c r="J73" s="92" t="s">
        <v>2536</v>
      </c>
    </row>
    <row r="74" spans="1:10" ht="15" customHeight="1" x14ac:dyDescent="0.3">
      <c r="A74" s="2"/>
      <c r="H74" s="2"/>
    </row>
    <row r="75" spans="1:10" ht="99" customHeight="1" x14ac:dyDescent="0.3">
      <c r="A75" s="2"/>
      <c r="D75" s="137" t="s">
        <v>2532</v>
      </c>
      <c r="E75" s="133"/>
      <c r="G75" s="138"/>
      <c r="H75" s="2"/>
      <c r="I75" s="87"/>
    </row>
    <row r="76" spans="1:10" ht="9" customHeight="1" x14ac:dyDescent="0.3">
      <c r="A76" s="2"/>
      <c r="H76" s="2"/>
    </row>
    <row r="77" spans="1:10" ht="24" customHeight="1" x14ac:dyDescent="0.3">
      <c r="A77" s="2"/>
      <c r="B77" s="57" t="s">
        <v>4</v>
      </c>
      <c r="C77" s="57" t="s">
        <v>6</v>
      </c>
      <c r="D77" s="64" t="s">
        <v>1083</v>
      </c>
      <c r="E77" s="69"/>
      <c r="F77" s="71"/>
      <c r="G77" s="70" t="s">
        <v>1157</v>
      </c>
      <c r="H77" s="2"/>
    </row>
    <row r="78" spans="1:10" ht="18.75" customHeight="1" x14ac:dyDescent="0.3">
      <c r="A78" s="2"/>
      <c r="B78" s="10" t="s">
        <v>1198</v>
      </c>
      <c r="C78" s="11"/>
      <c r="D78" s="12" t="s">
        <v>1197</v>
      </c>
      <c r="E78" s="32"/>
      <c r="F78" s="32"/>
      <c r="G78" s="120"/>
      <c r="H78" s="2"/>
    </row>
    <row r="79" spans="1:10" ht="18" customHeight="1" x14ac:dyDescent="0.3">
      <c r="A79" s="2"/>
      <c r="B79" s="88" t="s">
        <v>1198</v>
      </c>
      <c r="C79" s="89">
        <f>ROW(A79)-(ROW(A$78))</f>
        <v>1</v>
      </c>
      <c r="D79" s="139" t="s">
        <v>1290</v>
      </c>
      <c r="E79" s="140"/>
      <c r="F79" s="140"/>
      <c r="G79" s="121" t="s">
        <v>1156</v>
      </c>
      <c r="H79" s="2"/>
    </row>
    <row r="80" spans="1:10" ht="18.75" customHeight="1" x14ac:dyDescent="0.3">
      <c r="A80" s="2"/>
      <c r="B80" s="10" t="s">
        <v>1199</v>
      </c>
      <c r="C80" s="11"/>
      <c r="D80" s="12" t="s">
        <v>1152</v>
      </c>
      <c r="E80" s="32"/>
      <c r="F80" s="32"/>
      <c r="G80" s="120"/>
      <c r="H80" s="2"/>
    </row>
    <row r="81" spans="1:8" ht="18" customHeight="1" x14ac:dyDescent="0.3">
      <c r="A81" s="2"/>
      <c r="B81" s="88" t="s">
        <v>1199</v>
      </c>
      <c r="C81" s="89">
        <f>ROW(A81)-(ROW(A$80))</f>
        <v>1</v>
      </c>
      <c r="D81" s="139" t="s">
        <v>1188</v>
      </c>
      <c r="E81" s="140"/>
      <c r="F81" s="140"/>
      <c r="G81" s="121" t="s">
        <v>1156</v>
      </c>
      <c r="H81" s="2"/>
    </row>
    <row r="82" spans="1:8" ht="18" customHeight="1" x14ac:dyDescent="0.3">
      <c r="A82" s="2"/>
      <c r="B82" s="88" t="s">
        <v>1199</v>
      </c>
      <c r="C82" s="89">
        <f>ROW(A82)-(ROW(A$80))</f>
        <v>2</v>
      </c>
      <c r="D82" s="139" t="s">
        <v>1191</v>
      </c>
      <c r="E82" s="140"/>
      <c r="F82" s="140"/>
      <c r="G82" s="121" t="s">
        <v>1156</v>
      </c>
      <c r="H82" s="2"/>
    </row>
    <row r="83" spans="1:8" ht="18" customHeight="1" x14ac:dyDescent="0.3">
      <c r="A83" s="2"/>
      <c r="B83" s="88" t="s">
        <v>1199</v>
      </c>
      <c r="C83" s="89">
        <f>ROW(A83)-(ROW(A$80))</f>
        <v>3</v>
      </c>
      <c r="D83" s="139" t="s">
        <v>1178</v>
      </c>
      <c r="E83" s="140"/>
      <c r="F83" s="140"/>
      <c r="G83" s="121" t="s">
        <v>1156</v>
      </c>
      <c r="H83" s="2"/>
    </row>
    <row r="84" spans="1:8" ht="18" customHeight="1" x14ac:dyDescent="0.3">
      <c r="A84" s="2"/>
      <c r="B84" s="88" t="s">
        <v>1199</v>
      </c>
      <c r="C84" s="89">
        <f>ROW(A84)-(ROW(A$80))</f>
        <v>4</v>
      </c>
      <c r="D84" s="139" t="s">
        <v>1179</v>
      </c>
      <c r="E84" s="140"/>
      <c r="F84" s="140"/>
      <c r="G84" s="121" t="s">
        <v>1156</v>
      </c>
      <c r="H84" s="2"/>
    </row>
    <row r="85" spans="1:8" ht="18" customHeight="1" x14ac:dyDescent="0.3">
      <c r="A85" s="2"/>
      <c r="B85" s="88" t="s">
        <v>1199</v>
      </c>
      <c r="C85" s="89">
        <f>ROW(A85)-(ROW(A$80))</f>
        <v>5</v>
      </c>
      <c r="D85" s="139" t="s">
        <v>1189</v>
      </c>
      <c r="E85" s="140"/>
      <c r="F85" s="140"/>
      <c r="G85" s="121" t="s">
        <v>1156</v>
      </c>
      <c r="H85" s="2"/>
    </row>
    <row r="86" spans="1:8" ht="18.75" customHeight="1" x14ac:dyDescent="0.3">
      <c r="A86" s="2"/>
      <c r="B86" s="10" t="s">
        <v>1200</v>
      </c>
      <c r="C86" s="11"/>
      <c r="D86" s="12" t="s">
        <v>1153</v>
      </c>
      <c r="E86" s="32"/>
      <c r="F86" s="32"/>
      <c r="G86" s="120"/>
      <c r="H86" s="2"/>
    </row>
    <row r="87" spans="1:8" ht="18" customHeight="1" x14ac:dyDescent="0.3">
      <c r="A87" s="2"/>
      <c r="B87" s="88" t="s">
        <v>1200</v>
      </c>
      <c r="C87" s="89">
        <f>ROW(A87)-(ROW(A$86))</f>
        <v>1</v>
      </c>
      <c r="D87" s="139" t="s">
        <v>1170</v>
      </c>
      <c r="E87" s="140"/>
      <c r="F87" s="140"/>
      <c r="G87" s="121" t="s">
        <v>1156</v>
      </c>
      <c r="H87" s="2"/>
    </row>
    <row r="88" spans="1:8" ht="18" customHeight="1" x14ac:dyDescent="0.3">
      <c r="A88" s="2"/>
      <c r="B88" s="88" t="s">
        <v>1200</v>
      </c>
      <c r="C88" s="89">
        <f>ROW(A88)-(ROW(A$86))</f>
        <v>2</v>
      </c>
      <c r="D88" s="139" t="s">
        <v>1171</v>
      </c>
      <c r="E88" s="140"/>
      <c r="F88" s="140"/>
      <c r="G88" s="121" t="s">
        <v>1156</v>
      </c>
      <c r="H88" s="2"/>
    </row>
    <row r="89" spans="1:8" ht="18" customHeight="1" x14ac:dyDescent="0.3">
      <c r="A89" s="2"/>
      <c r="B89" s="88" t="s">
        <v>1200</v>
      </c>
      <c r="C89" s="89">
        <f>ROW(A89)-(ROW(A$86))</f>
        <v>3</v>
      </c>
      <c r="D89" s="139" t="s">
        <v>1190</v>
      </c>
      <c r="E89" s="140"/>
      <c r="F89" s="140"/>
      <c r="G89" s="121" t="s">
        <v>1156</v>
      </c>
      <c r="H89" s="2"/>
    </row>
    <row r="90" spans="1:8" ht="18" customHeight="1" x14ac:dyDescent="0.3">
      <c r="A90" s="2"/>
      <c r="B90" s="88" t="s">
        <v>1200</v>
      </c>
      <c r="C90" s="89">
        <f>ROW(A90)-(ROW(A$86))</f>
        <v>4</v>
      </c>
      <c r="D90" s="139" t="s">
        <v>1192</v>
      </c>
      <c r="E90" s="140"/>
      <c r="F90" s="140"/>
      <c r="G90" s="122" t="s">
        <v>1156</v>
      </c>
      <c r="H90" s="2"/>
    </row>
    <row r="91" spans="1:8" ht="18.75" customHeight="1" x14ac:dyDescent="0.3">
      <c r="A91" s="2"/>
      <c r="B91" s="10" t="s">
        <v>1201</v>
      </c>
      <c r="C91" s="11"/>
      <c r="D91" s="12" t="s">
        <v>1154</v>
      </c>
      <c r="E91" s="32"/>
      <c r="F91" s="32"/>
      <c r="G91" s="120"/>
      <c r="H91" s="2"/>
    </row>
    <row r="92" spans="1:8" ht="18" customHeight="1" x14ac:dyDescent="0.3">
      <c r="A92" s="2"/>
      <c r="B92" s="88" t="s">
        <v>1201</v>
      </c>
      <c r="C92" s="89">
        <f t="shared" ref="C92:C101" si="0">ROW(A92)-(ROW(A$91))</f>
        <v>1</v>
      </c>
      <c r="D92" s="139" t="s">
        <v>1167</v>
      </c>
      <c r="E92" s="140"/>
      <c r="F92" s="140"/>
      <c r="G92" s="121" t="s">
        <v>1156</v>
      </c>
      <c r="H92" s="2"/>
    </row>
    <row r="93" spans="1:8" ht="18" customHeight="1" x14ac:dyDescent="0.3">
      <c r="A93" s="2"/>
      <c r="B93" s="88" t="s">
        <v>1201</v>
      </c>
      <c r="C93" s="89">
        <f t="shared" si="0"/>
        <v>2</v>
      </c>
      <c r="D93" s="139" t="s">
        <v>1194</v>
      </c>
      <c r="E93" s="140"/>
      <c r="F93" s="140"/>
      <c r="G93" s="121" t="s">
        <v>1156</v>
      </c>
      <c r="H93" s="2"/>
    </row>
    <row r="94" spans="1:8" ht="18" customHeight="1" x14ac:dyDescent="0.3">
      <c r="A94" s="2"/>
      <c r="B94" s="88" t="s">
        <v>1201</v>
      </c>
      <c r="C94" s="89">
        <f t="shared" si="0"/>
        <v>3</v>
      </c>
      <c r="D94" s="139" t="s">
        <v>1204</v>
      </c>
      <c r="E94" s="140"/>
      <c r="F94" s="140"/>
      <c r="G94" s="121" t="s">
        <v>1156</v>
      </c>
      <c r="H94" s="2"/>
    </row>
    <row r="95" spans="1:8" ht="18" customHeight="1" x14ac:dyDescent="0.3">
      <c r="A95" s="2"/>
      <c r="B95" s="88" t="s">
        <v>1201</v>
      </c>
      <c r="C95" s="89">
        <f t="shared" si="0"/>
        <v>4</v>
      </c>
      <c r="D95" s="139" t="s">
        <v>1180</v>
      </c>
      <c r="E95" s="140"/>
      <c r="F95" s="140"/>
      <c r="G95" s="121" t="s">
        <v>1156</v>
      </c>
      <c r="H95" s="2"/>
    </row>
    <row r="96" spans="1:8" ht="18" customHeight="1" x14ac:dyDescent="0.3">
      <c r="A96" s="2"/>
      <c r="B96" s="88" t="s">
        <v>1201</v>
      </c>
      <c r="C96" s="89">
        <f t="shared" si="0"/>
        <v>5</v>
      </c>
      <c r="D96" s="139" t="s">
        <v>1160</v>
      </c>
      <c r="E96" s="140"/>
      <c r="F96" s="140"/>
      <c r="G96" s="121" t="s">
        <v>1156</v>
      </c>
      <c r="H96" s="2"/>
    </row>
    <row r="97" spans="1:8" ht="18" customHeight="1" x14ac:dyDescent="0.3">
      <c r="A97" s="2"/>
      <c r="B97" s="88" t="s">
        <v>1201</v>
      </c>
      <c r="C97" s="89">
        <f t="shared" si="0"/>
        <v>6</v>
      </c>
      <c r="D97" s="139" t="s">
        <v>1164</v>
      </c>
      <c r="E97" s="140"/>
      <c r="F97" s="140"/>
      <c r="G97" s="121" t="s">
        <v>1156</v>
      </c>
      <c r="H97" s="2"/>
    </row>
    <row r="98" spans="1:8" ht="18" customHeight="1" x14ac:dyDescent="0.3">
      <c r="A98" s="2"/>
      <c r="B98" s="88" t="s">
        <v>1201</v>
      </c>
      <c r="C98" s="89">
        <f t="shared" si="0"/>
        <v>7</v>
      </c>
      <c r="D98" s="139" t="s">
        <v>1168</v>
      </c>
      <c r="E98" s="140"/>
      <c r="F98" s="140"/>
      <c r="G98" s="121" t="s">
        <v>1156</v>
      </c>
      <c r="H98" s="2"/>
    </row>
    <row r="99" spans="1:8" ht="18" customHeight="1" x14ac:dyDescent="0.3">
      <c r="A99" s="2"/>
      <c r="B99" s="88" t="s">
        <v>1201</v>
      </c>
      <c r="C99" s="89">
        <f t="shared" si="0"/>
        <v>8</v>
      </c>
      <c r="D99" s="139" t="s">
        <v>1165</v>
      </c>
      <c r="E99" s="140"/>
      <c r="F99" s="140"/>
      <c r="G99" s="121" t="s">
        <v>1156</v>
      </c>
      <c r="H99" s="2"/>
    </row>
    <row r="100" spans="1:8" ht="18" customHeight="1" x14ac:dyDescent="0.3">
      <c r="A100" s="2"/>
      <c r="B100" s="88" t="s">
        <v>1201</v>
      </c>
      <c r="C100" s="89">
        <f t="shared" si="0"/>
        <v>9</v>
      </c>
      <c r="D100" s="139" t="s">
        <v>1207</v>
      </c>
      <c r="E100" s="140"/>
      <c r="F100" s="140"/>
      <c r="G100" s="121" t="s">
        <v>1156</v>
      </c>
      <c r="H100" s="2"/>
    </row>
    <row r="101" spans="1:8" ht="18" customHeight="1" x14ac:dyDescent="0.3">
      <c r="A101" s="2"/>
      <c r="B101" s="88" t="s">
        <v>1201</v>
      </c>
      <c r="C101" s="89">
        <f t="shared" si="0"/>
        <v>10</v>
      </c>
      <c r="D101" s="139" t="s">
        <v>1202</v>
      </c>
      <c r="E101" s="140"/>
      <c r="F101" s="140"/>
      <c r="G101" s="122" t="s">
        <v>1156</v>
      </c>
      <c r="H101" s="2"/>
    </row>
    <row r="102" spans="1:8" ht="18.75" customHeight="1" x14ac:dyDescent="0.3">
      <c r="A102" s="2"/>
      <c r="B102" s="10" t="s">
        <v>9</v>
      </c>
      <c r="C102" s="11"/>
      <c r="D102" s="12" t="s">
        <v>124</v>
      </c>
      <c r="E102" s="32"/>
      <c r="F102" s="32"/>
      <c r="G102" s="120"/>
      <c r="H102" s="2"/>
    </row>
    <row r="103" spans="1:8" ht="18" customHeight="1" x14ac:dyDescent="0.3">
      <c r="A103" s="2"/>
      <c r="B103" s="88">
        <v>1</v>
      </c>
      <c r="C103" s="89">
        <f>ROW(A103)-(ROW(A$102))</f>
        <v>1</v>
      </c>
      <c r="D103" s="139" t="s">
        <v>1184</v>
      </c>
      <c r="E103" s="140"/>
      <c r="F103" s="140"/>
      <c r="G103" s="136" t="s">
        <v>1156</v>
      </c>
      <c r="H103" s="2"/>
    </row>
    <row r="104" spans="1:8" ht="18" customHeight="1" x14ac:dyDescent="0.3">
      <c r="A104" s="2"/>
      <c r="B104" s="88">
        <v>1</v>
      </c>
      <c r="C104" s="89">
        <f>ROW(A104)-(ROW(A$102))</f>
        <v>2</v>
      </c>
      <c r="D104" s="139" t="s">
        <v>1205</v>
      </c>
      <c r="E104" s="140"/>
      <c r="F104" s="140"/>
      <c r="G104" s="121" t="s">
        <v>1156</v>
      </c>
      <c r="H104" s="2"/>
    </row>
    <row r="105" spans="1:8" ht="18" customHeight="1" x14ac:dyDescent="0.3">
      <c r="A105" s="2"/>
      <c r="B105" s="88">
        <v>1</v>
      </c>
      <c r="C105" s="89">
        <f>ROW(A105)-(ROW(A$102))</f>
        <v>3</v>
      </c>
      <c r="D105" s="139" t="s">
        <v>1193</v>
      </c>
      <c r="E105" s="140"/>
      <c r="F105" s="140"/>
      <c r="G105" s="122" t="s">
        <v>1156</v>
      </c>
      <c r="H105" s="2"/>
    </row>
    <row r="106" spans="1:8" ht="18.75" customHeight="1" x14ac:dyDescent="0.3">
      <c r="A106" s="2"/>
      <c r="B106" s="10" t="s">
        <v>17</v>
      </c>
      <c r="C106" s="11"/>
      <c r="D106" s="12" t="s">
        <v>1169</v>
      </c>
      <c r="E106" s="32"/>
      <c r="F106" s="32"/>
      <c r="G106" s="14"/>
      <c r="H106" s="2"/>
    </row>
    <row r="107" spans="1:8" ht="18" customHeight="1" x14ac:dyDescent="0.3">
      <c r="A107" s="2"/>
      <c r="B107" s="88">
        <v>2</v>
      </c>
      <c r="C107" s="89">
        <f>ROW(A107)-(ROW(A$106))</f>
        <v>1</v>
      </c>
      <c r="D107" s="139" t="s">
        <v>1185</v>
      </c>
      <c r="E107" s="140"/>
      <c r="F107" s="140"/>
      <c r="G107" s="121" t="s">
        <v>1156</v>
      </c>
      <c r="H107" s="2"/>
    </row>
    <row r="108" spans="1:8" ht="18" customHeight="1" x14ac:dyDescent="0.3">
      <c r="A108" s="2"/>
      <c r="B108" s="88">
        <v>2</v>
      </c>
      <c r="C108" s="89">
        <f>ROW(A108)-(ROW(A$106))</f>
        <v>2</v>
      </c>
      <c r="D108" s="139" t="s">
        <v>1195</v>
      </c>
      <c r="E108" s="140"/>
      <c r="F108" s="140"/>
      <c r="G108" s="121" t="s">
        <v>1156</v>
      </c>
      <c r="H108" s="2"/>
    </row>
    <row r="109" spans="1:8" ht="18" customHeight="1" x14ac:dyDescent="0.3">
      <c r="A109" s="2"/>
      <c r="B109" s="88">
        <v>2</v>
      </c>
      <c r="C109" s="89">
        <f>ROW(A109)-(ROW(A$106))</f>
        <v>3</v>
      </c>
      <c r="D109" s="139" t="s">
        <v>1186</v>
      </c>
      <c r="E109" s="140"/>
      <c r="F109" s="140"/>
      <c r="G109" s="121" t="s">
        <v>1156</v>
      </c>
      <c r="H109" s="2"/>
    </row>
    <row r="110" spans="1:8" ht="18" customHeight="1" x14ac:dyDescent="0.3">
      <c r="A110" s="2"/>
      <c r="B110" s="88">
        <v>2</v>
      </c>
      <c r="C110" s="89">
        <f>ROW(A110)-(ROW(A$106))</f>
        <v>4</v>
      </c>
      <c r="D110" s="139" t="s">
        <v>1196</v>
      </c>
      <c r="E110" s="140"/>
      <c r="F110" s="140"/>
      <c r="G110" s="122" t="s">
        <v>1156</v>
      </c>
      <c r="H110" s="2"/>
    </row>
    <row r="111" spans="1:8" ht="18.75" customHeight="1" x14ac:dyDescent="0.3">
      <c r="A111" s="2"/>
      <c r="B111" s="10" t="s">
        <v>24</v>
      </c>
      <c r="C111" s="11"/>
      <c r="D111" s="12" t="s">
        <v>1162</v>
      </c>
      <c r="E111" s="32"/>
      <c r="F111" s="32"/>
      <c r="G111" s="14"/>
      <c r="H111" s="2"/>
    </row>
    <row r="112" spans="1:8" ht="18" customHeight="1" x14ac:dyDescent="0.3">
      <c r="A112" s="2"/>
      <c r="B112" s="88">
        <v>3</v>
      </c>
      <c r="C112" s="89">
        <f>ROW(A112)-(ROW(A$111))</f>
        <v>1</v>
      </c>
      <c r="D112" s="139" t="s">
        <v>1163</v>
      </c>
      <c r="E112" s="140"/>
      <c r="F112" s="140"/>
      <c r="G112" s="136" t="s">
        <v>1156</v>
      </c>
      <c r="H112" s="2"/>
    </row>
    <row r="113" spans="1:8" ht="18" customHeight="1" x14ac:dyDescent="0.3">
      <c r="A113" s="2"/>
      <c r="B113" s="88">
        <v>3</v>
      </c>
      <c r="C113" s="89">
        <f>ROW(A113)-(ROW(A$111))</f>
        <v>2</v>
      </c>
      <c r="D113" s="139" t="s">
        <v>1177</v>
      </c>
      <c r="E113" s="140"/>
      <c r="F113" s="140"/>
      <c r="G113" s="122" t="s">
        <v>1156</v>
      </c>
      <c r="H113" s="2"/>
    </row>
    <row r="114" spans="1:8" ht="18.75" customHeight="1" x14ac:dyDescent="0.3">
      <c r="A114" s="2"/>
      <c r="B114" s="10" t="s">
        <v>26</v>
      </c>
      <c r="C114" s="11"/>
      <c r="D114" s="12" t="s">
        <v>1155</v>
      </c>
      <c r="E114" s="32"/>
      <c r="F114" s="32"/>
      <c r="G114" s="120"/>
      <c r="H114" s="2"/>
    </row>
    <row r="115" spans="1:8" ht="18" customHeight="1" x14ac:dyDescent="0.3">
      <c r="A115" s="2"/>
      <c r="B115" s="88">
        <v>4</v>
      </c>
      <c r="C115" s="89">
        <f>ROW(A115)-(ROW(A$114))</f>
        <v>1</v>
      </c>
      <c r="D115" s="139" t="s">
        <v>1166</v>
      </c>
      <c r="E115" s="140"/>
      <c r="F115" s="140"/>
      <c r="G115" s="121" t="s">
        <v>1156</v>
      </c>
      <c r="H115" s="2"/>
    </row>
    <row r="116" spans="1:8" ht="18" customHeight="1" x14ac:dyDescent="0.3">
      <c r="A116" s="2"/>
      <c r="B116" s="88">
        <v>4</v>
      </c>
      <c r="C116" s="89">
        <f>ROW(A116)-(ROW(A$114))</f>
        <v>2</v>
      </c>
      <c r="D116" s="139" t="s">
        <v>1161</v>
      </c>
      <c r="E116" s="140"/>
      <c r="F116" s="140"/>
      <c r="G116" s="122" t="s">
        <v>1156</v>
      </c>
      <c r="H116" s="2"/>
    </row>
    <row r="117" spans="1:8" ht="18.75" customHeight="1" x14ac:dyDescent="0.3">
      <c r="A117" s="2"/>
      <c r="B117" s="10" t="s">
        <v>41</v>
      </c>
      <c r="C117" s="11"/>
      <c r="D117" s="12"/>
      <c r="E117" s="32"/>
      <c r="F117" s="32"/>
      <c r="G117" s="14"/>
      <c r="H117" s="2"/>
    </row>
    <row r="118" spans="1:8" ht="18" customHeight="1" x14ac:dyDescent="0.3">
      <c r="A118" s="2"/>
      <c r="B118" s="88">
        <v>5</v>
      </c>
      <c r="C118" s="89">
        <f>ROW(A118)-(ROW(A$117))</f>
        <v>1</v>
      </c>
      <c r="D118" s="139"/>
      <c r="E118" s="140"/>
      <c r="F118" s="140"/>
      <c r="G118" s="136" t="s">
        <v>1156</v>
      </c>
      <c r="H118" s="2"/>
    </row>
    <row r="119" spans="1:8" ht="18" customHeight="1" x14ac:dyDescent="0.3">
      <c r="A119" s="2"/>
      <c r="B119" s="88">
        <v>5</v>
      </c>
      <c r="C119" s="89">
        <f t="shared" ref="C119:C120" si="1">ROW(A119)-(ROW(A$117))</f>
        <v>2</v>
      </c>
      <c r="D119" s="139"/>
      <c r="E119" s="140"/>
      <c r="F119" s="140"/>
      <c r="G119" s="121" t="s">
        <v>1156</v>
      </c>
      <c r="H119" s="2"/>
    </row>
    <row r="120" spans="1:8" ht="18" customHeight="1" x14ac:dyDescent="0.3">
      <c r="A120" s="2"/>
      <c r="B120" s="88">
        <v>5</v>
      </c>
      <c r="C120" s="89">
        <f t="shared" si="1"/>
        <v>3</v>
      </c>
      <c r="D120" s="139"/>
      <c r="E120" s="140"/>
      <c r="F120" s="140"/>
      <c r="G120" s="122" t="s">
        <v>1156</v>
      </c>
      <c r="H120" s="2"/>
    </row>
    <row r="121" spans="1:8" ht="18.75" customHeight="1" x14ac:dyDescent="0.3">
      <c r="A121" s="2"/>
      <c r="B121" s="2"/>
      <c r="C121" s="2"/>
      <c r="D121" s="2"/>
      <c r="E121" s="2"/>
      <c r="F121" s="2"/>
      <c r="G121" s="2"/>
      <c r="H121" s="2"/>
    </row>
    <row r="122" spans="1:8" s="4" customFormat="1" ht="18.75" customHeight="1" x14ac:dyDescent="0.3">
      <c r="A122" s="1"/>
      <c r="B122" s="3"/>
      <c r="C122" s="3"/>
      <c r="D122" s="1"/>
      <c r="E122" s="1"/>
      <c r="F122" s="1"/>
      <c r="G122" s="1"/>
      <c r="H122" s="1"/>
    </row>
    <row r="123" spans="1:8" s="4" customFormat="1" ht="18.75" customHeight="1" x14ac:dyDescent="0.3">
      <c r="A123" s="1"/>
      <c r="B123" s="3"/>
      <c r="C123" s="3"/>
      <c r="D123" s="1"/>
      <c r="E123" s="1"/>
      <c r="F123" s="1"/>
      <c r="G123" s="1"/>
      <c r="H123" s="1"/>
    </row>
    <row r="124" spans="1:8" s="4" customFormat="1" ht="18.75" customHeight="1" x14ac:dyDescent="0.3">
      <c r="A124" s="1"/>
      <c r="B124" s="3"/>
      <c r="C124" s="3"/>
      <c r="D124" s="1"/>
      <c r="E124" s="1"/>
      <c r="F124" s="1"/>
      <c r="G124" s="1"/>
      <c r="H124" s="1"/>
    </row>
    <row r="125" spans="1:8" s="4" customFormat="1" ht="18.75" customHeight="1" x14ac:dyDescent="0.3">
      <c r="A125" s="1"/>
      <c r="B125" s="3"/>
      <c r="C125" s="3"/>
      <c r="D125" s="1"/>
      <c r="E125" s="1"/>
      <c r="F125" s="1"/>
      <c r="G125" s="1"/>
      <c r="H125" s="1"/>
    </row>
    <row r="126" spans="1:8" s="4" customFormat="1" ht="18.75" customHeight="1" x14ac:dyDescent="0.3">
      <c r="A126" s="1"/>
      <c r="B126" s="3"/>
      <c r="C126" s="3"/>
      <c r="D126" s="1"/>
      <c r="E126" s="1"/>
      <c r="F126" s="1"/>
      <c r="G126" s="1"/>
      <c r="H126" s="1"/>
    </row>
    <row r="127" spans="1:8" s="4" customFormat="1" ht="18.75" customHeight="1" x14ac:dyDescent="0.3">
      <c r="A127" s="1"/>
      <c r="B127" s="3"/>
      <c r="C127" s="3"/>
      <c r="D127" s="1"/>
      <c r="E127" s="1"/>
      <c r="F127" s="1"/>
      <c r="G127" s="1"/>
      <c r="H127" s="1"/>
    </row>
    <row r="128" spans="1:8" s="4" customFormat="1" ht="18.75" customHeight="1" x14ac:dyDescent="0.3">
      <c r="A128" s="1"/>
      <c r="B128" s="3"/>
      <c r="C128" s="3"/>
      <c r="D128" s="1"/>
      <c r="E128" s="1"/>
      <c r="F128" s="1"/>
      <c r="G128" s="1"/>
      <c r="H128" s="1"/>
    </row>
    <row r="129" spans="1:8" s="4" customFormat="1" ht="18.75" customHeight="1" x14ac:dyDescent="0.3">
      <c r="A129" s="1"/>
      <c r="B129" s="3"/>
      <c r="C129" s="3"/>
      <c r="D129" s="1"/>
      <c r="E129" s="1"/>
      <c r="F129" s="1"/>
      <c r="G129" s="1"/>
      <c r="H129" s="1"/>
    </row>
    <row r="130" spans="1:8" s="4" customFormat="1" ht="18.75" customHeight="1" x14ac:dyDescent="0.3">
      <c r="A130" s="1"/>
      <c r="B130" s="3"/>
      <c r="C130" s="3"/>
      <c r="D130" s="1"/>
      <c r="E130" s="1"/>
      <c r="F130" s="1"/>
      <c r="G130" s="1"/>
      <c r="H130" s="1"/>
    </row>
    <row r="131" spans="1:8" s="4" customFormat="1" ht="18.75" customHeight="1" x14ac:dyDescent="0.3">
      <c r="A131" s="1"/>
      <c r="B131" s="3"/>
      <c r="C131" s="3"/>
      <c r="D131" s="1"/>
      <c r="E131" s="1"/>
      <c r="F131" s="1"/>
      <c r="G131" s="1"/>
      <c r="H131" s="1"/>
    </row>
    <row r="132" spans="1:8" s="4" customFormat="1" ht="18.75" customHeight="1" x14ac:dyDescent="0.3">
      <c r="A132" s="1"/>
      <c r="B132" s="3"/>
      <c r="C132" s="3"/>
      <c r="D132" s="1"/>
      <c r="E132" s="1"/>
      <c r="F132" s="1"/>
      <c r="G132" s="1"/>
      <c r="H132" s="1"/>
    </row>
    <row r="133" spans="1:8" s="4" customFormat="1" ht="18.75" customHeight="1" x14ac:dyDescent="0.3">
      <c r="A133" s="1"/>
      <c r="B133" s="3"/>
      <c r="C133" s="3"/>
      <c r="D133" s="1"/>
      <c r="E133" s="1"/>
      <c r="F133" s="1"/>
      <c r="G133" s="1"/>
      <c r="H133" s="1"/>
    </row>
    <row r="134" spans="1:8" s="4" customFormat="1" ht="18.75" customHeight="1" x14ac:dyDescent="0.3">
      <c r="A134" s="1"/>
      <c r="B134" s="3"/>
      <c r="C134" s="3"/>
      <c r="D134" s="1"/>
      <c r="E134" s="1"/>
      <c r="F134" s="1"/>
      <c r="G134" s="1"/>
      <c r="H134" s="1"/>
    </row>
    <row r="135" spans="1:8" s="4" customFormat="1" ht="18.75" customHeight="1" x14ac:dyDescent="0.3">
      <c r="A135" s="1"/>
      <c r="B135" s="3"/>
      <c r="C135" s="3"/>
      <c r="D135" s="1"/>
      <c r="E135" s="1"/>
      <c r="F135" s="1"/>
      <c r="G135" s="1"/>
      <c r="H135" s="1"/>
    </row>
    <row r="136" spans="1:8" s="4" customFormat="1" ht="18.75" customHeight="1" x14ac:dyDescent="0.3">
      <c r="A136" s="1"/>
      <c r="B136" s="3"/>
      <c r="C136" s="3"/>
      <c r="D136" s="1"/>
      <c r="E136" s="1"/>
      <c r="F136" s="1"/>
      <c r="G136" s="1"/>
      <c r="H136" s="1"/>
    </row>
    <row r="137" spans="1:8" s="4" customFormat="1" ht="18.75" customHeight="1" x14ac:dyDescent="0.3">
      <c r="A137" s="1"/>
      <c r="B137" s="3"/>
      <c r="C137" s="3"/>
      <c r="D137" s="1"/>
      <c r="E137" s="1"/>
      <c r="F137" s="1"/>
      <c r="G137" s="1"/>
      <c r="H137" s="1"/>
    </row>
    <row r="138" spans="1:8" s="4" customFormat="1" ht="18.75" customHeight="1" x14ac:dyDescent="0.3">
      <c r="A138" s="1"/>
      <c r="B138" s="3"/>
      <c r="C138" s="3"/>
      <c r="D138" s="1"/>
      <c r="E138" s="1"/>
      <c r="F138" s="1"/>
      <c r="G138" s="1"/>
      <c r="H138" s="1"/>
    </row>
    <row r="139" spans="1:8" s="4" customFormat="1" ht="18.75" customHeight="1" x14ac:dyDescent="0.3">
      <c r="A139" s="1"/>
      <c r="B139" s="3"/>
      <c r="C139" s="3"/>
      <c r="D139" s="1"/>
      <c r="E139" s="1"/>
      <c r="F139" s="1"/>
      <c r="G139" s="1"/>
      <c r="H139" s="1"/>
    </row>
    <row r="140" spans="1:8" s="4" customFormat="1" ht="18.75" customHeight="1" x14ac:dyDescent="0.3">
      <c r="A140" s="1"/>
      <c r="B140" s="3"/>
      <c r="C140" s="3"/>
      <c r="D140" s="1"/>
      <c r="E140" s="1"/>
      <c r="F140" s="1"/>
      <c r="G140" s="1"/>
      <c r="H140" s="1"/>
    </row>
    <row r="141" spans="1:8" s="4" customFormat="1" ht="18.75" customHeight="1" x14ac:dyDescent="0.3">
      <c r="A141" s="1"/>
      <c r="B141" s="3"/>
      <c r="C141" s="3"/>
      <c r="D141" s="1"/>
      <c r="E141" s="1"/>
      <c r="F141" s="1"/>
      <c r="G141" s="1"/>
      <c r="H141" s="1"/>
    </row>
    <row r="142" spans="1:8" s="4" customFormat="1" ht="18.75" customHeight="1" x14ac:dyDescent="0.3">
      <c r="A142" s="1"/>
      <c r="B142" s="3"/>
      <c r="C142" s="3"/>
      <c r="D142" s="1"/>
      <c r="E142" s="1"/>
      <c r="F142" s="1"/>
      <c r="G142" s="1"/>
      <c r="H142" s="1"/>
    </row>
    <row r="143" spans="1:8" s="4" customFormat="1" ht="18.75" customHeight="1" x14ac:dyDescent="0.3">
      <c r="A143" s="1"/>
      <c r="B143" s="3"/>
      <c r="C143" s="3"/>
      <c r="D143" s="1"/>
      <c r="E143" s="1"/>
      <c r="F143" s="1"/>
      <c r="G143" s="1"/>
      <c r="H143" s="1"/>
    </row>
    <row r="144" spans="1:8" s="4" customFormat="1" ht="18.75" customHeight="1" x14ac:dyDescent="0.3">
      <c r="A144" s="1"/>
      <c r="B144" s="3"/>
      <c r="C144" s="3"/>
      <c r="D144" s="1"/>
      <c r="E144" s="1"/>
      <c r="F144" s="1"/>
      <c r="G144" s="1"/>
      <c r="H144" s="1"/>
    </row>
    <row r="145" spans="1:8" s="4" customFormat="1" ht="18.75" customHeight="1" x14ac:dyDescent="0.3">
      <c r="A145" s="1"/>
      <c r="B145" s="3"/>
      <c r="C145" s="3"/>
      <c r="D145" s="1"/>
      <c r="E145" s="1"/>
      <c r="F145" s="1"/>
      <c r="G145" s="1"/>
      <c r="H145" s="1"/>
    </row>
    <row r="146" spans="1:8" s="4" customFormat="1" ht="18.75" customHeight="1" x14ac:dyDescent="0.3">
      <c r="A146" s="1"/>
      <c r="B146" s="3"/>
      <c r="C146" s="3"/>
      <c r="D146" s="1"/>
      <c r="E146" s="1"/>
      <c r="F146" s="1"/>
      <c r="G146" s="1"/>
      <c r="H146" s="1"/>
    </row>
    <row r="147" spans="1:8" s="4" customFormat="1" ht="18.75" customHeight="1" x14ac:dyDescent="0.3">
      <c r="A147" s="1"/>
      <c r="B147" s="3"/>
      <c r="C147" s="3"/>
      <c r="D147" s="1"/>
      <c r="E147" s="1"/>
      <c r="F147" s="1"/>
      <c r="G147" s="1"/>
      <c r="H147" s="1"/>
    </row>
    <row r="148" spans="1:8" s="4" customFormat="1" ht="18.75" customHeight="1" x14ac:dyDescent="0.3">
      <c r="A148" s="1"/>
      <c r="B148" s="3"/>
      <c r="C148" s="3"/>
      <c r="D148" s="1"/>
      <c r="E148" s="1"/>
      <c r="F148" s="1"/>
      <c r="G148" s="1"/>
      <c r="H148" s="1"/>
    </row>
    <row r="149" spans="1:8" s="4" customFormat="1" ht="18.75" customHeight="1" x14ac:dyDescent="0.3">
      <c r="A149" s="1"/>
      <c r="B149" s="3"/>
      <c r="C149" s="3"/>
      <c r="D149" s="1"/>
      <c r="E149" s="1"/>
      <c r="F149" s="1"/>
      <c r="G149" s="1"/>
      <c r="H149" s="1"/>
    </row>
    <row r="150" spans="1:8" s="4" customFormat="1" ht="18.75" customHeight="1" x14ac:dyDescent="0.3">
      <c r="A150" s="1"/>
      <c r="B150" s="3"/>
      <c r="C150" s="3"/>
      <c r="D150" s="1"/>
      <c r="E150" s="1"/>
      <c r="F150" s="1"/>
      <c r="G150" s="1"/>
      <c r="H150" s="1"/>
    </row>
    <row r="151" spans="1:8" s="4" customFormat="1" ht="18.75" customHeight="1" x14ac:dyDescent="0.3">
      <c r="A151" s="1"/>
      <c r="B151" s="3"/>
      <c r="C151" s="3"/>
      <c r="D151" s="1"/>
      <c r="E151" s="1"/>
      <c r="F151" s="1"/>
      <c r="G151" s="1"/>
      <c r="H151" s="1"/>
    </row>
    <row r="152" spans="1:8" s="4" customFormat="1" ht="18.75" customHeight="1" x14ac:dyDescent="0.3">
      <c r="A152" s="1"/>
      <c r="B152" s="3"/>
      <c r="C152" s="3"/>
      <c r="D152" s="1"/>
      <c r="E152" s="1"/>
      <c r="F152" s="1"/>
      <c r="G152" s="1"/>
      <c r="H152" s="1"/>
    </row>
    <row r="153" spans="1:8" s="4" customFormat="1" ht="18.75" customHeight="1" x14ac:dyDescent="0.3">
      <c r="A153" s="1"/>
      <c r="B153" s="3"/>
      <c r="C153" s="3"/>
      <c r="D153" s="1"/>
      <c r="E153" s="1"/>
      <c r="F153" s="1"/>
      <c r="G153" s="1"/>
      <c r="H153" s="1"/>
    </row>
    <row r="154" spans="1:8" s="4" customFormat="1" ht="18.75" customHeight="1" x14ac:dyDescent="0.3">
      <c r="A154" s="1"/>
      <c r="B154" s="3"/>
      <c r="C154" s="3"/>
      <c r="D154" s="1"/>
      <c r="E154" s="1"/>
      <c r="F154" s="1"/>
      <c r="G154" s="1"/>
      <c r="H154" s="1"/>
    </row>
    <row r="155" spans="1:8" s="4" customFormat="1" ht="18.75" customHeight="1" x14ac:dyDescent="0.3">
      <c r="A155" s="1"/>
      <c r="B155" s="3"/>
      <c r="C155" s="3"/>
      <c r="D155" s="1"/>
      <c r="E155" s="1"/>
      <c r="F155" s="1"/>
      <c r="G155" s="1"/>
      <c r="H155" s="1"/>
    </row>
    <row r="156" spans="1:8" s="4" customFormat="1" ht="18.75" customHeight="1" x14ac:dyDescent="0.3">
      <c r="A156" s="1"/>
      <c r="B156" s="3"/>
      <c r="C156" s="3"/>
      <c r="D156" s="1"/>
      <c r="E156" s="1"/>
      <c r="F156" s="1"/>
      <c r="G156" s="1"/>
      <c r="H156" s="1"/>
    </row>
    <row r="157" spans="1:8" s="4" customFormat="1" ht="18.75" customHeight="1" x14ac:dyDescent="0.3">
      <c r="A157" s="1"/>
      <c r="B157" s="3"/>
      <c r="C157" s="3"/>
      <c r="D157" s="1"/>
      <c r="E157" s="1"/>
      <c r="F157" s="1"/>
      <c r="G157" s="1"/>
      <c r="H157" s="1"/>
    </row>
    <row r="158" spans="1:8" s="4" customFormat="1" ht="18.75" customHeight="1" x14ac:dyDescent="0.3">
      <c r="A158" s="1"/>
      <c r="B158" s="3"/>
      <c r="C158" s="3"/>
      <c r="D158" s="1"/>
      <c r="E158" s="1"/>
      <c r="F158" s="1"/>
      <c r="G158" s="1"/>
      <c r="H158" s="1"/>
    </row>
    <row r="159" spans="1:8" s="4" customFormat="1" ht="18.75" customHeight="1" x14ac:dyDescent="0.3">
      <c r="A159" s="1"/>
      <c r="B159" s="3"/>
      <c r="C159" s="3"/>
      <c r="D159" s="1"/>
      <c r="E159" s="1"/>
      <c r="F159" s="1"/>
      <c r="G159" s="1"/>
      <c r="H159" s="1"/>
    </row>
    <row r="160" spans="1:8" s="4" customFormat="1" ht="18.75" customHeight="1" x14ac:dyDescent="0.3">
      <c r="A160" s="1"/>
      <c r="B160" s="3"/>
      <c r="C160" s="3"/>
      <c r="D160" s="1"/>
      <c r="E160" s="1"/>
      <c r="F160" s="1"/>
      <c r="G160" s="1"/>
      <c r="H160" s="1"/>
    </row>
    <row r="161" spans="1:8" s="4" customFormat="1" ht="18.75" customHeight="1" x14ac:dyDescent="0.3">
      <c r="A161" s="1"/>
      <c r="B161" s="3"/>
      <c r="C161" s="3"/>
      <c r="D161" s="1"/>
      <c r="E161" s="1"/>
      <c r="F161" s="1"/>
      <c r="G161" s="1"/>
      <c r="H161" s="1"/>
    </row>
    <row r="162" spans="1:8" s="4" customFormat="1" ht="18.75" customHeight="1" x14ac:dyDescent="0.3">
      <c r="A162" s="1"/>
      <c r="B162" s="3"/>
      <c r="C162" s="3"/>
      <c r="D162" s="1"/>
      <c r="E162" s="1"/>
      <c r="F162" s="1"/>
      <c r="G162" s="1"/>
      <c r="H162" s="1"/>
    </row>
    <row r="163" spans="1:8" s="4" customFormat="1" ht="18.75" customHeight="1" x14ac:dyDescent="0.3">
      <c r="A163" s="1"/>
      <c r="B163" s="3"/>
      <c r="C163" s="3"/>
      <c r="D163" s="1"/>
      <c r="E163" s="1"/>
      <c r="F163" s="1"/>
      <c r="G163" s="1"/>
      <c r="H163" s="1"/>
    </row>
    <row r="164" spans="1:8" s="4" customFormat="1" ht="18.75" customHeight="1" x14ac:dyDescent="0.3">
      <c r="A164" s="1"/>
      <c r="B164" s="3"/>
      <c r="C164" s="3"/>
      <c r="D164" s="1"/>
      <c r="E164" s="1"/>
      <c r="F164" s="1"/>
      <c r="G164" s="1"/>
      <c r="H164" s="1"/>
    </row>
    <row r="165" spans="1:8" s="4" customFormat="1" ht="18.75" customHeight="1" x14ac:dyDescent="0.3">
      <c r="A165" s="1"/>
      <c r="B165" s="3"/>
      <c r="C165" s="3"/>
      <c r="D165" s="1"/>
      <c r="E165" s="1"/>
      <c r="F165" s="1"/>
      <c r="G165" s="1"/>
      <c r="H165" s="1"/>
    </row>
    <row r="166" spans="1:8" s="4" customFormat="1" ht="18.75" customHeight="1" x14ac:dyDescent="0.3">
      <c r="A166" s="1"/>
      <c r="B166" s="3"/>
      <c r="C166" s="3"/>
      <c r="D166" s="1"/>
      <c r="E166" s="1"/>
      <c r="F166" s="1"/>
      <c r="G166" s="1"/>
      <c r="H166" s="1"/>
    </row>
    <row r="167" spans="1:8" s="4" customFormat="1" ht="18.75" customHeight="1" x14ac:dyDescent="0.3">
      <c r="A167" s="1"/>
      <c r="B167" s="3"/>
      <c r="C167" s="3"/>
      <c r="D167" s="1"/>
      <c r="E167" s="1"/>
      <c r="F167" s="1"/>
      <c r="G167" s="1"/>
      <c r="H167" s="1"/>
    </row>
    <row r="168" spans="1:8" s="4" customFormat="1" ht="18.75" customHeight="1" x14ac:dyDescent="0.3">
      <c r="A168" s="1"/>
      <c r="B168" s="3"/>
      <c r="C168" s="3"/>
      <c r="D168" s="1"/>
      <c r="E168" s="1"/>
      <c r="F168" s="1"/>
      <c r="G168" s="1"/>
      <c r="H168" s="1"/>
    </row>
    <row r="169" spans="1:8" s="4" customFormat="1" ht="18.75" customHeight="1" x14ac:dyDescent="0.3">
      <c r="A169" s="1"/>
      <c r="B169" s="3"/>
      <c r="C169" s="3"/>
      <c r="D169" s="1"/>
      <c r="E169" s="1"/>
      <c r="F169" s="1"/>
      <c r="G169" s="1"/>
      <c r="H169" s="1"/>
    </row>
    <row r="170" spans="1:8" s="4" customFormat="1" ht="18.75" customHeight="1" x14ac:dyDescent="0.3">
      <c r="A170" s="1"/>
      <c r="B170" s="3"/>
      <c r="C170" s="3"/>
      <c r="D170" s="1"/>
      <c r="E170" s="1"/>
      <c r="F170" s="1"/>
      <c r="G170" s="1"/>
      <c r="H170" s="1"/>
    </row>
    <row r="171" spans="1:8" s="4" customFormat="1" ht="18.75" customHeight="1" x14ac:dyDescent="0.3">
      <c r="A171" s="1"/>
      <c r="B171" s="3"/>
      <c r="C171" s="3"/>
      <c r="D171" s="1"/>
      <c r="E171" s="1"/>
      <c r="F171" s="1"/>
      <c r="G171" s="1"/>
      <c r="H171" s="1"/>
    </row>
    <row r="172" spans="1:8" s="4" customFormat="1" ht="18.75" customHeight="1" x14ac:dyDescent="0.3">
      <c r="A172" s="1"/>
      <c r="B172" s="3"/>
      <c r="C172" s="3"/>
      <c r="D172" s="1"/>
      <c r="E172" s="1"/>
      <c r="F172" s="1"/>
      <c r="G172" s="1"/>
      <c r="H172" s="1"/>
    </row>
    <row r="173" spans="1:8" s="4" customFormat="1" ht="18.75" customHeight="1" x14ac:dyDescent="0.3">
      <c r="A173" s="1"/>
      <c r="B173" s="3"/>
      <c r="C173" s="3"/>
      <c r="D173" s="1"/>
      <c r="E173" s="1"/>
      <c r="F173" s="1"/>
      <c r="G173" s="1"/>
      <c r="H173" s="1"/>
    </row>
  </sheetData>
  <mergeCells count="34">
    <mergeCell ref="D120:F120"/>
    <mergeCell ref="D109:F109"/>
    <mergeCell ref="D110:F110"/>
    <mergeCell ref="D112:F112"/>
    <mergeCell ref="D113:F113"/>
    <mergeCell ref="D115:F115"/>
    <mergeCell ref="D116:F116"/>
    <mergeCell ref="D118:F118"/>
    <mergeCell ref="D119:F119"/>
    <mergeCell ref="D108:F108"/>
    <mergeCell ref="D97:F97"/>
    <mergeCell ref="D98:F98"/>
    <mergeCell ref="D99:F99"/>
    <mergeCell ref="D100:F100"/>
    <mergeCell ref="D101:F101"/>
    <mergeCell ref="D103:F103"/>
    <mergeCell ref="D104:F104"/>
    <mergeCell ref="D105:F105"/>
    <mergeCell ref="D107:F107"/>
    <mergeCell ref="D96:F96"/>
    <mergeCell ref="D85:F85"/>
    <mergeCell ref="D87:F87"/>
    <mergeCell ref="D88:F88"/>
    <mergeCell ref="D89:F89"/>
    <mergeCell ref="D90:F90"/>
    <mergeCell ref="D92:F92"/>
    <mergeCell ref="D93:F93"/>
    <mergeCell ref="D94:F94"/>
    <mergeCell ref="D95:F95"/>
    <mergeCell ref="D84:F84"/>
    <mergeCell ref="D79:F79"/>
    <mergeCell ref="D81:F81"/>
    <mergeCell ref="D82:F82"/>
    <mergeCell ref="D83:F83"/>
  </mergeCells>
  <dataValidations count="2">
    <dataValidation type="list" errorStyle="warning" allowBlank="1" showInputMessage="1" showErrorMessage="1" errorTitle="Handlungsbedarf" error="Bitte geben Sie eine gültige Antwort ein:_x000a_ja, nein, prüfen" sqref="G87:G90 G103:G120 G81:G85 G79 G92:G101 G58:G66 G49:G56 G36:G47 G68:G71 G73 G75" xr:uid="{AE80B64B-B09A-4079-842F-3DEE59ECAEBF}">
      <formula1>Handlungsbedarf</formula1>
    </dataValidation>
    <dataValidation allowBlank="1" sqref="G77" xr:uid="{A4C4D08F-904A-4B58-B4C6-155220489059}"/>
  </dataValidations>
  <printOptions horizontalCentered="1"/>
  <pageMargins left="0.39370078740157483" right="0.39370078740157483" top="0.39370078740157483" bottom="0.47244094488188981" header="0.31496062992125984" footer="0.19685039370078741"/>
  <pageSetup paperSize="9" scale="81" fitToHeight="3" orientation="portrait" r:id="rId1"/>
  <headerFooter>
    <oddFooter>&amp;L&amp;G&amp;C&amp;"Arial,Standard"&amp;9GBU &amp;A&amp;R&amp;"Arial,Standard"&amp;9Seite &amp;P / &amp;N</oddFooter>
  </headerFooter>
  <rowBreaks count="2" manualBreakCount="2">
    <brk id="33" min="1" max="6" man="1"/>
    <brk id="76" min="1" max="6" man="1"/>
  </rowBreaks>
  <drawing r:id="rId2"/>
  <legacyDrawingHF r:id="rId3"/>
  <extLst>
    <ext xmlns:x14="http://schemas.microsoft.com/office/spreadsheetml/2009/9/main" uri="{78C0D931-6437-407d-A8EE-F0AAD7539E65}">
      <x14:conditionalFormattings>
        <x14:conditionalFormatting xmlns:xm="http://schemas.microsoft.com/office/excel/2006/main">
          <x14:cfRule type="cellIs" priority="23" operator="equal" id="{7717C571-1130-44B8-8C73-6264E3903202}">
            <xm:f>Daten!$I$4</xm:f>
            <x14:dxf>
              <font>
                <color rgb="FFFF0000"/>
              </font>
            </x14:dxf>
          </x14:cfRule>
          <xm:sqref>G1:G1048576</xm:sqref>
        </x14:conditionalFormatting>
        <x14:conditionalFormatting xmlns:xm="http://schemas.microsoft.com/office/excel/2006/main">
          <x14:cfRule type="cellIs" priority="20" operator="equal" id="{C4B67199-E7E8-439E-A870-3DEF50A0BCC6}">
            <xm:f>Daten!$I$2</xm:f>
            <x14:dxf>
              <font>
                <color theme="1" tint="0.499984740745262"/>
              </font>
            </x14:dxf>
          </x14:cfRule>
          <xm:sqref>G36:G47 G77:G121</xm:sqref>
        </x14:conditionalFormatting>
        <x14:conditionalFormatting xmlns:xm="http://schemas.microsoft.com/office/excel/2006/main">
          <x14:cfRule type="cellIs" priority="21" operator="equal" id="{5D9BBFA0-7754-4258-A3CB-D3985D4B76D5}">
            <xm:f>Daten!$I$3</xm:f>
            <x14:dxf>
              <font>
                <color rgb="FF00B050"/>
              </font>
            </x14:dxf>
          </x14:cfRule>
          <x14:cfRule type="cellIs" priority="22" operator="equal" id="{5AE56CF0-D2B8-4E91-B0AB-97F684E37B19}">
            <xm:f>Daten!$I$2</xm:f>
            <x14:dxf>
              <font>
                <color theme="1" tint="0.499984740745262"/>
              </font>
            </x14:dxf>
          </x14:cfRule>
          <xm:sqref>G49</xm:sqref>
        </x14:conditionalFormatting>
        <x14:conditionalFormatting xmlns:xm="http://schemas.microsoft.com/office/excel/2006/main">
          <x14:cfRule type="cellIs" priority="9" operator="equal" id="{CE33233D-190E-4B99-AAF5-B4D883B5B81B}">
            <xm:f>Daten!$I$3</xm:f>
            <x14:dxf>
              <font>
                <color rgb="FF00B050"/>
              </font>
            </x14:dxf>
          </x14:cfRule>
          <x14:cfRule type="cellIs" priority="10" operator="equal" id="{7ADDAD46-A0EF-49DD-97DF-B92B65619B76}">
            <xm:f>Daten!$I$2</xm:f>
            <x14:dxf>
              <font>
                <color theme="1" tint="0.499984740745262"/>
              </font>
            </x14:dxf>
          </x14:cfRule>
          <x14:cfRule type="cellIs" priority="13" operator="equal" id="{AECC53F2-0AD4-40EE-BAE2-0699E20C305B}">
            <xm:f>Daten!$I$3</xm:f>
            <x14:dxf>
              <font>
                <color rgb="FF00B050"/>
              </font>
            </x14:dxf>
          </x14:cfRule>
          <x14:cfRule type="cellIs" priority="14" operator="equal" id="{CFC217F1-50FC-463A-B8A2-1EA572451F88}">
            <xm:f>Daten!$I$2</xm:f>
            <x14:dxf>
              <font>
                <color theme="1" tint="0.499984740745262"/>
              </font>
            </x14:dxf>
          </x14:cfRule>
          <xm:sqref>G49:G56</xm:sqref>
        </x14:conditionalFormatting>
        <x14:conditionalFormatting xmlns:xm="http://schemas.microsoft.com/office/excel/2006/main">
          <x14:cfRule type="cellIs" priority="17" operator="equal" id="{EC86B0F7-790D-4A43-821B-208D2CB52727}">
            <xm:f>Daten!$I$3</xm:f>
            <x14:dxf>
              <font>
                <color rgb="FF00B050"/>
              </font>
            </x14:dxf>
          </x14:cfRule>
          <x14:cfRule type="cellIs" priority="18" operator="equal" id="{C0F64E8A-6908-450A-A0EF-1D481A9FBB67}">
            <xm:f>Daten!$I$2</xm:f>
            <x14:dxf>
              <font>
                <color theme="1" tint="0.499984740745262"/>
              </font>
            </x14:dxf>
          </x14:cfRule>
          <xm:sqref>G58</xm:sqref>
        </x14:conditionalFormatting>
        <x14:conditionalFormatting xmlns:xm="http://schemas.microsoft.com/office/excel/2006/main">
          <x14:cfRule type="cellIs" priority="7" operator="equal" id="{1D673D16-63EE-4417-A382-4ACB0146FD28}">
            <xm:f>Daten!$I$3</xm:f>
            <x14:dxf>
              <font>
                <color rgb="FF00B050"/>
              </font>
            </x14:dxf>
          </x14:cfRule>
          <x14:cfRule type="cellIs" priority="8" operator="equal" id="{8ACAF035-7B34-4AC5-A894-A09B19CB60E9}">
            <xm:f>Daten!$I$2</xm:f>
            <x14:dxf>
              <font>
                <color theme="1" tint="0.499984740745262"/>
              </font>
            </x14:dxf>
          </x14:cfRule>
          <x14:cfRule type="cellIs" priority="15" operator="equal" id="{F07A8901-B645-4A68-B762-BB032ABC2EAE}">
            <xm:f>Daten!$I$3</xm:f>
            <x14:dxf>
              <font>
                <color rgb="FF00B050"/>
              </font>
            </x14:dxf>
          </x14:cfRule>
          <x14:cfRule type="cellIs" priority="16" operator="equal" id="{B20DE190-303A-4D45-9CD2-A49C0C7E4173}">
            <xm:f>Daten!$I$2</xm:f>
            <x14:dxf>
              <font>
                <color theme="1" tint="0.499984740745262"/>
              </font>
            </x14:dxf>
          </x14:cfRule>
          <xm:sqref>G58:G66</xm:sqref>
        </x14:conditionalFormatting>
        <x14:conditionalFormatting xmlns:xm="http://schemas.microsoft.com/office/excel/2006/main">
          <x14:cfRule type="cellIs" priority="24" operator="equal" id="{293B3E8D-2CF4-4081-B106-F75A5595B81A}">
            <xm:f>Daten!$I$3</xm:f>
            <x14:dxf>
              <font>
                <color rgb="FF00B050"/>
              </font>
            </x14:dxf>
          </x14:cfRule>
          <x14:cfRule type="cellIs" priority="25" operator="equal" id="{91856758-443C-4664-B2FB-6E925DAD09AD}">
            <xm:f>Daten!$I$2</xm:f>
            <x14:dxf>
              <font>
                <color theme="1" tint="0.499984740745262"/>
              </font>
            </x14:dxf>
          </x14:cfRule>
          <xm:sqref>G68:G71 G73 G75</xm:sqref>
        </x14:conditionalFormatting>
        <x14:conditionalFormatting xmlns:xm="http://schemas.microsoft.com/office/excel/2006/main">
          <x14:cfRule type="cellIs" priority="5" operator="equal" id="{ADEF2CAC-2FAB-456E-9159-C5A8E80F0FFC}">
            <xm:f>Daten!$I$3</xm:f>
            <x14:dxf>
              <font>
                <color rgb="FF00B050"/>
              </font>
            </x14:dxf>
          </x14:cfRule>
          <x14:cfRule type="cellIs" priority="6" operator="equal" id="{D2714D7E-EB18-4A2D-9B69-7C9195EA9AFC}">
            <xm:f>Daten!$I$2</xm:f>
            <x14:dxf>
              <font>
                <color theme="1" tint="0.499984740745262"/>
              </font>
            </x14:dxf>
          </x14:cfRule>
          <x14:cfRule type="cellIs" priority="11" operator="equal" id="{DFDF8465-FA2F-494E-8290-F9CA36379E7F}">
            <xm:f>Daten!$I$3</xm:f>
            <x14:dxf>
              <font>
                <color rgb="FF00B050"/>
              </font>
            </x14:dxf>
          </x14:cfRule>
          <x14:cfRule type="cellIs" priority="12" operator="equal" id="{BF5678CD-D595-4293-BE79-548E5EE33476}">
            <xm:f>Daten!$I$2</xm:f>
            <x14:dxf>
              <font>
                <color theme="1" tint="0.499984740745262"/>
              </font>
            </x14:dxf>
          </x14:cfRule>
          <xm:sqref>G70:G71</xm:sqref>
        </x14:conditionalFormatting>
        <x14:conditionalFormatting xmlns:xm="http://schemas.microsoft.com/office/excel/2006/main">
          <x14:cfRule type="cellIs" priority="19" operator="equal" id="{A2C7A724-7B3E-4FF1-817B-C28355530E1E}">
            <xm:f>Daten!$I$3</xm:f>
            <x14:dxf>
              <font>
                <color rgb="FF00B050"/>
              </font>
            </x14:dxf>
          </x14:cfRule>
          <xm:sqref>G77:G121 G36:G47</xm:sqref>
        </x14:conditionalFormatting>
        <x14:conditionalFormatting xmlns:xm="http://schemas.microsoft.com/office/excel/2006/main">
          <x14:cfRule type="cellIs" priority="1" operator="equal" id="{69F165A6-AC5A-4357-A710-034FB366D34C}">
            <xm:f>Daten!$I$3</xm:f>
            <x14:dxf>
              <font>
                <color rgb="FF00B050"/>
              </font>
            </x14:dxf>
          </x14:cfRule>
          <x14:cfRule type="cellIs" priority="2" operator="equal" id="{522861F6-2DD2-4766-A67C-EA10D57265DD}">
            <xm:f>Daten!$I$2</xm:f>
            <x14:dxf>
              <font>
                <color theme="1" tint="0.499984740745262"/>
              </font>
            </x14:dxf>
          </x14:cfRule>
          <x14:cfRule type="cellIs" priority="3" operator="equal" id="{D9DA01D2-052F-406B-894F-E732502E4D9C}">
            <xm:f>Daten!$I$3</xm:f>
            <x14:dxf>
              <font>
                <color rgb="FF00B050"/>
              </font>
            </x14:dxf>
          </x14:cfRule>
          <x14:cfRule type="cellIs" priority="4" operator="equal" id="{84A63FDC-97FB-43AE-A306-A2DB170E56E5}">
            <xm:f>Daten!$I$2</xm:f>
            <x14:dxf>
              <font>
                <color theme="1" tint="0.499984740745262"/>
              </font>
            </x14:dxf>
          </x14:cfRule>
          <xm:sqref>G79 G81:G85 G87:G89 G92:G100 G107:G108 G113 G115:G116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D683-D0F6-47C2-91C7-4E5902DB923B}">
  <sheetPr>
    <pageSetUpPr fitToPage="1"/>
  </sheetPr>
  <dimension ref="A1:J174"/>
  <sheetViews>
    <sheetView showGridLines="0" zoomScaleNormal="100" zoomScaleSheetLayoutView="80" workbookViewId="0">
      <selection activeCell="E10" sqref="E10"/>
    </sheetView>
  </sheetViews>
  <sheetFormatPr baseColWidth="10" defaultColWidth="11.44140625" defaultRowHeight="18.75" customHeight="1" x14ac:dyDescent="0.3"/>
  <cols>
    <col min="1" max="1" width="2.109375" style="1" customWidth="1"/>
    <col min="2" max="3" width="3.5546875" style="3" customWidth="1"/>
    <col min="4" max="4" width="33.33203125" style="1" customWidth="1"/>
    <col min="5" max="5" width="65.5546875" style="1" customWidth="1"/>
    <col min="6" max="6" width="1.109375" style="1" customWidth="1"/>
    <col min="7" max="7" width="8.88671875" style="1" customWidth="1"/>
    <col min="8" max="8" width="2.109375" style="1" customWidth="1"/>
    <col min="9" max="9" width="3.33203125" style="1" customWidth="1"/>
    <col min="10" max="10" width="63.33203125" style="1" customWidth="1"/>
    <col min="11" max="16384" width="11.44140625" style="1"/>
  </cols>
  <sheetData>
    <row r="1" spans="1:9" ht="25.95" customHeight="1" x14ac:dyDescent="0.4">
      <c r="A1" s="2"/>
      <c r="B1" s="103" t="s">
        <v>2516</v>
      </c>
      <c r="F1" s="100" t="s">
        <v>1149</v>
      </c>
      <c r="G1" s="82" t="s">
        <v>1331</v>
      </c>
      <c r="H1" s="2"/>
      <c r="I1" s="87"/>
    </row>
    <row r="2" spans="1:9" ht="24" customHeight="1" x14ac:dyDescent="0.3">
      <c r="A2" s="2"/>
      <c r="B2" s="125" t="str">
        <f>CONCATENATE(Daten!G2," · ",Daten!H2)</f>
        <v>OTH Oberflächentechnik Hagen GmbH &amp; Co. KG · Selbecker Str. 145-149, 58091 Hagen</v>
      </c>
      <c r="C2" s="79"/>
      <c r="D2" s="80"/>
      <c r="E2" s="81"/>
      <c r="F2" s="101" t="s">
        <v>1144</v>
      </c>
      <c r="G2" s="99">
        <v>45892</v>
      </c>
      <c r="H2" s="2"/>
      <c r="I2" s="87"/>
    </row>
    <row r="3" spans="1:9" ht="9" customHeight="1" x14ac:dyDescent="0.3">
      <c r="A3" s="2"/>
      <c r="D3" s="75"/>
      <c r="H3" s="2"/>
    </row>
    <row r="4" spans="1:9" ht="12" customHeight="1" x14ac:dyDescent="0.3">
      <c r="A4" s="2"/>
      <c r="H4" s="2"/>
    </row>
    <row r="5" spans="1:9" ht="18" customHeight="1" x14ac:dyDescent="0.3">
      <c r="A5" s="2"/>
      <c r="D5" s="74" t="s">
        <v>1112</v>
      </c>
      <c r="E5" s="73" t="s">
        <v>1150</v>
      </c>
      <c r="H5" s="2"/>
      <c r="I5" s="87"/>
    </row>
    <row r="6" spans="1:9" ht="18" customHeight="1" x14ac:dyDescent="0.3">
      <c r="A6" s="2"/>
      <c r="D6" s="74" t="s">
        <v>1</v>
      </c>
      <c r="E6" s="73" t="str">
        <f>CONCATENATE(Daten!G5," (",Daten!H5,")")</f>
        <v>Herr Udo Gensowski (Geschäftsführer)</v>
      </c>
      <c r="H6" s="2"/>
    </row>
    <row r="7" spans="1:9" ht="9" customHeight="1" x14ac:dyDescent="0.3">
      <c r="A7" s="2"/>
      <c r="D7" s="75"/>
      <c r="H7" s="2"/>
    </row>
    <row r="8" spans="1:9" ht="18" customHeight="1" x14ac:dyDescent="0.3">
      <c r="A8" s="2"/>
      <c r="B8" s="60" t="s">
        <v>1148</v>
      </c>
      <c r="C8" s="58"/>
      <c r="D8" s="76"/>
      <c r="E8" s="59"/>
      <c r="F8" s="2"/>
      <c r="G8" s="2"/>
      <c r="H8" s="2"/>
    </row>
    <row r="9" spans="1:9" ht="9" customHeight="1" x14ac:dyDescent="0.3">
      <c r="A9" s="2"/>
      <c r="D9" s="75"/>
      <c r="H9" s="2"/>
    </row>
    <row r="10" spans="1:9" ht="30" customHeight="1" x14ac:dyDescent="0.3">
      <c r="A10" s="2"/>
      <c r="B10" s="54"/>
      <c r="D10" s="77" t="s">
        <v>1107</v>
      </c>
      <c r="E10" s="61" t="str">
        <f>VLOOKUP($G$1,'Übersicht GBU'!A:AB,4,FALSE)</f>
        <v>Flußsäure (Flusssäure) 59 %</v>
      </c>
      <c r="H10" s="2"/>
    </row>
    <row r="11" spans="1:9" ht="18" customHeight="1" x14ac:dyDescent="0.3">
      <c r="A11" s="2"/>
      <c r="D11" s="85" t="s">
        <v>1108</v>
      </c>
      <c r="E11" s="83" t="str">
        <f>VLOOKUP($G$1,'Übersicht GBU'!A:AB,5,FALSE)</f>
        <v>Richard Steinebach GmbH &amp; Co.KG</v>
      </c>
      <c r="H11" s="2"/>
    </row>
    <row r="12" spans="1:9" ht="18" customHeight="1" x14ac:dyDescent="0.3">
      <c r="A12" s="2"/>
      <c r="D12" s="86" t="s">
        <v>1106</v>
      </c>
      <c r="E12" s="84">
        <f>VLOOKUP($G$1,'Übersicht GBU'!A:AB,6,FALSE)</f>
        <v>45204</v>
      </c>
      <c r="H12" s="2"/>
    </row>
    <row r="13" spans="1:9" ht="18" customHeight="1" x14ac:dyDescent="0.3">
      <c r="A13" s="2"/>
      <c r="D13" s="85" t="s">
        <v>1111</v>
      </c>
      <c r="E13" s="83" t="str">
        <f>CONCATENATE(VLOOKUP($G$1,'Übersicht GBU'!A:AB,7,FALSE),", ",VLOOKUP($G$1,'Übersicht GBU'!A:AB,8,FALSE)," (",VLOOKUP($G$1,'Übersicht GBU'!A:AB,9,FALSE),")")</f>
        <v>Flüssigkeit, farblos (Gemisch)</v>
      </c>
      <c r="H13" s="2"/>
    </row>
    <row r="14" spans="1:9" ht="30" customHeight="1" x14ac:dyDescent="0.3">
      <c r="A14" s="2"/>
      <c r="D14" s="77" t="s">
        <v>1109</v>
      </c>
      <c r="E14" s="72" t="str">
        <f>VLOOKUP($G$1,'Übersicht GBU'!A:AB,10,FALSE)</f>
        <v>Beizen</v>
      </c>
      <c r="H14" s="2"/>
    </row>
    <row r="15" spans="1:9" ht="9" customHeight="1" x14ac:dyDescent="0.3">
      <c r="A15" s="2"/>
      <c r="D15" s="75"/>
      <c r="H15" s="2"/>
    </row>
    <row r="16" spans="1:9" ht="209.4" customHeight="1" x14ac:dyDescent="0.3">
      <c r="A16" s="2"/>
      <c r="D16" s="78" t="s">
        <v>1187</v>
      </c>
      <c r="E16" s="90" t="s">
        <v>2533</v>
      </c>
      <c r="G16" s="123" t="s">
        <v>2517</v>
      </c>
      <c r="H16" s="2"/>
      <c r="I16" s="87"/>
    </row>
    <row r="17" spans="1:10" ht="9" customHeight="1" x14ac:dyDescent="0.3">
      <c r="A17" s="2"/>
      <c r="D17" s="75"/>
      <c r="H17" s="2"/>
    </row>
    <row r="18" spans="1:10" ht="18" customHeight="1" x14ac:dyDescent="0.3">
      <c r="A18" s="2"/>
      <c r="B18" s="60" t="s">
        <v>1254</v>
      </c>
      <c r="C18" s="58"/>
      <c r="D18" s="76"/>
      <c r="E18" s="59"/>
      <c r="F18" s="2"/>
      <c r="G18" s="2"/>
      <c r="H18" s="2"/>
    </row>
    <row r="19" spans="1:10" ht="9" customHeight="1" x14ac:dyDescent="0.3">
      <c r="A19" s="2"/>
      <c r="D19" s="75"/>
      <c r="H19" s="2"/>
    </row>
    <row r="20" spans="1:10" ht="18" customHeight="1" x14ac:dyDescent="0.3">
      <c r="A20" s="2"/>
      <c r="D20" s="85" t="s">
        <v>1114</v>
      </c>
      <c r="E20" s="83" t="str">
        <f>VLOOKUP($G$1,'Übersicht GBU'!A:AB,11,FALSE)</f>
        <v>GHS 05, GHS 06, Gefahr</v>
      </c>
      <c r="H20" s="2"/>
    </row>
    <row r="21" spans="1:10" ht="30" customHeight="1" x14ac:dyDescent="0.3">
      <c r="A21" s="2"/>
      <c r="D21" s="77" t="s">
        <v>1181</v>
      </c>
      <c r="E21" s="72" t="str">
        <f>CONCATENATE(VLOOKUP($G$1,'Übersicht GBU'!A:AB,12,FALSE)," / ",(VLOOKUP($G$1,'Übersicht GBU'!A:AB,13,FALSE))," / ",(VLOOKUP($G$1,'Übersicht GBU'!A:AB,14,FALSE))," / ",(VLOOKUP($G$1,'Übersicht GBU'!A:AB,15,FALSE)))</f>
        <v>- / H314, H300+H310+H330 / - / -</v>
      </c>
      <c r="H21" s="2"/>
    </row>
    <row r="22" spans="1:10" ht="30" customHeight="1" x14ac:dyDescent="0.3">
      <c r="A22" s="2"/>
      <c r="D22" s="77" t="s">
        <v>1182</v>
      </c>
      <c r="E22" s="72" t="str">
        <f>CONCATENATE(VLOOKUP($G$1,'Übersicht GBU'!A:AB,16,FALSE)," / ",(VLOOKUP($G$1,'Übersicht GBU'!A:AB,17,FALSE))," / ",(VLOOKUP($G$1,'Übersicht GBU'!A:AB,18,FALSE))," / ",(VLOOKUP($G$1,'Übersicht GBU'!A:AB,19,FALSE))," / ",(VLOOKUP($G$1,'Übersicht GBU'!A:AB,20,FALSE)))</f>
        <v>- / - / P301+P310, P303+P361+P353, P305+P351+P338, P320 / P405 / -</v>
      </c>
      <c r="H22" s="2"/>
    </row>
    <row r="23" spans="1:10" ht="30" customHeight="1" x14ac:dyDescent="0.3">
      <c r="A23" s="2"/>
      <c r="D23" s="85" t="s">
        <v>1116</v>
      </c>
      <c r="E23" s="128" t="str">
        <f>VLOOKUP($G$1,'Übersicht GBU'!A:AB,23,FALSE)</f>
        <v>Nein, da die Einstufung H314 besteht und ein Hautkontakt nicht ausgeschlossen werden kann.</v>
      </c>
      <c r="H23" s="2"/>
    </row>
    <row r="24" spans="1:10" ht="18" customHeight="1" x14ac:dyDescent="0.3">
      <c r="A24" s="2"/>
      <c r="D24" s="85" t="s">
        <v>1110</v>
      </c>
      <c r="E24" s="83" t="str">
        <f>VLOOKUP(G24,Daten!J2:K6,2,FALSE)</f>
        <v>WGK 2: wassergefährdend</v>
      </c>
      <c r="G24" s="98">
        <f>VLOOKUP($G$1,'Übersicht GBU'!A:AB,22,FALSE)</f>
        <v>2</v>
      </c>
      <c r="H24" s="2"/>
    </row>
    <row r="25" spans="1:10" ht="18" customHeight="1" x14ac:dyDescent="0.3">
      <c r="A25" s="2"/>
      <c r="D25" s="85"/>
      <c r="E25" s="83" t="s">
        <v>3</v>
      </c>
      <c r="H25" s="2"/>
      <c r="I25" s="87"/>
      <c r="J25" s="116" t="s">
        <v>2531</v>
      </c>
    </row>
    <row r="26" spans="1:10" ht="30" customHeight="1" x14ac:dyDescent="0.3">
      <c r="A26" s="2"/>
      <c r="D26" s="77" t="s">
        <v>1233</v>
      </c>
      <c r="E26" s="72" t="str">
        <f>VLOOKUP($G$1,'Übersicht GBU'!A:AB,21,FALSE)</f>
        <v>Fluorwasserstoffsäure, Flußsäure 71% -75 %</v>
      </c>
      <c r="H26" s="2"/>
    </row>
    <row r="27" spans="1:10" ht="30" customHeight="1" x14ac:dyDescent="0.3">
      <c r="A27" s="2"/>
      <c r="D27" s="77" t="s">
        <v>1235</v>
      </c>
      <c r="E27" s="102" t="str">
        <f>CONCATENATE(VLOOKUP($G$1,'Übersicht GBU'!A:AR,30,FALSE)," (",(VLOOKUP($G$1,'Übersicht GBU'!A:AR,31,FALSE)),"%), ",(VLOOKUP($G$1,'Übersicht GBU'!A:AR,32,FALSE))," / ",(VLOOKUP($G$1,'Übersicht GBU'!A:AR,33,FALSE))," - ",(VLOOKUP($G$1,'Übersicht GBU'!A:AR,34,FALSE)))</f>
        <v>- (0%), - / keine - entfällt</v>
      </c>
      <c r="H27" s="2"/>
    </row>
    <row r="28" spans="1:10" ht="30" customHeight="1" x14ac:dyDescent="0.3">
      <c r="A28" s="2"/>
      <c r="D28" s="77"/>
      <c r="E28" s="72" t="str">
        <f>CONCATENATE(VLOOKUP($G$1,'Übersicht GBU'!A:AR,35,FALSE)," (",(VLOOKUP($G$1,'Übersicht GBU'!A:AR,36,FALSE)),"%), ",(VLOOKUP($G$1,'Übersicht GBU'!A:AR,37,FALSE))," / ",(VLOOKUP($G$1,'Übersicht GBU'!A:AR,38,FALSE))," - ",(VLOOKUP($G$1,'Übersicht GBU'!A:AR,39,FALSE)))</f>
        <v>- (0%), - / keine - entfällt</v>
      </c>
      <c r="H28" s="2"/>
    </row>
    <row r="29" spans="1:10" ht="9" customHeight="1" x14ac:dyDescent="0.3">
      <c r="A29" s="2"/>
      <c r="H29" s="2"/>
    </row>
    <row r="30" spans="1:10" ht="18" customHeight="1" x14ac:dyDescent="0.3">
      <c r="A30" s="2"/>
      <c r="B30" s="60" t="s">
        <v>1256</v>
      </c>
      <c r="C30" s="58"/>
      <c r="D30" s="59"/>
      <c r="E30" s="59"/>
      <c r="F30" s="2"/>
      <c r="G30" s="2"/>
      <c r="H30" s="2"/>
    </row>
    <row r="31" spans="1:10" ht="9" customHeight="1" x14ac:dyDescent="0.3">
      <c r="A31" s="2"/>
      <c r="H31" s="2"/>
    </row>
    <row r="32" spans="1:10" ht="180" customHeight="1" x14ac:dyDescent="0.3">
      <c r="A32" s="2"/>
      <c r="D32" s="78" t="s">
        <v>1203</v>
      </c>
      <c r="E32" s="72" t="s">
        <v>2534</v>
      </c>
      <c r="H32" s="2"/>
      <c r="I32" s="87"/>
    </row>
    <row r="33" spans="1:10" ht="9" customHeight="1" x14ac:dyDescent="0.3">
      <c r="A33" s="2"/>
      <c r="H33" s="2"/>
    </row>
    <row r="34" spans="1:10" ht="18" customHeight="1" x14ac:dyDescent="0.3">
      <c r="A34" s="2"/>
      <c r="B34" s="60" t="s">
        <v>1255</v>
      </c>
      <c r="C34" s="58"/>
      <c r="D34" s="59"/>
      <c r="E34" s="59"/>
      <c r="F34" s="2"/>
      <c r="G34" s="109" t="s">
        <v>2538</v>
      </c>
      <c r="H34" s="2"/>
    </row>
    <row r="35" spans="1:10" ht="9" customHeight="1" x14ac:dyDescent="0.3">
      <c r="A35" s="2"/>
      <c r="H35" s="2"/>
    </row>
    <row r="36" spans="1:10" ht="18" customHeight="1" x14ac:dyDescent="0.3">
      <c r="A36" s="2"/>
      <c r="D36" s="93" t="s">
        <v>1212</v>
      </c>
      <c r="E36" s="115" t="s">
        <v>2529</v>
      </c>
      <c r="G36" s="91" t="s">
        <v>1183</v>
      </c>
      <c r="H36" s="2"/>
      <c r="I36" s="87"/>
      <c r="J36" s="115"/>
    </row>
    <row r="37" spans="1:10" ht="18" customHeight="1" x14ac:dyDescent="0.3">
      <c r="A37" s="2"/>
      <c r="D37" s="85" t="s">
        <v>1211</v>
      </c>
      <c r="E37" s="92" t="s">
        <v>2524</v>
      </c>
      <c r="G37" s="91" t="s">
        <v>1183</v>
      </c>
      <c r="H37" s="2"/>
      <c r="I37" s="87"/>
      <c r="J37" s="116" t="s">
        <v>1213</v>
      </c>
    </row>
    <row r="38" spans="1:10" ht="18" customHeight="1" x14ac:dyDescent="0.3">
      <c r="A38" s="2"/>
      <c r="D38" s="85" t="s">
        <v>1210</v>
      </c>
      <c r="E38" s="92" t="s">
        <v>2523</v>
      </c>
      <c r="G38" s="91" t="s">
        <v>1183</v>
      </c>
      <c r="H38" s="2"/>
      <c r="I38" s="87"/>
      <c r="J38" s="117" t="s">
        <v>1214</v>
      </c>
    </row>
    <row r="39" spans="1:10" ht="18" customHeight="1" x14ac:dyDescent="0.3">
      <c r="A39" s="2"/>
      <c r="D39" s="85" t="s">
        <v>1215</v>
      </c>
      <c r="E39" s="92" t="s">
        <v>2526</v>
      </c>
      <c r="G39" s="91" t="s">
        <v>1183</v>
      </c>
      <c r="H39" s="2"/>
      <c r="I39" s="87"/>
      <c r="J39" s="117" t="s">
        <v>2525</v>
      </c>
    </row>
    <row r="40" spans="1:10" ht="18" customHeight="1" x14ac:dyDescent="0.3">
      <c r="A40" s="2"/>
      <c r="D40" s="85" t="s">
        <v>1216</v>
      </c>
      <c r="E40" s="92" t="s">
        <v>3</v>
      </c>
      <c r="G40" s="91" t="s">
        <v>1158</v>
      </c>
      <c r="H40" s="2"/>
      <c r="I40" s="87"/>
      <c r="J40" s="118" t="s">
        <v>1220</v>
      </c>
    </row>
    <row r="41" spans="1:10" ht="18" customHeight="1" x14ac:dyDescent="0.3">
      <c r="A41" s="2"/>
      <c r="D41" s="85" t="s">
        <v>1287</v>
      </c>
      <c r="E41" s="92" t="s">
        <v>3</v>
      </c>
      <c r="G41" s="91" t="s">
        <v>1158</v>
      </c>
      <c r="H41" s="2"/>
      <c r="I41" s="87"/>
      <c r="J41" s="118" t="s">
        <v>1217</v>
      </c>
    </row>
    <row r="42" spans="1:10" ht="18" customHeight="1" x14ac:dyDescent="0.3">
      <c r="A42" s="2"/>
      <c r="D42" s="85" t="s">
        <v>1288</v>
      </c>
      <c r="E42" s="92" t="s">
        <v>3</v>
      </c>
      <c r="G42" s="91" t="s">
        <v>1158</v>
      </c>
      <c r="H42" s="2"/>
      <c r="I42" s="87"/>
      <c r="J42" s="118" t="s">
        <v>1219</v>
      </c>
    </row>
    <row r="43" spans="1:10" ht="18" customHeight="1" x14ac:dyDescent="0.3">
      <c r="A43" s="2"/>
      <c r="D43" s="85" t="s">
        <v>1218</v>
      </c>
      <c r="E43" s="92"/>
      <c r="G43" s="91" t="s">
        <v>1158</v>
      </c>
      <c r="H43" s="2"/>
      <c r="I43" s="87"/>
    </row>
    <row r="44" spans="1:10" ht="18" customHeight="1" x14ac:dyDescent="0.3">
      <c r="A44" s="2"/>
      <c r="D44" s="85" t="s">
        <v>1208</v>
      </c>
      <c r="E44" s="115" t="str">
        <f>CONCATENATE(VLOOKUP($G$1,'Übersicht GBU'!A:AB,26,FALSE)," (",VLOOKUP($G$1,'Übersicht GBU'!A:AB,27,FALSE),")")</f>
        <v>Gefährdungsbeurteilung (siehe gefahrstoffspezifische Gefährdungsbeurteilung)</v>
      </c>
      <c r="G44" s="91" t="s">
        <v>1158</v>
      </c>
      <c r="H44" s="2"/>
    </row>
    <row r="45" spans="1:10" ht="18" customHeight="1" x14ac:dyDescent="0.3">
      <c r="A45" s="2"/>
      <c r="D45" s="85"/>
      <c r="E45" s="115" t="s">
        <v>1206</v>
      </c>
      <c r="G45" s="91" t="s">
        <v>1158</v>
      </c>
      <c r="H45" s="2"/>
      <c r="I45" s="87"/>
      <c r="J45" s="115" t="s">
        <v>1206</v>
      </c>
    </row>
    <row r="46" spans="1:10" ht="18" customHeight="1" x14ac:dyDescent="0.3">
      <c r="A46" s="2"/>
      <c r="D46" s="85" t="s">
        <v>1271</v>
      </c>
      <c r="E46" s="115" t="s">
        <v>1272</v>
      </c>
      <c r="G46" s="91" t="s">
        <v>1158</v>
      </c>
      <c r="H46" s="2"/>
      <c r="I46" s="87"/>
      <c r="J46" s="115" t="s">
        <v>1272</v>
      </c>
    </row>
    <row r="47" spans="1:10" ht="18" customHeight="1" x14ac:dyDescent="0.3">
      <c r="A47" s="2"/>
      <c r="D47" s="85"/>
      <c r="E47" s="115"/>
      <c r="G47" s="91" t="s">
        <v>1156</v>
      </c>
      <c r="H47" s="2"/>
      <c r="I47" s="87"/>
      <c r="J47" s="115" t="s">
        <v>2527</v>
      </c>
    </row>
    <row r="48" spans="1:10" ht="15" customHeight="1" x14ac:dyDescent="0.3">
      <c r="A48" s="2"/>
      <c r="E48" s="119"/>
      <c r="H48" s="2"/>
    </row>
    <row r="49" spans="1:10" ht="18" customHeight="1" x14ac:dyDescent="0.3">
      <c r="A49" s="2"/>
      <c r="D49" s="93" t="s">
        <v>1221</v>
      </c>
      <c r="E49" s="115" t="s">
        <v>2530</v>
      </c>
      <c r="G49" s="91" t="s">
        <v>1183</v>
      </c>
      <c r="H49" s="2"/>
      <c r="I49" s="87"/>
      <c r="J49" s="115"/>
    </row>
    <row r="50" spans="1:10" ht="18" customHeight="1" x14ac:dyDescent="0.3">
      <c r="A50" s="2"/>
      <c r="D50" s="85" t="s">
        <v>1222</v>
      </c>
      <c r="E50" s="92"/>
      <c r="G50" s="91" t="s">
        <v>1156</v>
      </c>
      <c r="H50" s="2"/>
      <c r="I50" s="87"/>
      <c r="J50" s="115"/>
    </row>
    <row r="51" spans="1:10" ht="18" customHeight="1" x14ac:dyDescent="0.3">
      <c r="A51" s="2"/>
      <c r="D51" s="85" t="s">
        <v>1223</v>
      </c>
      <c r="E51" s="92"/>
      <c r="G51" s="91" t="s">
        <v>1156</v>
      </c>
      <c r="H51" s="2"/>
      <c r="I51" s="87"/>
      <c r="J51" s="115"/>
    </row>
    <row r="52" spans="1:10" ht="18" customHeight="1" x14ac:dyDescent="0.3">
      <c r="A52" s="2"/>
      <c r="D52" s="85" t="s">
        <v>1209</v>
      </c>
      <c r="E52" s="115" t="str">
        <f>CONCATENATE(VLOOKUP($G$1,'Übersicht GBU'!A:AB,24,FALSE)," (",VLOOKUP($G$1,'Übersicht GBU'!A:AB,25,FALSE),")")</f>
        <v>Beratung (siehe tätigkeitsspezifische Gefährdungsbeurteilung)</v>
      </c>
      <c r="G52" s="91" t="s">
        <v>1158</v>
      </c>
      <c r="H52" s="2"/>
    </row>
    <row r="53" spans="1:10" ht="18" customHeight="1" x14ac:dyDescent="0.3">
      <c r="A53" s="2"/>
      <c r="D53" s="85"/>
      <c r="E53" s="115"/>
      <c r="G53" s="91" t="s">
        <v>1156</v>
      </c>
      <c r="H53" s="2"/>
      <c r="I53" s="87"/>
      <c r="J53" s="115"/>
    </row>
    <row r="54" spans="1:10" ht="18" customHeight="1" x14ac:dyDescent="0.3">
      <c r="A54" s="2"/>
      <c r="D54" s="85" t="s">
        <v>1273</v>
      </c>
      <c r="E54" s="115"/>
      <c r="G54" s="91" t="s">
        <v>1156</v>
      </c>
      <c r="H54" s="2"/>
      <c r="I54" s="87"/>
      <c r="J54" s="115"/>
    </row>
    <row r="55" spans="1:10" ht="18" customHeight="1" x14ac:dyDescent="0.3">
      <c r="A55" s="2"/>
      <c r="D55" s="85" t="s">
        <v>1283</v>
      </c>
      <c r="E55" s="115"/>
      <c r="G55" s="91" t="s">
        <v>1156</v>
      </c>
      <c r="H55" s="2"/>
      <c r="I55" s="87"/>
      <c r="J55" s="115"/>
    </row>
    <row r="56" spans="1:10" ht="18" customHeight="1" x14ac:dyDescent="0.3">
      <c r="A56" s="2"/>
      <c r="D56" s="85"/>
      <c r="E56" s="115"/>
      <c r="G56" s="91" t="s">
        <v>1156</v>
      </c>
      <c r="H56" s="2"/>
    </row>
    <row r="57" spans="1:10" ht="15" customHeight="1" x14ac:dyDescent="0.3">
      <c r="A57" s="2"/>
      <c r="E57" s="119"/>
      <c r="H57" s="2"/>
    </row>
    <row r="58" spans="1:10" ht="18" customHeight="1" x14ac:dyDescent="0.3">
      <c r="A58" s="2"/>
      <c r="D58" s="93" t="s">
        <v>1284</v>
      </c>
      <c r="E58" s="115" t="s">
        <v>1274</v>
      </c>
      <c r="G58" s="91" t="s">
        <v>1158</v>
      </c>
      <c r="H58" s="2"/>
      <c r="I58" s="87"/>
      <c r="J58" s="115" t="s">
        <v>1274</v>
      </c>
    </row>
    <row r="59" spans="1:10" ht="18" customHeight="1" x14ac:dyDescent="0.3">
      <c r="A59" s="2"/>
      <c r="D59" s="85" t="s">
        <v>1497</v>
      </c>
      <c r="E59" s="92" t="str">
        <f>IF(VLOOKUP($G$1,'Übersicht GBU'!A:DJ,45,FALSE)="k. A.","keine Angabe",CONCATENATE(VLOOKUP($G$1,'Übersicht GBU'!A:DJ,45,FALSE),"°C"))</f>
        <v>-°C</v>
      </c>
      <c r="G59" s="91" t="s">
        <v>1158</v>
      </c>
      <c r="H59" s="2"/>
    </row>
    <row r="60" spans="1:10" ht="18" customHeight="1" x14ac:dyDescent="0.3">
      <c r="A60" s="2"/>
      <c r="D60" s="85" t="s">
        <v>1498</v>
      </c>
      <c r="E60" s="92" t="str">
        <f>IF(VLOOKUP($G$1,'Übersicht GBU'!A:DJ,46,FALSE)="k. A.","keine Angabe",CONCATENATE(VLOOKUP($G$1,'Übersicht GBU'!A:DJ,46,FALSE)," - ",VLOOKUP($G$1,'Übersicht GBU'!A:DJ,47,FALSE)," Vol.-%"))</f>
        <v xml:space="preserve"> -  Vol.-%</v>
      </c>
      <c r="G60" s="91" t="s">
        <v>1158</v>
      </c>
      <c r="H60" s="2"/>
    </row>
    <row r="61" spans="1:10" ht="18" customHeight="1" x14ac:dyDescent="0.3">
      <c r="A61" s="2"/>
      <c r="D61" s="85" t="s">
        <v>1285</v>
      </c>
      <c r="E61" s="92" t="s">
        <v>3</v>
      </c>
      <c r="G61" s="91" t="s">
        <v>1158</v>
      </c>
      <c r="H61" s="2"/>
      <c r="I61" s="87"/>
      <c r="J61" s="92" t="s">
        <v>3</v>
      </c>
    </row>
    <row r="62" spans="1:10" ht="18" customHeight="1" x14ac:dyDescent="0.3">
      <c r="A62" s="2"/>
      <c r="D62" s="85" t="s">
        <v>1286</v>
      </c>
      <c r="E62" s="92" t="s">
        <v>1278</v>
      </c>
      <c r="G62" s="91" t="s">
        <v>1158</v>
      </c>
      <c r="H62" s="2"/>
      <c r="I62" s="87"/>
      <c r="J62" s="92" t="s">
        <v>1278</v>
      </c>
    </row>
    <row r="63" spans="1:10" ht="18" customHeight="1" x14ac:dyDescent="0.3">
      <c r="A63" s="2"/>
      <c r="D63" s="85" t="s">
        <v>1276</v>
      </c>
      <c r="E63" s="92" t="s">
        <v>3</v>
      </c>
      <c r="G63" s="91" t="s">
        <v>1158</v>
      </c>
      <c r="H63" s="2"/>
      <c r="I63" s="87"/>
      <c r="J63" s="92" t="s">
        <v>3</v>
      </c>
    </row>
    <row r="64" spans="1:10" ht="18" customHeight="1" x14ac:dyDescent="0.3">
      <c r="A64" s="2"/>
      <c r="D64" s="85" t="s">
        <v>1289</v>
      </c>
      <c r="E64" s="92" t="s">
        <v>1277</v>
      </c>
      <c r="G64" s="91" t="s">
        <v>1158</v>
      </c>
      <c r="H64" s="2"/>
      <c r="I64" s="87"/>
      <c r="J64" s="92" t="s">
        <v>1277</v>
      </c>
    </row>
    <row r="65" spans="1:10" ht="18" customHeight="1" x14ac:dyDescent="0.3">
      <c r="A65" s="2"/>
      <c r="D65" s="85" t="s">
        <v>1115</v>
      </c>
      <c r="E65" s="115" t="str">
        <f>CONCATENATE(VLOOKUP($G$1,'Übersicht GBU'!A:AC,28,FALSE)," (",VLOOKUP($G$1,'Übersicht GBU'!A:AC,29,FALSE),")")</f>
        <v>Schutzleitfaden-PC170 (Brandschutzmaßnahmen)</v>
      </c>
      <c r="G65" s="91" t="s">
        <v>1158</v>
      </c>
      <c r="H65" s="2"/>
    </row>
    <row r="66" spans="1:10" ht="18" customHeight="1" x14ac:dyDescent="0.3">
      <c r="A66" s="2"/>
      <c r="D66" s="85"/>
      <c r="E66" s="115" t="s">
        <v>1275</v>
      </c>
      <c r="G66" s="91" t="s">
        <v>1158</v>
      </c>
      <c r="H66" s="2"/>
      <c r="I66" s="87"/>
      <c r="J66" s="115" t="s">
        <v>1275</v>
      </c>
    </row>
    <row r="67" spans="1:10" ht="15" customHeight="1" x14ac:dyDescent="0.3">
      <c r="A67" s="2"/>
      <c r="H67" s="2"/>
    </row>
    <row r="68" spans="1:10" ht="18" customHeight="1" x14ac:dyDescent="0.3">
      <c r="A68" s="2"/>
      <c r="D68" s="93" t="s">
        <v>1282</v>
      </c>
      <c r="E68" s="115" t="s">
        <v>1253</v>
      </c>
      <c r="G68" s="91" t="s">
        <v>1158</v>
      </c>
      <c r="H68" s="2"/>
      <c r="I68" s="87"/>
      <c r="J68" s="92"/>
    </row>
    <row r="69" spans="1:10" ht="18" customHeight="1" x14ac:dyDescent="0.3">
      <c r="A69" s="2"/>
      <c r="D69" s="93" t="s">
        <v>1280</v>
      </c>
      <c r="E69" s="92" t="s">
        <v>1253</v>
      </c>
      <c r="G69" s="91" t="s">
        <v>1158</v>
      </c>
      <c r="H69" s="2"/>
      <c r="I69" s="87"/>
      <c r="J69" s="92"/>
    </row>
    <row r="70" spans="1:10" ht="18" customHeight="1" x14ac:dyDescent="0.3">
      <c r="A70" s="2"/>
      <c r="D70" s="93" t="s">
        <v>1279</v>
      </c>
      <c r="E70" s="92"/>
      <c r="G70" s="91" t="s">
        <v>1156</v>
      </c>
      <c r="H70" s="2"/>
      <c r="I70" s="87"/>
      <c r="J70" s="92"/>
    </row>
    <row r="71" spans="1:10" ht="18" customHeight="1" x14ac:dyDescent="0.3">
      <c r="A71" s="2"/>
      <c r="D71" s="93" t="s">
        <v>1281</v>
      </c>
      <c r="E71" s="115" t="str">
        <f>VLOOKUP($G$1,'Übersicht GBU'!A:AW,49,FALSE)</f>
        <v>Substitutionen sind im Galvanikbereich nicht zielführend (vgl. ASA vom 05.05.2025)</v>
      </c>
      <c r="G71" s="91" t="s">
        <v>1158</v>
      </c>
      <c r="H71" s="2"/>
    </row>
    <row r="72" spans="1:10" ht="15" customHeight="1" x14ac:dyDescent="0.3">
      <c r="A72" s="2"/>
      <c r="H72" s="2"/>
    </row>
    <row r="73" spans="1:10" ht="15" customHeight="1" x14ac:dyDescent="0.3">
      <c r="A73" s="2"/>
      <c r="H73" s="2"/>
    </row>
    <row r="74" spans="1:10" ht="99" customHeight="1" x14ac:dyDescent="0.3">
      <c r="A74" s="2"/>
      <c r="D74" s="137" t="s">
        <v>2535</v>
      </c>
      <c r="E74" s="133" t="s">
        <v>2537</v>
      </c>
      <c r="G74" s="138"/>
      <c r="H74" s="2"/>
      <c r="I74" s="87"/>
      <c r="J74" s="92" t="s">
        <v>2536</v>
      </c>
    </row>
    <row r="75" spans="1:10" ht="15" customHeight="1" x14ac:dyDescent="0.3">
      <c r="A75" s="2"/>
      <c r="H75" s="2"/>
    </row>
    <row r="76" spans="1:10" ht="99" customHeight="1" x14ac:dyDescent="0.3">
      <c r="A76" s="2"/>
      <c r="D76" s="137" t="s">
        <v>2532</v>
      </c>
      <c r="E76" s="133"/>
      <c r="G76" s="138"/>
      <c r="H76" s="2"/>
      <c r="I76" s="87"/>
    </row>
    <row r="77" spans="1:10" ht="9" customHeight="1" x14ac:dyDescent="0.3">
      <c r="A77" s="2"/>
      <c r="H77" s="2"/>
    </row>
    <row r="78" spans="1:10" ht="24" customHeight="1" x14ac:dyDescent="0.3">
      <c r="A78" s="2"/>
      <c r="B78" s="57" t="s">
        <v>4</v>
      </c>
      <c r="C78" s="57" t="s">
        <v>6</v>
      </c>
      <c r="D78" s="64" t="s">
        <v>1083</v>
      </c>
      <c r="E78" s="69"/>
      <c r="F78" s="71"/>
      <c r="G78" s="70" t="s">
        <v>1157</v>
      </c>
      <c r="H78" s="2"/>
    </row>
    <row r="79" spans="1:10" ht="18.75" customHeight="1" x14ac:dyDescent="0.3">
      <c r="A79" s="2"/>
      <c r="B79" s="10" t="s">
        <v>1198</v>
      </c>
      <c r="C79" s="11"/>
      <c r="D79" s="12" t="s">
        <v>1197</v>
      </c>
      <c r="E79" s="32"/>
      <c r="F79" s="32"/>
      <c r="G79" s="120"/>
      <c r="H79" s="2"/>
    </row>
    <row r="80" spans="1:10" ht="18" customHeight="1" x14ac:dyDescent="0.3">
      <c r="A80" s="2"/>
      <c r="B80" s="88" t="s">
        <v>1198</v>
      </c>
      <c r="C80" s="89">
        <f>ROW(A80)-(ROW(A$79))</f>
        <v>1</v>
      </c>
      <c r="D80" s="139" t="s">
        <v>1290</v>
      </c>
      <c r="E80" s="140"/>
      <c r="F80" s="140"/>
      <c r="G80" s="121" t="s">
        <v>1158</v>
      </c>
      <c r="H80" s="2"/>
    </row>
    <row r="81" spans="1:8" ht="18.75" customHeight="1" x14ac:dyDescent="0.3">
      <c r="A81" s="2"/>
      <c r="B81" s="10" t="s">
        <v>1199</v>
      </c>
      <c r="C81" s="11"/>
      <c r="D81" s="12" t="s">
        <v>1152</v>
      </c>
      <c r="E81" s="32"/>
      <c r="F81" s="32"/>
      <c r="G81" s="120"/>
      <c r="H81" s="2"/>
    </row>
    <row r="82" spans="1:8" ht="18" customHeight="1" x14ac:dyDescent="0.3">
      <c r="A82" s="2"/>
      <c r="B82" s="88" t="s">
        <v>1199</v>
      </c>
      <c r="C82" s="89">
        <f>ROW(A82)-(ROW(A$81))</f>
        <v>1</v>
      </c>
      <c r="D82" s="139" t="s">
        <v>1188</v>
      </c>
      <c r="E82" s="140"/>
      <c r="F82" s="140"/>
      <c r="G82" s="121" t="s">
        <v>1158</v>
      </c>
      <c r="H82" s="2"/>
    </row>
    <row r="83" spans="1:8" ht="18" customHeight="1" x14ac:dyDescent="0.3">
      <c r="A83" s="2"/>
      <c r="B83" s="88" t="s">
        <v>1199</v>
      </c>
      <c r="C83" s="89">
        <f>ROW(A83)-(ROW(A$81))</f>
        <v>2</v>
      </c>
      <c r="D83" s="139" t="s">
        <v>1191</v>
      </c>
      <c r="E83" s="140"/>
      <c r="F83" s="140"/>
      <c r="G83" s="121" t="s">
        <v>1158</v>
      </c>
      <c r="H83" s="2"/>
    </row>
    <row r="84" spans="1:8" ht="18" customHeight="1" x14ac:dyDescent="0.3">
      <c r="A84" s="2"/>
      <c r="B84" s="88" t="s">
        <v>1199</v>
      </c>
      <c r="C84" s="89">
        <f>ROW(A84)-(ROW(A$81))</f>
        <v>3</v>
      </c>
      <c r="D84" s="139" t="s">
        <v>1178</v>
      </c>
      <c r="E84" s="140"/>
      <c r="F84" s="140"/>
      <c r="G84" s="121" t="s">
        <v>1156</v>
      </c>
      <c r="H84" s="2"/>
    </row>
    <row r="85" spans="1:8" ht="18" customHeight="1" x14ac:dyDescent="0.3">
      <c r="A85" s="2"/>
      <c r="B85" s="88" t="s">
        <v>1199</v>
      </c>
      <c r="C85" s="89">
        <f>ROW(A85)-(ROW(A$81))</f>
        <v>4</v>
      </c>
      <c r="D85" s="139" t="s">
        <v>1179</v>
      </c>
      <c r="E85" s="140"/>
      <c r="F85" s="140"/>
      <c r="G85" s="121" t="s">
        <v>1156</v>
      </c>
      <c r="H85" s="2"/>
    </row>
    <row r="86" spans="1:8" ht="18" customHeight="1" x14ac:dyDescent="0.3">
      <c r="A86" s="2"/>
      <c r="B86" s="88" t="s">
        <v>1199</v>
      </c>
      <c r="C86" s="89">
        <f>ROW(A86)-(ROW(A$81))</f>
        <v>5</v>
      </c>
      <c r="D86" s="139" t="s">
        <v>1189</v>
      </c>
      <c r="E86" s="140"/>
      <c r="F86" s="140"/>
      <c r="G86" s="121" t="s">
        <v>1156</v>
      </c>
      <c r="H86" s="2"/>
    </row>
    <row r="87" spans="1:8" ht="18.75" customHeight="1" x14ac:dyDescent="0.3">
      <c r="A87" s="2"/>
      <c r="B87" s="10" t="s">
        <v>1200</v>
      </c>
      <c r="C87" s="11"/>
      <c r="D87" s="12" t="s">
        <v>1153</v>
      </c>
      <c r="E87" s="32"/>
      <c r="F87" s="32"/>
      <c r="G87" s="120"/>
      <c r="H87" s="2"/>
    </row>
    <row r="88" spans="1:8" ht="18" customHeight="1" x14ac:dyDescent="0.3">
      <c r="A88" s="2"/>
      <c r="B88" s="88" t="s">
        <v>1200</v>
      </c>
      <c r="C88" s="89">
        <f>ROW(A88)-(ROW(A$87))</f>
        <v>1</v>
      </c>
      <c r="D88" s="139" t="s">
        <v>1170</v>
      </c>
      <c r="E88" s="140"/>
      <c r="F88" s="140"/>
      <c r="G88" s="121" t="s">
        <v>1158</v>
      </c>
      <c r="H88" s="2"/>
    </row>
    <row r="89" spans="1:8" ht="18" customHeight="1" x14ac:dyDescent="0.3">
      <c r="A89" s="2"/>
      <c r="B89" s="88" t="s">
        <v>1200</v>
      </c>
      <c r="C89" s="89">
        <f>ROW(A89)-(ROW(A$87))</f>
        <v>2</v>
      </c>
      <c r="D89" s="139" t="s">
        <v>1171</v>
      </c>
      <c r="E89" s="140"/>
      <c r="F89" s="140"/>
      <c r="G89" s="121" t="s">
        <v>1158</v>
      </c>
      <c r="H89" s="2"/>
    </row>
    <row r="90" spans="1:8" ht="18" customHeight="1" x14ac:dyDescent="0.3">
      <c r="A90" s="2"/>
      <c r="B90" s="88" t="s">
        <v>1200</v>
      </c>
      <c r="C90" s="89">
        <f>ROW(A90)-(ROW(A$87))</f>
        <v>3</v>
      </c>
      <c r="D90" s="139" t="s">
        <v>1190</v>
      </c>
      <c r="E90" s="140"/>
      <c r="F90" s="140"/>
      <c r="G90" s="121" t="s">
        <v>1158</v>
      </c>
      <c r="H90" s="2"/>
    </row>
    <row r="91" spans="1:8" ht="18" customHeight="1" x14ac:dyDescent="0.3">
      <c r="A91" s="2"/>
      <c r="B91" s="88" t="s">
        <v>1200</v>
      </c>
      <c r="C91" s="89">
        <f>ROW(A91)-(ROW(A$87))</f>
        <v>4</v>
      </c>
      <c r="D91" s="139" t="s">
        <v>1192</v>
      </c>
      <c r="E91" s="140"/>
      <c r="F91" s="140"/>
      <c r="G91" s="122" t="s">
        <v>1158</v>
      </c>
      <c r="H91" s="2"/>
    </row>
    <row r="92" spans="1:8" ht="18.75" customHeight="1" x14ac:dyDescent="0.3">
      <c r="A92" s="2"/>
      <c r="B92" s="10" t="s">
        <v>1201</v>
      </c>
      <c r="C92" s="11"/>
      <c r="D92" s="12" t="s">
        <v>1154</v>
      </c>
      <c r="E92" s="32"/>
      <c r="F92" s="32"/>
      <c r="G92" s="120"/>
      <c r="H92" s="2"/>
    </row>
    <row r="93" spans="1:8" ht="18" customHeight="1" x14ac:dyDescent="0.3">
      <c r="A93" s="2"/>
      <c r="B93" s="88" t="s">
        <v>1201</v>
      </c>
      <c r="C93" s="89">
        <f t="shared" ref="C93:C102" si="0">ROW(A93)-(ROW(A$92))</f>
        <v>1</v>
      </c>
      <c r="D93" s="139" t="s">
        <v>1167</v>
      </c>
      <c r="E93" s="140"/>
      <c r="F93" s="140"/>
      <c r="G93" s="121" t="s">
        <v>1158</v>
      </c>
      <c r="H93" s="2"/>
    </row>
    <row r="94" spans="1:8" ht="18" customHeight="1" x14ac:dyDescent="0.3">
      <c r="A94" s="2"/>
      <c r="B94" s="88" t="s">
        <v>1201</v>
      </c>
      <c r="C94" s="89">
        <f t="shared" si="0"/>
        <v>2</v>
      </c>
      <c r="D94" s="139" t="s">
        <v>1194</v>
      </c>
      <c r="E94" s="140"/>
      <c r="F94" s="140"/>
      <c r="G94" s="121" t="s">
        <v>1158</v>
      </c>
      <c r="H94" s="2"/>
    </row>
    <row r="95" spans="1:8" ht="18" customHeight="1" x14ac:dyDescent="0.3">
      <c r="A95" s="2"/>
      <c r="B95" s="88" t="s">
        <v>1201</v>
      </c>
      <c r="C95" s="89">
        <f t="shared" si="0"/>
        <v>3</v>
      </c>
      <c r="D95" s="139" t="s">
        <v>1204</v>
      </c>
      <c r="E95" s="140"/>
      <c r="F95" s="140"/>
      <c r="G95" s="121" t="s">
        <v>1158</v>
      </c>
      <c r="H95" s="2"/>
    </row>
    <row r="96" spans="1:8" ht="18" customHeight="1" x14ac:dyDescent="0.3">
      <c r="A96" s="2"/>
      <c r="B96" s="88" t="s">
        <v>1201</v>
      </c>
      <c r="C96" s="89">
        <f t="shared" si="0"/>
        <v>4</v>
      </c>
      <c r="D96" s="139" t="s">
        <v>1180</v>
      </c>
      <c r="E96" s="140"/>
      <c r="F96" s="140"/>
      <c r="G96" s="121" t="s">
        <v>1156</v>
      </c>
      <c r="H96" s="2"/>
    </row>
    <row r="97" spans="1:8" ht="18" customHeight="1" x14ac:dyDescent="0.3">
      <c r="A97" s="2"/>
      <c r="B97" s="88" t="s">
        <v>1201</v>
      </c>
      <c r="C97" s="89">
        <f t="shared" si="0"/>
        <v>5</v>
      </c>
      <c r="D97" s="139" t="s">
        <v>1160</v>
      </c>
      <c r="E97" s="140"/>
      <c r="F97" s="140"/>
      <c r="G97" s="121" t="s">
        <v>1156</v>
      </c>
      <c r="H97" s="2"/>
    </row>
    <row r="98" spans="1:8" ht="18" customHeight="1" x14ac:dyDescent="0.3">
      <c r="A98" s="2"/>
      <c r="B98" s="88" t="s">
        <v>1201</v>
      </c>
      <c r="C98" s="89">
        <f t="shared" si="0"/>
        <v>6</v>
      </c>
      <c r="D98" s="139" t="s">
        <v>1164</v>
      </c>
      <c r="E98" s="140"/>
      <c r="F98" s="140"/>
      <c r="G98" s="121" t="s">
        <v>1158</v>
      </c>
      <c r="H98" s="2"/>
    </row>
    <row r="99" spans="1:8" ht="18" customHeight="1" x14ac:dyDescent="0.3">
      <c r="A99" s="2"/>
      <c r="B99" s="88" t="s">
        <v>1201</v>
      </c>
      <c r="C99" s="89">
        <f t="shared" si="0"/>
        <v>7</v>
      </c>
      <c r="D99" s="139" t="s">
        <v>1168</v>
      </c>
      <c r="E99" s="140"/>
      <c r="F99" s="140"/>
      <c r="G99" s="121" t="s">
        <v>1158</v>
      </c>
      <c r="H99" s="2"/>
    </row>
    <row r="100" spans="1:8" ht="18" customHeight="1" x14ac:dyDescent="0.3">
      <c r="A100" s="2"/>
      <c r="B100" s="88" t="s">
        <v>1201</v>
      </c>
      <c r="C100" s="89">
        <f t="shared" si="0"/>
        <v>8</v>
      </c>
      <c r="D100" s="139" t="s">
        <v>1165</v>
      </c>
      <c r="E100" s="140"/>
      <c r="F100" s="140"/>
      <c r="G100" s="121" t="s">
        <v>1158</v>
      </c>
      <c r="H100" s="2"/>
    </row>
    <row r="101" spans="1:8" ht="18" customHeight="1" x14ac:dyDescent="0.3">
      <c r="A101" s="2"/>
      <c r="B101" s="88" t="s">
        <v>1201</v>
      </c>
      <c r="C101" s="89">
        <f t="shared" si="0"/>
        <v>9</v>
      </c>
      <c r="D101" s="139" t="s">
        <v>1207</v>
      </c>
      <c r="E101" s="140"/>
      <c r="F101" s="140"/>
      <c r="G101" s="121" t="s">
        <v>1156</v>
      </c>
      <c r="H101" s="2"/>
    </row>
    <row r="102" spans="1:8" ht="18" customHeight="1" x14ac:dyDescent="0.3">
      <c r="A102" s="2"/>
      <c r="B102" s="88" t="s">
        <v>1201</v>
      </c>
      <c r="C102" s="89">
        <f t="shared" si="0"/>
        <v>10</v>
      </c>
      <c r="D102" s="139" t="s">
        <v>1202</v>
      </c>
      <c r="E102" s="140"/>
      <c r="F102" s="140"/>
      <c r="G102" s="122" t="s">
        <v>1158</v>
      </c>
      <c r="H102" s="2"/>
    </row>
    <row r="103" spans="1:8" ht="18.75" customHeight="1" x14ac:dyDescent="0.3">
      <c r="A103" s="2"/>
      <c r="B103" s="10" t="s">
        <v>9</v>
      </c>
      <c r="C103" s="11"/>
      <c r="D103" s="12" t="s">
        <v>124</v>
      </c>
      <c r="E103" s="32"/>
      <c r="F103" s="32"/>
      <c r="G103" s="120"/>
      <c r="H103" s="2"/>
    </row>
    <row r="104" spans="1:8" ht="18" customHeight="1" x14ac:dyDescent="0.3">
      <c r="A104" s="2"/>
      <c r="B104" s="88">
        <v>1</v>
      </c>
      <c r="C104" s="89">
        <f>ROW(A104)-(ROW(A$103))</f>
        <v>1</v>
      </c>
      <c r="D104" s="139" t="s">
        <v>1184</v>
      </c>
      <c r="E104" s="140"/>
      <c r="F104" s="140"/>
      <c r="G104" s="136" t="s">
        <v>1156</v>
      </c>
      <c r="H104" s="2"/>
    </row>
    <row r="105" spans="1:8" ht="18" customHeight="1" x14ac:dyDescent="0.3">
      <c r="A105" s="2"/>
      <c r="B105" s="88">
        <v>1</v>
      </c>
      <c r="C105" s="89">
        <f>ROW(A105)-(ROW(A$103))</f>
        <v>2</v>
      </c>
      <c r="D105" s="139" t="s">
        <v>1205</v>
      </c>
      <c r="E105" s="140"/>
      <c r="F105" s="140"/>
      <c r="G105" s="121" t="s">
        <v>1156</v>
      </c>
      <c r="H105" s="2"/>
    </row>
    <row r="106" spans="1:8" ht="18" customHeight="1" x14ac:dyDescent="0.3">
      <c r="A106" s="2"/>
      <c r="B106" s="88">
        <v>1</v>
      </c>
      <c r="C106" s="89">
        <f>ROW(A106)-(ROW(A$103))</f>
        <v>3</v>
      </c>
      <c r="D106" s="139" t="s">
        <v>1193</v>
      </c>
      <c r="E106" s="140"/>
      <c r="F106" s="140"/>
      <c r="G106" s="122" t="s">
        <v>1156</v>
      </c>
      <c r="H106" s="2"/>
    </row>
    <row r="107" spans="1:8" ht="18.75" customHeight="1" x14ac:dyDescent="0.3">
      <c r="A107" s="2"/>
      <c r="B107" s="10" t="s">
        <v>17</v>
      </c>
      <c r="C107" s="11"/>
      <c r="D107" s="12" t="s">
        <v>1169</v>
      </c>
      <c r="E107" s="32"/>
      <c r="F107" s="32"/>
      <c r="G107" s="14"/>
      <c r="H107" s="2"/>
    </row>
    <row r="108" spans="1:8" ht="18" customHeight="1" x14ac:dyDescent="0.3">
      <c r="A108" s="2"/>
      <c r="B108" s="88">
        <v>2</v>
      </c>
      <c r="C108" s="89">
        <f>ROW(A108)-(ROW(A$107))</f>
        <v>1</v>
      </c>
      <c r="D108" s="139" t="s">
        <v>1185</v>
      </c>
      <c r="E108" s="140"/>
      <c r="F108" s="140"/>
      <c r="G108" s="121" t="s">
        <v>1156</v>
      </c>
      <c r="H108" s="2"/>
    </row>
    <row r="109" spans="1:8" ht="18" customHeight="1" x14ac:dyDescent="0.3">
      <c r="A109" s="2"/>
      <c r="B109" s="88">
        <v>2</v>
      </c>
      <c r="C109" s="89">
        <f>ROW(A109)-(ROW(A$107))</f>
        <v>2</v>
      </c>
      <c r="D109" s="139" t="s">
        <v>1195</v>
      </c>
      <c r="E109" s="140"/>
      <c r="F109" s="140"/>
      <c r="G109" s="121" t="s">
        <v>1156</v>
      </c>
      <c r="H109" s="2"/>
    </row>
    <row r="110" spans="1:8" ht="18" customHeight="1" x14ac:dyDescent="0.3">
      <c r="A110" s="2"/>
      <c r="B110" s="88">
        <v>2</v>
      </c>
      <c r="C110" s="89">
        <f>ROW(A110)-(ROW(A$107))</f>
        <v>3</v>
      </c>
      <c r="D110" s="139" t="s">
        <v>1186</v>
      </c>
      <c r="E110" s="140"/>
      <c r="F110" s="140"/>
      <c r="G110" s="121" t="s">
        <v>1156</v>
      </c>
      <c r="H110" s="2"/>
    </row>
    <row r="111" spans="1:8" ht="18" customHeight="1" x14ac:dyDescent="0.3">
      <c r="A111" s="2"/>
      <c r="B111" s="88">
        <v>2</v>
      </c>
      <c r="C111" s="89">
        <f>ROW(A111)-(ROW(A$107))</f>
        <v>4</v>
      </c>
      <c r="D111" s="139" t="s">
        <v>1196</v>
      </c>
      <c r="E111" s="140"/>
      <c r="F111" s="140"/>
      <c r="G111" s="122" t="s">
        <v>1156</v>
      </c>
      <c r="H111" s="2"/>
    </row>
    <row r="112" spans="1:8" ht="18.75" customHeight="1" x14ac:dyDescent="0.3">
      <c r="A112" s="2"/>
      <c r="B112" s="10" t="s">
        <v>24</v>
      </c>
      <c r="C112" s="11"/>
      <c r="D112" s="12" t="s">
        <v>1162</v>
      </c>
      <c r="E112" s="32"/>
      <c r="F112" s="32"/>
      <c r="G112" s="14"/>
      <c r="H112" s="2"/>
    </row>
    <row r="113" spans="1:8" ht="18" customHeight="1" x14ac:dyDescent="0.3">
      <c r="A113" s="2"/>
      <c r="B113" s="88">
        <v>3</v>
      </c>
      <c r="C113" s="89">
        <f>ROW(A113)-(ROW(A$112))</f>
        <v>1</v>
      </c>
      <c r="D113" s="139" t="s">
        <v>1163</v>
      </c>
      <c r="E113" s="140"/>
      <c r="F113" s="140"/>
      <c r="G113" s="136" t="s">
        <v>1156</v>
      </c>
      <c r="H113" s="2"/>
    </row>
    <row r="114" spans="1:8" ht="18" customHeight="1" x14ac:dyDescent="0.3">
      <c r="A114" s="2"/>
      <c r="B114" s="88">
        <v>3</v>
      </c>
      <c r="C114" s="89">
        <f>ROW(A114)-(ROW(A$112))</f>
        <v>2</v>
      </c>
      <c r="D114" s="139" t="s">
        <v>1177</v>
      </c>
      <c r="E114" s="140"/>
      <c r="F114" s="140"/>
      <c r="G114" s="122" t="s">
        <v>1156</v>
      </c>
      <c r="H114" s="2"/>
    </row>
    <row r="115" spans="1:8" ht="18.75" customHeight="1" x14ac:dyDescent="0.3">
      <c r="A115" s="2"/>
      <c r="B115" s="10" t="s">
        <v>26</v>
      </c>
      <c r="C115" s="11"/>
      <c r="D115" s="12" t="s">
        <v>1155</v>
      </c>
      <c r="E115" s="32"/>
      <c r="F115" s="32"/>
      <c r="G115" s="120"/>
      <c r="H115" s="2"/>
    </row>
    <row r="116" spans="1:8" ht="18" customHeight="1" x14ac:dyDescent="0.3">
      <c r="A116" s="2"/>
      <c r="B116" s="88">
        <v>4</v>
      </c>
      <c r="C116" s="89">
        <f>ROW(A116)-(ROW(A$115))</f>
        <v>1</v>
      </c>
      <c r="D116" s="139" t="s">
        <v>1166</v>
      </c>
      <c r="E116" s="140"/>
      <c r="F116" s="140"/>
      <c r="G116" s="121" t="s">
        <v>1158</v>
      </c>
      <c r="H116" s="2"/>
    </row>
    <row r="117" spans="1:8" ht="18" customHeight="1" x14ac:dyDescent="0.3">
      <c r="A117" s="2"/>
      <c r="B117" s="88">
        <v>4</v>
      </c>
      <c r="C117" s="89">
        <f>ROW(A117)-(ROW(A$115))</f>
        <v>2</v>
      </c>
      <c r="D117" s="139" t="s">
        <v>1161</v>
      </c>
      <c r="E117" s="140"/>
      <c r="F117" s="140"/>
      <c r="G117" s="122" t="s">
        <v>1158</v>
      </c>
      <c r="H117" s="2"/>
    </row>
    <row r="118" spans="1:8" ht="18.75" customHeight="1" x14ac:dyDescent="0.3">
      <c r="A118" s="2"/>
      <c r="B118" s="10" t="s">
        <v>41</v>
      </c>
      <c r="C118" s="11"/>
      <c r="D118" s="12"/>
      <c r="E118" s="32"/>
      <c r="F118" s="32"/>
      <c r="G118" s="14"/>
      <c r="H118" s="2"/>
    </row>
    <row r="119" spans="1:8" ht="18" customHeight="1" x14ac:dyDescent="0.3">
      <c r="A119" s="2"/>
      <c r="B119" s="88">
        <v>5</v>
      </c>
      <c r="C119" s="89">
        <f>ROW(A119)-(ROW(A$118))</f>
        <v>1</v>
      </c>
      <c r="D119" s="139"/>
      <c r="E119" s="140"/>
      <c r="F119" s="140"/>
      <c r="G119" s="136" t="s">
        <v>1156</v>
      </c>
      <c r="H119" s="2"/>
    </row>
    <row r="120" spans="1:8" ht="18" customHeight="1" x14ac:dyDescent="0.3">
      <c r="A120" s="2"/>
      <c r="B120" s="88">
        <v>5</v>
      </c>
      <c r="C120" s="89">
        <f t="shared" ref="C120:C121" si="1">ROW(A120)-(ROW(A$118))</f>
        <v>2</v>
      </c>
      <c r="D120" s="139"/>
      <c r="E120" s="140"/>
      <c r="F120" s="140"/>
      <c r="G120" s="121" t="s">
        <v>1156</v>
      </c>
      <c r="H120" s="2"/>
    </row>
    <row r="121" spans="1:8" ht="18" customHeight="1" x14ac:dyDescent="0.3">
      <c r="A121" s="2"/>
      <c r="B121" s="88">
        <v>5</v>
      </c>
      <c r="C121" s="89">
        <f t="shared" si="1"/>
        <v>3</v>
      </c>
      <c r="D121" s="139"/>
      <c r="E121" s="140"/>
      <c r="F121" s="140"/>
      <c r="G121" s="122" t="s">
        <v>1156</v>
      </c>
      <c r="H121" s="2"/>
    </row>
    <row r="122" spans="1:8" ht="18.75" customHeight="1" x14ac:dyDescent="0.3">
      <c r="A122" s="2"/>
      <c r="B122" s="2"/>
      <c r="C122" s="2"/>
      <c r="D122" s="2"/>
      <c r="E122" s="2"/>
      <c r="F122" s="2"/>
      <c r="G122" s="2"/>
      <c r="H122" s="2"/>
    </row>
    <row r="123" spans="1:8" s="4" customFormat="1" ht="18.75" customHeight="1" x14ac:dyDescent="0.3">
      <c r="A123" s="1"/>
      <c r="B123" s="3"/>
      <c r="C123" s="3"/>
      <c r="D123" s="1"/>
      <c r="E123" s="1"/>
      <c r="F123" s="1"/>
      <c r="G123" s="1"/>
      <c r="H123" s="1"/>
    </row>
    <row r="124" spans="1:8" s="4" customFormat="1" ht="18.75" customHeight="1" x14ac:dyDescent="0.3">
      <c r="A124" s="1"/>
      <c r="B124" s="3"/>
      <c r="C124" s="3"/>
      <c r="D124" s="1"/>
      <c r="E124" s="1"/>
      <c r="F124" s="1"/>
      <c r="G124" s="1"/>
      <c r="H124" s="1"/>
    </row>
    <row r="125" spans="1:8" s="4" customFormat="1" ht="18.75" customHeight="1" x14ac:dyDescent="0.3">
      <c r="A125" s="1"/>
      <c r="B125" s="3"/>
      <c r="C125" s="3"/>
      <c r="D125" s="1"/>
      <c r="E125" s="1"/>
      <c r="F125" s="1"/>
      <c r="G125" s="1"/>
      <c r="H125" s="1"/>
    </row>
    <row r="126" spans="1:8" s="4" customFormat="1" ht="18.75" customHeight="1" x14ac:dyDescent="0.3">
      <c r="A126" s="1"/>
      <c r="B126" s="3"/>
      <c r="C126" s="3"/>
      <c r="D126" s="1"/>
      <c r="E126" s="1"/>
      <c r="F126" s="1"/>
      <c r="G126" s="1"/>
      <c r="H126" s="1"/>
    </row>
    <row r="127" spans="1:8" s="4" customFormat="1" ht="18.75" customHeight="1" x14ac:dyDescent="0.3">
      <c r="A127" s="1"/>
      <c r="B127" s="3"/>
      <c r="C127" s="3"/>
      <c r="D127" s="1"/>
      <c r="E127" s="1"/>
      <c r="F127" s="1"/>
      <c r="G127" s="1"/>
      <c r="H127" s="1"/>
    </row>
    <row r="128" spans="1:8" s="4" customFormat="1" ht="18.75" customHeight="1" x14ac:dyDescent="0.3">
      <c r="A128" s="1"/>
      <c r="B128" s="3"/>
      <c r="C128" s="3"/>
      <c r="D128" s="1"/>
      <c r="E128" s="1"/>
      <c r="F128" s="1"/>
      <c r="G128" s="1"/>
      <c r="H128" s="1"/>
    </row>
    <row r="129" spans="1:8" s="4" customFormat="1" ht="18.75" customHeight="1" x14ac:dyDescent="0.3">
      <c r="A129" s="1"/>
      <c r="B129" s="3"/>
      <c r="C129" s="3"/>
      <c r="D129" s="1"/>
      <c r="E129" s="1"/>
      <c r="F129" s="1"/>
      <c r="G129" s="1"/>
      <c r="H129" s="1"/>
    </row>
    <row r="130" spans="1:8" s="4" customFormat="1" ht="18.75" customHeight="1" x14ac:dyDescent="0.3">
      <c r="A130" s="1"/>
      <c r="B130" s="3"/>
      <c r="C130" s="3"/>
      <c r="D130" s="1"/>
      <c r="E130" s="1"/>
      <c r="F130" s="1"/>
      <c r="G130" s="1"/>
      <c r="H130" s="1"/>
    </row>
    <row r="131" spans="1:8" s="4" customFormat="1" ht="18.75" customHeight="1" x14ac:dyDescent="0.3">
      <c r="A131" s="1"/>
      <c r="B131" s="3"/>
      <c r="C131" s="3"/>
      <c r="D131" s="1"/>
      <c r="E131" s="1"/>
      <c r="F131" s="1"/>
      <c r="G131" s="1"/>
      <c r="H131" s="1"/>
    </row>
    <row r="132" spans="1:8" s="4" customFormat="1" ht="18.75" customHeight="1" x14ac:dyDescent="0.3">
      <c r="A132" s="1"/>
      <c r="B132" s="3"/>
      <c r="C132" s="3"/>
      <c r="D132" s="1"/>
      <c r="E132" s="1"/>
      <c r="F132" s="1"/>
      <c r="G132" s="1"/>
      <c r="H132" s="1"/>
    </row>
    <row r="133" spans="1:8" s="4" customFormat="1" ht="18.75" customHeight="1" x14ac:dyDescent="0.3">
      <c r="A133" s="1"/>
      <c r="B133" s="3"/>
      <c r="C133" s="3"/>
      <c r="D133" s="1"/>
      <c r="E133" s="1"/>
      <c r="F133" s="1"/>
      <c r="G133" s="1"/>
      <c r="H133" s="1"/>
    </row>
    <row r="134" spans="1:8" s="4" customFormat="1" ht="18.75" customHeight="1" x14ac:dyDescent="0.3">
      <c r="A134" s="1"/>
      <c r="B134" s="3"/>
      <c r="C134" s="3"/>
      <c r="D134" s="1"/>
      <c r="E134" s="1"/>
      <c r="F134" s="1"/>
      <c r="G134" s="1"/>
      <c r="H134" s="1"/>
    </row>
    <row r="135" spans="1:8" s="4" customFormat="1" ht="18.75" customHeight="1" x14ac:dyDescent="0.3">
      <c r="A135" s="1"/>
      <c r="B135" s="3"/>
      <c r="C135" s="3"/>
      <c r="D135" s="1"/>
      <c r="E135" s="1"/>
      <c r="F135" s="1"/>
      <c r="G135" s="1"/>
      <c r="H135" s="1"/>
    </row>
    <row r="136" spans="1:8" s="4" customFormat="1" ht="18.75" customHeight="1" x14ac:dyDescent="0.3">
      <c r="A136" s="1"/>
      <c r="B136" s="3"/>
      <c r="C136" s="3"/>
      <c r="D136" s="1"/>
      <c r="E136" s="1"/>
      <c r="F136" s="1"/>
      <c r="G136" s="1"/>
      <c r="H136" s="1"/>
    </row>
    <row r="137" spans="1:8" s="4" customFormat="1" ht="18.75" customHeight="1" x14ac:dyDescent="0.3">
      <c r="A137" s="1"/>
      <c r="B137" s="3"/>
      <c r="C137" s="3"/>
      <c r="D137" s="1"/>
      <c r="E137" s="1"/>
      <c r="F137" s="1"/>
      <c r="G137" s="1"/>
      <c r="H137" s="1"/>
    </row>
    <row r="138" spans="1:8" s="4" customFormat="1" ht="18.75" customHeight="1" x14ac:dyDescent="0.3">
      <c r="A138" s="1"/>
      <c r="B138" s="3"/>
      <c r="C138" s="3"/>
      <c r="D138" s="1"/>
      <c r="E138" s="1"/>
      <c r="F138" s="1"/>
      <c r="G138" s="1"/>
      <c r="H138" s="1"/>
    </row>
    <row r="139" spans="1:8" s="4" customFormat="1" ht="18.75" customHeight="1" x14ac:dyDescent="0.3">
      <c r="A139" s="1"/>
      <c r="B139" s="3"/>
      <c r="C139" s="3"/>
      <c r="D139" s="1"/>
      <c r="E139" s="1"/>
      <c r="F139" s="1"/>
      <c r="G139" s="1"/>
      <c r="H139" s="1"/>
    </row>
    <row r="140" spans="1:8" s="4" customFormat="1" ht="18.75" customHeight="1" x14ac:dyDescent="0.3">
      <c r="A140" s="1"/>
      <c r="B140" s="3"/>
      <c r="C140" s="3"/>
      <c r="D140" s="1"/>
      <c r="E140" s="1"/>
      <c r="F140" s="1"/>
      <c r="G140" s="1"/>
      <c r="H140" s="1"/>
    </row>
    <row r="141" spans="1:8" s="4" customFormat="1" ht="18.75" customHeight="1" x14ac:dyDescent="0.3">
      <c r="A141" s="1"/>
      <c r="B141" s="3"/>
      <c r="C141" s="3"/>
      <c r="D141" s="1"/>
      <c r="E141" s="1"/>
      <c r="F141" s="1"/>
      <c r="G141" s="1"/>
      <c r="H141" s="1"/>
    </row>
    <row r="142" spans="1:8" s="4" customFormat="1" ht="18.75" customHeight="1" x14ac:dyDescent="0.3">
      <c r="A142" s="1"/>
      <c r="B142" s="3"/>
      <c r="C142" s="3"/>
      <c r="D142" s="1"/>
      <c r="E142" s="1"/>
      <c r="F142" s="1"/>
      <c r="G142" s="1"/>
      <c r="H142" s="1"/>
    </row>
    <row r="143" spans="1:8" s="4" customFormat="1" ht="18.75" customHeight="1" x14ac:dyDescent="0.3">
      <c r="A143" s="1"/>
      <c r="B143" s="3"/>
      <c r="C143" s="3"/>
      <c r="D143" s="1"/>
      <c r="E143" s="1"/>
      <c r="F143" s="1"/>
      <c r="G143" s="1"/>
      <c r="H143" s="1"/>
    </row>
    <row r="144" spans="1:8" s="4" customFormat="1" ht="18.75" customHeight="1" x14ac:dyDescent="0.3">
      <c r="A144" s="1"/>
      <c r="B144" s="3"/>
      <c r="C144" s="3"/>
      <c r="D144" s="1"/>
      <c r="E144" s="1"/>
      <c r="F144" s="1"/>
      <c r="G144" s="1"/>
      <c r="H144" s="1"/>
    </row>
    <row r="145" spans="1:8" s="4" customFormat="1" ht="18.75" customHeight="1" x14ac:dyDescent="0.3">
      <c r="A145" s="1"/>
      <c r="B145" s="3"/>
      <c r="C145" s="3"/>
      <c r="D145" s="1"/>
      <c r="E145" s="1"/>
      <c r="F145" s="1"/>
      <c r="G145" s="1"/>
      <c r="H145" s="1"/>
    </row>
    <row r="146" spans="1:8" s="4" customFormat="1" ht="18.75" customHeight="1" x14ac:dyDescent="0.3">
      <c r="A146" s="1"/>
      <c r="B146" s="3"/>
      <c r="C146" s="3"/>
      <c r="D146" s="1"/>
      <c r="E146" s="1"/>
      <c r="F146" s="1"/>
      <c r="G146" s="1"/>
      <c r="H146" s="1"/>
    </row>
    <row r="147" spans="1:8" s="4" customFormat="1" ht="18.75" customHeight="1" x14ac:dyDescent="0.3">
      <c r="A147" s="1"/>
      <c r="B147" s="3"/>
      <c r="C147" s="3"/>
      <c r="D147" s="1"/>
      <c r="E147" s="1"/>
      <c r="F147" s="1"/>
      <c r="G147" s="1"/>
      <c r="H147" s="1"/>
    </row>
    <row r="148" spans="1:8" s="4" customFormat="1" ht="18.75" customHeight="1" x14ac:dyDescent="0.3">
      <c r="A148" s="1"/>
      <c r="B148" s="3"/>
      <c r="C148" s="3"/>
      <c r="D148" s="1"/>
      <c r="E148" s="1"/>
      <c r="F148" s="1"/>
      <c r="G148" s="1"/>
      <c r="H148" s="1"/>
    </row>
    <row r="149" spans="1:8" s="4" customFormat="1" ht="18.75" customHeight="1" x14ac:dyDescent="0.3">
      <c r="A149" s="1"/>
      <c r="B149" s="3"/>
      <c r="C149" s="3"/>
      <c r="D149" s="1"/>
      <c r="E149" s="1"/>
      <c r="F149" s="1"/>
      <c r="G149" s="1"/>
      <c r="H149" s="1"/>
    </row>
    <row r="150" spans="1:8" s="4" customFormat="1" ht="18.75" customHeight="1" x14ac:dyDescent="0.3">
      <c r="A150" s="1"/>
      <c r="B150" s="3"/>
      <c r="C150" s="3"/>
      <c r="D150" s="1"/>
      <c r="E150" s="1"/>
      <c r="F150" s="1"/>
      <c r="G150" s="1"/>
      <c r="H150" s="1"/>
    </row>
    <row r="151" spans="1:8" s="4" customFormat="1" ht="18.75" customHeight="1" x14ac:dyDescent="0.3">
      <c r="A151" s="1"/>
      <c r="B151" s="3"/>
      <c r="C151" s="3"/>
      <c r="D151" s="1"/>
      <c r="E151" s="1"/>
      <c r="F151" s="1"/>
      <c r="G151" s="1"/>
      <c r="H151" s="1"/>
    </row>
    <row r="152" spans="1:8" s="4" customFormat="1" ht="18.75" customHeight="1" x14ac:dyDescent="0.3">
      <c r="A152" s="1"/>
      <c r="B152" s="3"/>
      <c r="C152" s="3"/>
      <c r="D152" s="1"/>
      <c r="E152" s="1"/>
      <c r="F152" s="1"/>
      <c r="G152" s="1"/>
      <c r="H152" s="1"/>
    </row>
    <row r="153" spans="1:8" s="4" customFormat="1" ht="18.75" customHeight="1" x14ac:dyDescent="0.3">
      <c r="A153" s="1"/>
      <c r="B153" s="3"/>
      <c r="C153" s="3"/>
      <c r="D153" s="1"/>
      <c r="E153" s="1"/>
      <c r="F153" s="1"/>
      <c r="G153" s="1"/>
      <c r="H153" s="1"/>
    </row>
    <row r="154" spans="1:8" s="4" customFormat="1" ht="18.75" customHeight="1" x14ac:dyDescent="0.3">
      <c r="A154" s="1"/>
      <c r="B154" s="3"/>
      <c r="C154" s="3"/>
      <c r="D154" s="1"/>
      <c r="E154" s="1"/>
      <c r="F154" s="1"/>
      <c r="G154" s="1"/>
      <c r="H154" s="1"/>
    </row>
    <row r="155" spans="1:8" s="4" customFormat="1" ht="18.75" customHeight="1" x14ac:dyDescent="0.3">
      <c r="A155" s="1"/>
      <c r="B155" s="3"/>
      <c r="C155" s="3"/>
      <c r="D155" s="1"/>
      <c r="E155" s="1"/>
      <c r="F155" s="1"/>
      <c r="G155" s="1"/>
      <c r="H155" s="1"/>
    </row>
    <row r="156" spans="1:8" s="4" customFormat="1" ht="18.75" customHeight="1" x14ac:dyDescent="0.3">
      <c r="A156" s="1"/>
      <c r="B156" s="3"/>
      <c r="C156" s="3"/>
      <c r="D156" s="1"/>
      <c r="E156" s="1"/>
      <c r="F156" s="1"/>
      <c r="G156" s="1"/>
      <c r="H156" s="1"/>
    </row>
    <row r="157" spans="1:8" s="4" customFormat="1" ht="18.75" customHeight="1" x14ac:dyDescent="0.3">
      <c r="A157" s="1"/>
      <c r="B157" s="3"/>
      <c r="C157" s="3"/>
      <c r="D157" s="1"/>
      <c r="E157" s="1"/>
      <c r="F157" s="1"/>
      <c r="G157" s="1"/>
      <c r="H157" s="1"/>
    </row>
    <row r="158" spans="1:8" s="4" customFormat="1" ht="18.75" customHeight="1" x14ac:dyDescent="0.3">
      <c r="A158" s="1"/>
      <c r="B158" s="3"/>
      <c r="C158" s="3"/>
      <c r="D158" s="1"/>
      <c r="E158" s="1"/>
      <c r="F158" s="1"/>
      <c r="G158" s="1"/>
      <c r="H158" s="1"/>
    </row>
    <row r="159" spans="1:8" s="4" customFormat="1" ht="18.75" customHeight="1" x14ac:dyDescent="0.3">
      <c r="A159" s="1"/>
      <c r="B159" s="3"/>
      <c r="C159" s="3"/>
      <c r="D159" s="1"/>
      <c r="E159" s="1"/>
      <c r="F159" s="1"/>
      <c r="G159" s="1"/>
      <c r="H159" s="1"/>
    </row>
    <row r="160" spans="1:8" s="4" customFormat="1" ht="18.75" customHeight="1" x14ac:dyDescent="0.3">
      <c r="A160" s="1"/>
      <c r="B160" s="3"/>
      <c r="C160" s="3"/>
      <c r="D160" s="1"/>
      <c r="E160" s="1"/>
      <c r="F160" s="1"/>
      <c r="G160" s="1"/>
      <c r="H160" s="1"/>
    </row>
    <row r="161" spans="1:8" s="4" customFormat="1" ht="18.75" customHeight="1" x14ac:dyDescent="0.3">
      <c r="A161" s="1"/>
      <c r="B161" s="3"/>
      <c r="C161" s="3"/>
      <c r="D161" s="1"/>
      <c r="E161" s="1"/>
      <c r="F161" s="1"/>
      <c r="G161" s="1"/>
      <c r="H161" s="1"/>
    </row>
    <row r="162" spans="1:8" s="4" customFormat="1" ht="18.75" customHeight="1" x14ac:dyDescent="0.3">
      <c r="A162" s="1"/>
      <c r="B162" s="3"/>
      <c r="C162" s="3"/>
      <c r="D162" s="1"/>
      <c r="E162" s="1"/>
      <c r="F162" s="1"/>
      <c r="G162" s="1"/>
      <c r="H162" s="1"/>
    </row>
    <row r="163" spans="1:8" s="4" customFormat="1" ht="18.75" customHeight="1" x14ac:dyDescent="0.3">
      <c r="A163" s="1"/>
      <c r="B163" s="3"/>
      <c r="C163" s="3"/>
      <c r="D163" s="1"/>
      <c r="E163" s="1"/>
      <c r="F163" s="1"/>
      <c r="G163" s="1"/>
      <c r="H163" s="1"/>
    </row>
    <row r="164" spans="1:8" s="4" customFormat="1" ht="18.75" customHeight="1" x14ac:dyDescent="0.3">
      <c r="A164" s="1"/>
      <c r="B164" s="3"/>
      <c r="C164" s="3"/>
      <c r="D164" s="1"/>
      <c r="E164" s="1"/>
      <c r="F164" s="1"/>
      <c r="G164" s="1"/>
      <c r="H164" s="1"/>
    </row>
    <row r="165" spans="1:8" s="4" customFormat="1" ht="18.75" customHeight="1" x14ac:dyDescent="0.3">
      <c r="A165" s="1"/>
      <c r="B165" s="3"/>
      <c r="C165" s="3"/>
      <c r="D165" s="1"/>
      <c r="E165" s="1"/>
      <c r="F165" s="1"/>
      <c r="G165" s="1"/>
      <c r="H165" s="1"/>
    </row>
    <row r="166" spans="1:8" s="4" customFormat="1" ht="18.75" customHeight="1" x14ac:dyDescent="0.3">
      <c r="A166" s="1"/>
      <c r="B166" s="3"/>
      <c r="C166" s="3"/>
      <c r="D166" s="1"/>
      <c r="E166" s="1"/>
      <c r="F166" s="1"/>
      <c r="G166" s="1"/>
      <c r="H166" s="1"/>
    </row>
    <row r="167" spans="1:8" s="4" customFormat="1" ht="18.75" customHeight="1" x14ac:dyDescent="0.3">
      <c r="A167" s="1"/>
      <c r="B167" s="3"/>
      <c r="C167" s="3"/>
      <c r="D167" s="1"/>
      <c r="E167" s="1"/>
      <c r="F167" s="1"/>
      <c r="G167" s="1"/>
      <c r="H167" s="1"/>
    </row>
    <row r="168" spans="1:8" s="4" customFormat="1" ht="18.75" customHeight="1" x14ac:dyDescent="0.3">
      <c r="A168" s="1"/>
      <c r="B168" s="3"/>
      <c r="C168" s="3"/>
      <c r="D168" s="1"/>
      <c r="E168" s="1"/>
      <c r="F168" s="1"/>
      <c r="G168" s="1"/>
      <c r="H168" s="1"/>
    </row>
    <row r="169" spans="1:8" s="4" customFormat="1" ht="18.75" customHeight="1" x14ac:dyDescent="0.3">
      <c r="A169" s="1"/>
      <c r="B169" s="3"/>
      <c r="C169" s="3"/>
      <c r="D169" s="1"/>
      <c r="E169" s="1"/>
      <c r="F169" s="1"/>
      <c r="G169" s="1"/>
      <c r="H169" s="1"/>
    </row>
    <row r="170" spans="1:8" s="4" customFormat="1" ht="18.75" customHeight="1" x14ac:dyDescent="0.3">
      <c r="A170" s="1"/>
      <c r="B170" s="3"/>
      <c r="C170" s="3"/>
      <c r="D170" s="1"/>
      <c r="E170" s="1"/>
      <c r="F170" s="1"/>
      <c r="G170" s="1"/>
      <c r="H170" s="1"/>
    </row>
    <row r="171" spans="1:8" s="4" customFormat="1" ht="18.75" customHeight="1" x14ac:dyDescent="0.3">
      <c r="A171" s="1"/>
      <c r="B171" s="3"/>
      <c r="C171" s="3"/>
      <c r="D171" s="1"/>
      <c r="E171" s="1"/>
      <c r="F171" s="1"/>
      <c r="G171" s="1"/>
      <c r="H171" s="1"/>
    </row>
    <row r="172" spans="1:8" s="4" customFormat="1" ht="18.75" customHeight="1" x14ac:dyDescent="0.3">
      <c r="A172" s="1"/>
      <c r="B172" s="3"/>
      <c r="C172" s="3"/>
      <c r="D172" s="1"/>
      <c r="E172" s="1"/>
      <c r="F172" s="1"/>
      <c r="G172" s="1"/>
      <c r="H172" s="1"/>
    </row>
    <row r="173" spans="1:8" s="4" customFormat="1" ht="18.75" customHeight="1" x14ac:dyDescent="0.3">
      <c r="A173" s="1"/>
      <c r="B173" s="3"/>
      <c r="C173" s="3"/>
      <c r="D173" s="1"/>
      <c r="E173" s="1"/>
      <c r="F173" s="1"/>
      <c r="G173" s="1"/>
      <c r="H173" s="1"/>
    </row>
    <row r="174" spans="1:8" s="4" customFormat="1" ht="18.75" customHeight="1" x14ac:dyDescent="0.3">
      <c r="A174" s="1"/>
      <c r="B174" s="3"/>
      <c r="C174" s="3"/>
      <c r="D174" s="1"/>
      <c r="E174" s="1"/>
      <c r="F174" s="1"/>
      <c r="G174" s="1"/>
      <c r="H174" s="1"/>
    </row>
  </sheetData>
  <mergeCells count="34">
    <mergeCell ref="D116:F116"/>
    <mergeCell ref="D117:F117"/>
    <mergeCell ref="D119:F119"/>
    <mergeCell ref="D120:F120"/>
    <mergeCell ref="D121:F121"/>
    <mergeCell ref="D110:F110"/>
    <mergeCell ref="D111:F111"/>
    <mergeCell ref="D113:F113"/>
    <mergeCell ref="D114:F114"/>
    <mergeCell ref="D104:F104"/>
    <mergeCell ref="D105:F105"/>
    <mergeCell ref="D106:F106"/>
    <mergeCell ref="D108:F108"/>
    <mergeCell ref="D109:F109"/>
    <mergeCell ref="D98:F98"/>
    <mergeCell ref="D99:F99"/>
    <mergeCell ref="D100:F100"/>
    <mergeCell ref="D101:F101"/>
    <mergeCell ref="D102:F102"/>
    <mergeCell ref="D93:F93"/>
    <mergeCell ref="D94:F94"/>
    <mergeCell ref="D95:F95"/>
    <mergeCell ref="D96:F96"/>
    <mergeCell ref="D97:F97"/>
    <mergeCell ref="D86:F86"/>
    <mergeCell ref="D88:F88"/>
    <mergeCell ref="D89:F89"/>
    <mergeCell ref="D90:F90"/>
    <mergeCell ref="D91:F91"/>
    <mergeCell ref="D80:F80"/>
    <mergeCell ref="D82:F82"/>
    <mergeCell ref="D83:F83"/>
    <mergeCell ref="D84:F84"/>
    <mergeCell ref="D85:F85"/>
  </mergeCells>
  <dataValidations count="2">
    <dataValidation allowBlank="1" sqref="G78" xr:uid="{5EDDC329-28A1-4DBE-B2E0-0AF489A65564}"/>
    <dataValidation type="list" errorStyle="warning" allowBlank="1" showInputMessage="1" showErrorMessage="1" errorTitle="Handlungsbedarf" error="Bitte geben Sie eine gültige Antwort ein:_x000a_ja, nein, prüfen" sqref="G88:G91 G58:G66 G82:G86 G80 G93:G102 G36:G47 G49:G56 G104:G121 G68:G71 G76 G74" xr:uid="{27F7E369-BDD7-47D8-A06C-0D5478CCA428}">
      <formula1>Handlungsbedarf</formula1>
    </dataValidation>
  </dataValidations>
  <printOptions horizontalCentered="1"/>
  <pageMargins left="0.39370078740157483" right="0.39370078740157483" top="0.39370078740157483" bottom="0.47244094488188981" header="0.31496062992125984" footer="0.19685039370078741"/>
  <pageSetup paperSize="9" scale="80" fitToHeight="3" orientation="portrait" r:id="rId1"/>
  <headerFooter>
    <oddFooter>&amp;L&amp;G&amp;C&amp;"Arial,Standard"&amp;9GBU &amp;A&amp;R&amp;"Arial,Standard"&amp;9Seite &amp;P / &amp;N</oddFooter>
  </headerFooter>
  <rowBreaks count="2" manualBreakCount="2">
    <brk id="33" min="1" max="6" man="1"/>
    <brk id="77" min="1" max="6" man="1"/>
  </rowBreaks>
  <drawing r:id="rId2"/>
  <legacyDrawingHF r:id="rId3"/>
  <extLst>
    <ext xmlns:x14="http://schemas.microsoft.com/office/spreadsheetml/2009/9/main" uri="{78C0D931-6437-407d-A8EE-F0AAD7539E65}">
      <x14:conditionalFormattings>
        <x14:conditionalFormatting xmlns:xm="http://schemas.microsoft.com/office/excel/2006/main">
          <x14:cfRule type="cellIs" priority="37" operator="equal" id="{B05F7DBB-0BE0-4678-A7B0-079F3E1CB3B8}">
            <xm:f>Daten!$I$4</xm:f>
            <x14:dxf>
              <font>
                <color rgb="FFFF0000"/>
              </font>
            </x14:dxf>
          </x14:cfRule>
          <xm:sqref>G1:G71 G77:G1048576</xm:sqref>
        </x14:conditionalFormatting>
        <x14:conditionalFormatting xmlns:xm="http://schemas.microsoft.com/office/excel/2006/main">
          <x14:cfRule type="cellIs" priority="34" operator="equal" id="{21824FFE-41BB-455C-9EA3-C4C1CDD5810C}">
            <xm:f>Daten!$I$2</xm:f>
            <x14:dxf>
              <font>
                <color theme="1" tint="0.499984740745262"/>
              </font>
            </x14:dxf>
          </x14:cfRule>
          <xm:sqref>G36:G47 G78:G122</xm:sqref>
        </x14:conditionalFormatting>
        <x14:conditionalFormatting xmlns:xm="http://schemas.microsoft.com/office/excel/2006/main">
          <x14:cfRule type="cellIs" priority="13" operator="equal" id="{98048D94-3D63-4E7A-AEF2-E3E3F2A0E429}">
            <xm:f>Daten!$I$3</xm:f>
            <x14:dxf>
              <font>
                <color rgb="FF00B050"/>
              </font>
            </x14:dxf>
          </x14:cfRule>
          <x14:cfRule type="cellIs" priority="14" operator="equal" id="{7E17C118-0ADA-49FA-96F9-1A1F0F420C5E}">
            <xm:f>Daten!$I$2</xm:f>
            <x14:dxf>
              <font>
                <color theme="1" tint="0.499984740745262"/>
              </font>
            </x14:dxf>
          </x14:cfRule>
          <x14:cfRule type="cellIs" priority="35" operator="equal" id="{ECE9355D-203A-4A84-8E67-EB116256911B}">
            <xm:f>Daten!$I$3</xm:f>
            <x14:dxf>
              <font>
                <color rgb="FF00B050"/>
              </font>
            </x14:dxf>
          </x14:cfRule>
          <x14:cfRule type="cellIs" priority="36" operator="equal" id="{7B8F2514-00C9-4487-B32B-6A538C5738A9}">
            <xm:f>Daten!$I$2</xm:f>
            <x14:dxf>
              <font>
                <color theme="1" tint="0.499984740745262"/>
              </font>
            </x14:dxf>
          </x14:cfRule>
          <xm:sqref>G49</xm:sqref>
        </x14:conditionalFormatting>
        <x14:conditionalFormatting xmlns:xm="http://schemas.microsoft.com/office/excel/2006/main">
          <x14:cfRule type="cellIs" priority="28" operator="equal" id="{0C3ECAE1-8313-4DF7-8D49-1CB1A7003AC9}">
            <xm:f>Daten!$I$2</xm:f>
            <x14:dxf>
              <font>
                <color theme="1" tint="0.499984740745262"/>
              </font>
            </x14:dxf>
          </x14:cfRule>
          <x14:cfRule type="cellIs" priority="27" operator="equal" id="{1ADBB6B5-BEC9-4821-8BED-F05259ABC8C1}">
            <xm:f>Daten!$I$3</xm:f>
            <x14:dxf>
              <font>
                <color rgb="FF00B050"/>
              </font>
            </x14:dxf>
          </x14:cfRule>
          <x14:cfRule type="cellIs" priority="24" operator="equal" id="{0184E04C-7E0D-445B-AE5F-0E4C6F07DB66}">
            <xm:f>Daten!$I$2</xm:f>
            <x14:dxf>
              <font>
                <color theme="1" tint="0.499984740745262"/>
              </font>
            </x14:dxf>
          </x14:cfRule>
          <x14:cfRule type="cellIs" priority="23" operator="equal" id="{58F5D611-36E5-41CD-989B-8079013AB9D3}">
            <xm:f>Daten!$I$3</xm:f>
            <x14:dxf>
              <font>
                <color rgb="FF00B050"/>
              </font>
            </x14:dxf>
          </x14:cfRule>
          <xm:sqref>G49:G56</xm:sqref>
        </x14:conditionalFormatting>
        <x14:conditionalFormatting xmlns:xm="http://schemas.microsoft.com/office/excel/2006/main">
          <x14:cfRule type="cellIs" priority="21" operator="equal" id="{14B56C2D-B56F-4B2B-9E86-8E47645B9F43}">
            <xm:f>Daten!$I$3</xm:f>
            <x14:dxf>
              <font>
                <color rgb="FF00B050"/>
              </font>
            </x14:dxf>
          </x14:cfRule>
          <x14:cfRule type="cellIs" priority="32" operator="equal" id="{96379D96-1580-46BA-8B1E-05ECF5E9FCC8}">
            <xm:f>Daten!$I$2</xm:f>
            <x14:dxf>
              <font>
                <color theme="1" tint="0.499984740745262"/>
              </font>
            </x14:dxf>
          </x14:cfRule>
          <x14:cfRule type="cellIs" priority="31" operator="equal" id="{F4CD80AA-4FD3-462D-9B21-D5F00F7FC925}">
            <xm:f>Daten!$I$3</xm:f>
            <x14:dxf>
              <font>
                <color rgb="FF00B050"/>
              </font>
            </x14:dxf>
          </x14:cfRule>
          <x14:cfRule type="cellIs" priority="30" operator="equal" id="{6DCFA30D-6D2C-4722-BDF1-3D111B9126EF}">
            <xm:f>Daten!$I$2</xm:f>
            <x14:dxf>
              <font>
                <color theme="1" tint="0.499984740745262"/>
              </font>
            </x14:dxf>
          </x14:cfRule>
          <x14:cfRule type="cellIs" priority="29" operator="equal" id="{AF4DC57F-B12C-425A-B2DD-22B77036867F}">
            <xm:f>Daten!$I$3</xm:f>
            <x14:dxf>
              <font>
                <color rgb="FF00B050"/>
              </font>
            </x14:dxf>
          </x14:cfRule>
          <x14:cfRule type="cellIs" priority="22" operator="equal" id="{60951A71-3641-4DEF-9DC8-5E79220EC5D6}">
            <xm:f>Daten!$I$2</xm:f>
            <x14:dxf>
              <font>
                <color theme="1" tint="0.499984740745262"/>
              </font>
            </x14:dxf>
          </x14:cfRule>
          <xm:sqref>G58:G66</xm:sqref>
        </x14:conditionalFormatting>
        <x14:conditionalFormatting xmlns:xm="http://schemas.microsoft.com/office/excel/2006/main">
          <x14:cfRule type="cellIs" priority="11" operator="equal" id="{E6084C42-C009-43B1-BAEF-CD780E738C9E}">
            <xm:f>Daten!$I$3</xm:f>
            <x14:dxf>
              <font>
                <color rgb="FF00B050"/>
              </font>
            </x14:dxf>
          </x14:cfRule>
          <x14:cfRule type="cellIs" priority="12" operator="equal" id="{ADE70FDA-AAC4-4EBC-94D4-9A677994B4DF}">
            <xm:f>Daten!$I$2</xm:f>
            <x14:dxf>
              <font>
                <color theme="1" tint="0.499984740745262"/>
              </font>
            </x14:dxf>
          </x14:cfRule>
          <x14:cfRule type="cellIs" priority="39" operator="equal" id="{E46FC338-EDE9-452F-A765-45BA4C9A2647}">
            <xm:f>Daten!$I$2</xm:f>
            <x14:dxf>
              <font>
                <color theme="1" tint="0.499984740745262"/>
              </font>
            </x14:dxf>
          </x14:cfRule>
          <x14:cfRule type="cellIs" priority="7" operator="equal" id="{052BB99C-D34C-4EB3-8E56-742C6AEC5616}">
            <xm:f>Daten!$I$3</xm:f>
            <x14:dxf>
              <font>
                <color rgb="FF00B050"/>
              </font>
            </x14:dxf>
          </x14:cfRule>
          <x14:cfRule type="cellIs" priority="8" operator="equal" id="{2EAD3BE9-8802-4DDA-8A5A-AAF5762DEF2B}">
            <xm:f>Daten!$I$2</xm:f>
            <x14:dxf>
              <font>
                <color theme="1" tint="0.499984740745262"/>
              </font>
            </x14:dxf>
          </x14:cfRule>
          <x14:cfRule type="cellIs" priority="9" operator="equal" id="{3A86ABF2-31A8-4C09-A32C-4D396441A2D4}">
            <xm:f>Daten!$I$3</xm:f>
            <x14:dxf>
              <font>
                <color rgb="FF00B050"/>
              </font>
            </x14:dxf>
          </x14:cfRule>
          <x14:cfRule type="cellIs" priority="10" operator="equal" id="{DB296B7A-610E-40B3-9A8E-18DD70B1BFA6}">
            <xm:f>Daten!$I$2</xm:f>
            <x14:dxf>
              <font>
                <color theme="1" tint="0.499984740745262"/>
              </font>
            </x14:dxf>
          </x14:cfRule>
          <x14:cfRule type="cellIs" priority="38" operator="equal" id="{FB9CD375-AE07-49FF-B708-2A0DB580E2A6}">
            <xm:f>Daten!$I$3</xm:f>
            <x14:dxf>
              <font>
                <color rgb="FF00B050"/>
              </font>
            </x14:dxf>
          </x14:cfRule>
          <xm:sqref>G68:G71</xm:sqref>
        </x14:conditionalFormatting>
        <x14:conditionalFormatting xmlns:xm="http://schemas.microsoft.com/office/excel/2006/main">
          <x14:cfRule type="cellIs" priority="20" operator="equal" id="{A5B873DA-37FC-4D5F-AEFB-898E3DF3EA49}">
            <xm:f>Daten!$I$2</xm:f>
            <x14:dxf>
              <font>
                <color theme="1" tint="0.499984740745262"/>
              </font>
            </x14:dxf>
          </x14:cfRule>
          <x14:cfRule type="cellIs" priority="19" operator="equal" id="{8679C95C-D52F-410F-AFED-21D96C55BF0A}">
            <xm:f>Daten!$I$3</xm:f>
            <x14:dxf>
              <font>
                <color rgb="FF00B050"/>
              </font>
            </x14:dxf>
          </x14:cfRule>
          <x14:cfRule type="cellIs" priority="25" operator="equal" id="{6293279B-F5E7-4328-9290-5F8CC2436E75}">
            <xm:f>Daten!$I$3</xm:f>
            <x14:dxf>
              <font>
                <color rgb="FF00B050"/>
              </font>
            </x14:dxf>
          </x14:cfRule>
          <x14:cfRule type="cellIs" priority="26" operator="equal" id="{79763D95-8A02-47B5-B8CE-A56846223FAA}">
            <xm:f>Daten!$I$2</xm:f>
            <x14:dxf>
              <font>
                <color theme="1" tint="0.499984740745262"/>
              </font>
            </x14:dxf>
          </x14:cfRule>
          <xm:sqref>G70:G71</xm:sqref>
        </x14:conditionalFormatting>
        <x14:conditionalFormatting xmlns:xm="http://schemas.microsoft.com/office/excel/2006/main">
          <x14:cfRule type="cellIs" priority="1" operator="equal" id="{EC8446FF-1D15-4460-B59C-30CF370A62EB}">
            <xm:f>Daten!$I$4</xm:f>
            <x14:dxf>
              <font>
                <color rgb="FFFF0000"/>
              </font>
            </x14:dxf>
          </x14:cfRule>
          <xm:sqref>G72:G76</xm:sqref>
        </x14:conditionalFormatting>
        <x14:conditionalFormatting xmlns:xm="http://schemas.microsoft.com/office/excel/2006/main">
          <x14:cfRule type="cellIs" priority="3" operator="equal" id="{D22D4F1A-C812-4246-8C13-25B8E0801CFA}">
            <xm:f>Daten!$I$2</xm:f>
            <x14:dxf>
              <font>
                <color theme="1" tint="0.499984740745262"/>
              </font>
            </x14:dxf>
          </x14:cfRule>
          <x14:cfRule type="cellIs" priority="2" operator="equal" id="{C362E9D8-3F77-4A1D-8AD5-18E61085E569}">
            <xm:f>Daten!$I$3</xm:f>
            <x14:dxf>
              <font>
                <color rgb="FF00B050"/>
              </font>
            </x14:dxf>
          </x14:cfRule>
          <xm:sqref>G74 G76</xm:sqref>
        </x14:conditionalFormatting>
        <x14:conditionalFormatting xmlns:xm="http://schemas.microsoft.com/office/excel/2006/main">
          <x14:cfRule type="cellIs" priority="33" operator="equal" id="{BB4A86A4-BB7F-4395-872A-85E02D5D842C}">
            <xm:f>Daten!$I$3</xm:f>
            <x14:dxf>
              <font>
                <color rgb="FF00B050"/>
              </font>
            </x14:dxf>
          </x14:cfRule>
          <xm:sqref>G78:G122 G36:G47</xm:sqref>
        </x14:conditionalFormatting>
        <x14:conditionalFormatting xmlns:xm="http://schemas.microsoft.com/office/excel/2006/main">
          <x14:cfRule type="cellIs" priority="17" operator="equal" id="{0FBF1688-CE3A-445C-90E0-D43F6A170CEF}">
            <xm:f>Daten!$I$3</xm:f>
            <x14:dxf>
              <font>
                <color rgb="FF00B050"/>
              </font>
            </x14:dxf>
          </x14:cfRule>
          <x14:cfRule type="cellIs" priority="16" operator="equal" id="{E0E72F08-1A92-4830-85A2-14D7EE534720}">
            <xm:f>Daten!$I$2</xm:f>
            <x14:dxf>
              <font>
                <color theme="1" tint="0.499984740745262"/>
              </font>
            </x14:dxf>
          </x14:cfRule>
          <x14:cfRule type="cellIs" priority="15" operator="equal" id="{9DA9D2AB-53AD-4898-AAC4-2D640EA623E0}">
            <xm:f>Daten!$I$3</xm:f>
            <x14:dxf>
              <font>
                <color rgb="FF00B050"/>
              </font>
            </x14:dxf>
          </x14:cfRule>
          <x14:cfRule type="cellIs" priority="18" operator="equal" id="{04D4883F-6601-40FA-AA75-F137C39F22CC}">
            <xm:f>Daten!$I$2</xm:f>
            <x14:dxf>
              <font>
                <color theme="1" tint="0.499984740745262"/>
              </font>
            </x14:dxf>
          </x14:cfRule>
          <xm:sqref>G80 G82:G86 G88:G90 G93:G101 G108:G109 G114 G116:G117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C6D6-BC4E-4EBC-8D82-6CCC4E3E76CE}">
  <sheetPr>
    <pageSetUpPr fitToPage="1"/>
  </sheetPr>
  <dimension ref="A1:J173"/>
  <sheetViews>
    <sheetView showGridLines="0" tabSelected="1" zoomScaleNormal="100" zoomScaleSheetLayoutView="80" workbookViewId="0">
      <selection activeCell="I1" sqref="I1"/>
    </sheetView>
  </sheetViews>
  <sheetFormatPr baseColWidth="10" defaultColWidth="11.44140625" defaultRowHeight="18.75" customHeight="1" x14ac:dyDescent="0.3"/>
  <cols>
    <col min="1" max="1" width="2.109375" style="1" customWidth="1"/>
    <col min="2" max="3" width="3.5546875" style="3" customWidth="1"/>
    <col min="4" max="4" width="33.33203125" style="1" customWidth="1"/>
    <col min="5" max="5" width="65.5546875" style="1" customWidth="1"/>
    <col min="6" max="6" width="1.109375" style="1" customWidth="1"/>
    <col min="7" max="7" width="8.88671875" style="1" customWidth="1"/>
    <col min="8" max="8" width="2.109375" style="1" customWidth="1"/>
    <col min="9" max="9" width="3.33203125" style="1" customWidth="1"/>
    <col min="10" max="10" width="63.33203125" style="1" customWidth="1"/>
    <col min="11" max="16384" width="11.44140625" style="1"/>
  </cols>
  <sheetData>
    <row r="1" spans="1:9" ht="25.95" customHeight="1" x14ac:dyDescent="0.4">
      <c r="A1" s="2"/>
      <c r="B1" s="103" t="s">
        <v>2516</v>
      </c>
      <c r="F1" s="100" t="s">
        <v>1149</v>
      </c>
      <c r="G1" s="129" t="s">
        <v>1335</v>
      </c>
      <c r="H1" s="2"/>
      <c r="I1" s="87"/>
    </row>
    <row r="2" spans="1:9" ht="24" customHeight="1" x14ac:dyDescent="0.3">
      <c r="A2" s="2"/>
      <c r="B2" s="125" t="str">
        <f>CONCATENATE(Daten!G2," · ",Daten!H2)</f>
        <v>OTH Oberflächentechnik Hagen GmbH &amp; Co. KG · Selbecker Str. 145-149, 58091 Hagen</v>
      </c>
      <c r="C2" s="79"/>
      <c r="D2" s="80"/>
      <c r="E2" s="81"/>
      <c r="F2" s="101" t="s">
        <v>1144</v>
      </c>
      <c r="G2" s="99">
        <f ca="1">TODAY()</f>
        <v>45905</v>
      </c>
      <c r="H2" s="2"/>
    </row>
    <row r="3" spans="1:9" ht="9" customHeight="1" x14ac:dyDescent="0.3">
      <c r="A3" s="2"/>
      <c r="D3" s="75"/>
      <c r="H3" s="2"/>
    </row>
    <row r="4" spans="1:9" ht="12" customHeight="1" x14ac:dyDescent="0.3">
      <c r="A4" s="2"/>
      <c r="H4" s="2"/>
    </row>
    <row r="5" spans="1:9" ht="18" customHeight="1" x14ac:dyDescent="0.3">
      <c r="A5" s="2"/>
      <c r="D5" s="74" t="s">
        <v>1112</v>
      </c>
      <c r="E5" s="130" t="s">
        <v>1150</v>
      </c>
      <c r="H5" s="2"/>
      <c r="I5" s="87"/>
    </row>
    <row r="6" spans="1:9" ht="18" customHeight="1" x14ac:dyDescent="0.3">
      <c r="A6" s="2"/>
      <c r="D6" s="74" t="s">
        <v>1</v>
      </c>
      <c r="E6" s="73" t="str">
        <f>CONCATENATE(Daten!G5," (",Daten!H5,")")</f>
        <v>Herr Udo Gensowski (Geschäftsführer)</v>
      </c>
      <c r="H6" s="2"/>
    </row>
    <row r="7" spans="1:9" ht="9" customHeight="1" x14ac:dyDescent="0.3">
      <c r="A7" s="2"/>
      <c r="D7" s="75"/>
      <c r="H7" s="2"/>
    </row>
    <row r="8" spans="1:9" ht="18" customHeight="1" x14ac:dyDescent="0.3">
      <c r="A8" s="2"/>
      <c r="B8" s="60" t="s">
        <v>1148</v>
      </c>
      <c r="C8" s="58"/>
      <c r="D8" s="76"/>
      <c r="E8" s="59"/>
      <c r="F8" s="2"/>
      <c r="G8" s="2"/>
      <c r="H8" s="2"/>
    </row>
    <row r="9" spans="1:9" ht="9" customHeight="1" x14ac:dyDescent="0.3">
      <c r="A9" s="2"/>
      <c r="D9" s="75"/>
      <c r="H9" s="2"/>
    </row>
    <row r="10" spans="1:9" ht="30" customHeight="1" x14ac:dyDescent="0.3">
      <c r="A10" s="2"/>
      <c r="B10" s="54"/>
      <c r="D10" s="77" t="s">
        <v>1107</v>
      </c>
      <c r="E10" s="61" t="str">
        <f>VLOOKUP($G$1,'Übersicht GBU'!A:AB,4,FALSE)</f>
        <v>Salpetersäure 51/53%</v>
      </c>
      <c r="H10" s="2"/>
    </row>
    <row r="11" spans="1:9" ht="18" customHeight="1" x14ac:dyDescent="0.3">
      <c r="A11" s="2"/>
      <c r="D11" s="85" t="s">
        <v>1108</v>
      </c>
      <c r="E11" s="83" t="str">
        <f>VLOOKUP($G$1,'Übersicht GBU'!A:AB,5,FALSE)</f>
        <v>Richard Steinebach GmbH &amp; Co.KG</v>
      </c>
      <c r="H11" s="2"/>
    </row>
    <row r="12" spans="1:9" ht="18" customHeight="1" x14ac:dyDescent="0.3">
      <c r="A12" s="2"/>
      <c r="D12" s="86" t="s">
        <v>1106</v>
      </c>
      <c r="E12" s="84">
        <f>VLOOKUP($G$1,'Übersicht GBU'!A:AB,6,FALSE)</f>
        <v>45222</v>
      </c>
      <c r="H12" s="2"/>
    </row>
    <row r="13" spans="1:9" ht="18" customHeight="1" x14ac:dyDescent="0.3">
      <c r="A13" s="2"/>
      <c r="D13" s="85" t="s">
        <v>1111</v>
      </c>
      <c r="E13" s="83" t="str">
        <f>CONCATENATE(VLOOKUP($G$1,'Übersicht GBU'!A:AB,7,FALSE),", ",VLOOKUP($G$1,'Übersicht GBU'!A:AB,8,FALSE)," (",VLOOKUP($G$1,'Übersicht GBU'!A:AB,9,FALSE),")")</f>
        <v>Flüssigkeit, farblos (Gemisch)</v>
      </c>
      <c r="H13" s="2"/>
    </row>
    <row r="14" spans="1:9" ht="30" customHeight="1" x14ac:dyDescent="0.3">
      <c r="A14" s="2"/>
      <c r="D14" s="77" t="s">
        <v>1109</v>
      </c>
      <c r="E14" s="72" t="str">
        <f>VLOOKUP($G$1,'Übersicht GBU'!A:AB,10,FALSE)</f>
        <v>Beizen</v>
      </c>
      <c r="H14" s="2"/>
    </row>
    <row r="15" spans="1:9" ht="9" customHeight="1" x14ac:dyDescent="0.3">
      <c r="A15" s="2"/>
      <c r="D15" s="75"/>
      <c r="H15" s="2"/>
    </row>
    <row r="16" spans="1:9" ht="209.4" customHeight="1" x14ac:dyDescent="0.3">
      <c r="A16" s="2"/>
      <c r="D16" s="78" t="s">
        <v>1187</v>
      </c>
      <c r="E16" s="131" t="s">
        <v>1291</v>
      </c>
      <c r="G16" s="123" t="s">
        <v>2517</v>
      </c>
      <c r="H16" s="2"/>
      <c r="I16" s="87"/>
    </row>
    <row r="17" spans="1:10" ht="9" customHeight="1" x14ac:dyDescent="0.3">
      <c r="A17" s="2"/>
      <c r="D17" s="75"/>
      <c r="H17" s="2"/>
    </row>
    <row r="18" spans="1:10" ht="18" customHeight="1" x14ac:dyDescent="0.3">
      <c r="A18" s="2"/>
      <c r="B18" s="60" t="s">
        <v>1254</v>
      </c>
      <c r="C18" s="58"/>
      <c r="D18" s="76"/>
      <c r="E18" s="59"/>
      <c r="F18" s="2"/>
      <c r="G18" s="2"/>
      <c r="H18" s="2"/>
    </row>
    <row r="19" spans="1:10" ht="9" customHeight="1" x14ac:dyDescent="0.3">
      <c r="A19" s="2"/>
      <c r="D19" s="75"/>
      <c r="H19" s="2"/>
    </row>
    <row r="20" spans="1:10" ht="18" customHeight="1" x14ac:dyDescent="0.3">
      <c r="A20" s="2"/>
      <c r="D20" s="85" t="s">
        <v>1114</v>
      </c>
      <c r="E20" s="83" t="str">
        <f>VLOOKUP($G$1,'Übersicht GBU'!A:AB,11,FALSE)</f>
        <v>GHS 05, GHS 06, Gefahr</v>
      </c>
      <c r="H20" s="2"/>
    </row>
    <row r="21" spans="1:10" ht="30" customHeight="1" x14ac:dyDescent="0.3">
      <c r="A21" s="2"/>
      <c r="D21" s="77" t="s">
        <v>1181</v>
      </c>
      <c r="E21" s="72" t="str">
        <f>CONCATENATE(VLOOKUP($G$1,'Übersicht GBU'!A:AB,12,FALSE)," / ",(VLOOKUP($G$1,'Übersicht GBU'!A:AB,13,FALSE))," / ",(VLOOKUP($G$1,'Übersicht GBU'!A:AB,14,FALSE))," / ",(VLOOKUP($G$1,'Übersicht GBU'!A:AB,15,FALSE)))</f>
        <v>H290 / H314, H331 / - / -</v>
      </c>
      <c r="H21" s="2"/>
    </row>
    <row r="22" spans="1:10" ht="30" customHeight="1" x14ac:dyDescent="0.3">
      <c r="A22" s="2"/>
      <c r="D22" s="77" t="s">
        <v>1182</v>
      </c>
      <c r="E22" s="72" t="str">
        <f>CONCATENATE(VLOOKUP($G$1,'Übersicht GBU'!A:AB,16,FALSE)," / ",(VLOOKUP($G$1,'Übersicht GBU'!A:AB,17,FALSE))," / ",(VLOOKUP($G$1,'Übersicht GBU'!A:AB,18,FALSE))," / ",(VLOOKUP($G$1,'Übersicht GBU'!A:AB,19,FALSE))," / ",(VLOOKUP($G$1,'Übersicht GBU'!A:AB,20,FALSE)))</f>
        <v>- / P260 / P303+P361+P353, P305+P351+P338, P310 / P405 / -</v>
      </c>
      <c r="H22" s="2"/>
    </row>
    <row r="23" spans="1:10" ht="30" customHeight="1" x14ac:dyDescent="0.3">
      <c r="A23" s="2"/>
      <c r="D23" s="85" t="s">
        <v>1116</v>
      </c>
      <c r="E23" s="128" t="str">
        <f>VLOOKUP($G$1,'Übersicht GBU'!A:AB,23,FALSE)</f>
        <v>Nein, da die Einstufung H314 besteht und ein Hautkontakt nicht ausgeschlossen werden kann.</v>
      </c>
      <c r="H23" s="2"/>
    </row>
    <row r="24" spans="1:10" ht="18" customHeight="1" x14ac:dyDescent="0.3">
      <c r="A24" s="2"/>
      <c r="D24" s="85" t="s">
        <v>1110</v>
      </c>
      <c r="E24" s="83" t="str">
        <f>VLOOKUP(G24,Daten!J2:K6,2,FALSE)</f>
        <v>WGK 1: schwach wassergefährdend</v>
      </c>
      <c r="G24" s="98">
        <f>VLOOKUP($G$1,'Übersicht GBU'!A:AB,22,FALSE)</f>
        <v>1</v>
      </c>
      <c r="H24" s="2"/>
    </row>
    <row r="25" spans="1:10" ht="18" customHeight="1" x14ac:dyDescent="0.3">
      <c r="A25" s="2"/>
      <c r="D25" s="85"/>
      <c r="E25" s="132"/>
      <c r="H25" s="2"/>
      <c r="I25" s="87"/>
      <c r="J25" s="116" t="s">
        <v>2531</v>
      </c>
    </row>
    <row r="26" spans="1:10" ht="30" customHeight="1" x14ac:dyDescent="0.3">
      <c r="A26" s="2"/>
      <c r="D26" s="77" t="s">
        <v>1233</v>
      </c>
      <c r="E26" s="72" t="str">
        <f>VLOOKUP($G$1,'Übersicht GBU'!A:AB,21,FALSE)</f>
        <v>Salpetersäure 100 %</v>
      </c>
      <c r="H26" s="2"/>
    </row>
    <row r="27" spans="1:10" ht="30" customHeight="1" x14ac:dyDescent="0.3">
      <c r="A27" s="2"/>
      <c r="D27" s="77" t="s">
        <v>1235</v>
      </c>
      <c r="E27" s="102" t="str">
        <f>CONCATENATE(VLOOKUP($G$1,'Übersicht GBU'!A:AR,30,FALSE)," (",(VLOOKUP($G$1,'Übersicht GBU'!A:AR,31,FALSE)),"%), ",(VLOOKUP($G$1,'Übersicht GBU'!A:AR,32,FALSE))," / ",(VLOOKUP($G$1,'Übersicht GBU'!A:AR,33,FALSE))," - ",(VLOOKUP($G$1,'Übersicht GBU'!A:AR,34,FALSE)))</f>
        <v>- (0%), - / keine - entfällt</v>
      </c>
      <c r="H27" s="2"/>
    </row>
    <row r="28" spans="1:10" ht="30" customHeight="1" x14ac:dyDescent="0.3">
      <c r="A28" s="2"/>
      <c r="D28" s="77"/>
      <c r="E28" s="72" t="str">
        <f>CONCATENATE(VLOOKUP($G$1,'Übersicht GBU'!A:AR,35,FALSE)," (",(VLOOKUP($G$1,'Übersicht GBU'!A:AR,36,FALSE)),"%), ",(VLOOKUP($G$1,'Übersicht GBU'!A:AR,37,FALSE))," / ",(VLOOKUP($G$1,'Übersicht GBU'!A:AR,38,FALSE))," - ",(VLOOKUP($G$1,'Übersicht GBU'!A:AR,39,FALSE)))</f>
        <v>- (0%), - / keine - entfällt</v>
      </c>
      <c r="H28" s="2"/>
    </row>
    <row r="29" spans="1:10" ht="9" customHeight="1" x14ac:dyDescent="0.3">
      <c r="A29" s="2"/>
      <c r="H29" s="2"/>
    </row>
    <row r="30" spans="1:10" ht="18" customHeight="1" x14ac:dyDescent="0.3">
      <c r="A30" s="2"/>
      <c r="B30" s="60" t="s">
        <v>1256</v>
      </c>
      <c r="C30" s="58"/>
      <c r="D30" s="59"/>
      <c r="E30" s="59"/>
      <c r="F30" s="2"/>
      <c r="G30" s="2"/>
      <c r="H30" s="2"/>
    </row>
    <row r="31" spans="1:10" ht="9" customHeight="1" x14ac:dyDescent="0.3">
      <c r="A31" s="2"/>
      <c r="H31" s="2"/>
    </row>
    <row r="32" spans="1:10" ht="180" customHeight="1" x14ac:dyDescent="0.3">
      <c r="A32" s="2"/>
      <c r="D32" s="78" t="s">
        <v>1203</v>
      </c>
      <c r="E32" s="133" t="s">
        <v>1292</v>
      </c>
      <c r="H32" s="2"/>
      <c r="I32" s="87"/>
    </row>
    <row r="33" spans="1:10" ht="9" customHeight="1" x14ac:dyDescent="0.3">
      <c r="A33" s="2"/>
      <c r="H33" s="2"/>
    </row>
    <row r="34" spans="1:10" ht="18" customHeight="1" x14ac:dyDescent="0.3">
      <c r="A34" s="2"/>
      <c r="B34" s="60" t="s">
        <v>1255</v>
      </c>
      <c r="C34" s="58"/>
      <c r="D34" s="59"/>
      <c r="E34" s="59"/>
      <c r="F34" s="2"/>
      <c r="G34" s="109" t="s">
        <v>2538</v>
      </c>
      <c r="H34" s="2"/>
    </row>
    <row r="35" spans="1:10" ht="9" customHeight="1" x14ac:dyDescent="0.3">
      <c r="A35" s="2"/>
      <c r="H35" s="2"/>
    </row>
    <row r="36" spans="1:10" ht="18" customHeight="1" x14ac:dyDescent="0.3">
      <c r="A36" s="2"/>
      <c r="D36" s="93" t="s">
        <v>1212</v>
      </c>
      <c r="E36" s="134"/>
      <c r="G36" s="91" t="s">
        <v>1156</v>
      </c>
      <c r="H36" s="2"/>
      <c r="I36" s="87"/>
      <c r="J36" s="115"/>
    </row>
    <row r="37" spans="1:10" ht="18" customHeight="1" x14ac:dyDescent="0.3">
      <c r="A37" s="2"/>
      <c r="D37" s="85" t="s">
        <v>1211</v>
      </c>
      <c r="E37" s="135"/>
      <c r="G37" s="91" t="s">
        <v>1156</v>
      </c>
      <c r="H37" s="2"/>
      <c r="I37" s="87"/>
      <c r="J37" s="116" t="s">
        <v>1213</v>
      </c>
    </row>
    <row r="38" spans="1:10" ht="18" customHeight="1" x14ac:dyDescent="0.3">
      <c r="A38" s="2"/>
      <c r="D38" s="85" t="s">
        <v>1210</v>
      </c>
      <c r="E38" s="135"/>
      <c r="G38" s="91" t="s">
        <v>1156</v>
      </c>
      <c r="H38" s="2"/>
      <c r="I38" s="87"/>
      <c r="J38" s="117" t="s">
        <v>1214</v>
      </c>
    </row>
    <row r="39" spans="1:10" ht="18" customHeight="1" x14ac:dyDescent="0.3">
      <c r="A39" s="2"/>
      <c r="D39" s="85" t="s">
        <v>1215</v>
      </c>
      <c r="E39" s="135"/>
      <c r="G39" s="91" t="s">
        <v>1156</v>
      </c>
      <c r="H39" s="2"/>
      <c r="I39" s="87"/>
      <c r="J39" s="117" t="s">
        <v>2525</v>
      </c>
    </row>
    <row r="40" spans="1:10" ht="18" customHeight="1" x14ac:dyDescent="0.3">
      <c r="A40" s="2"/>
      <c r="D40" s="85" t="s">
        <v>1216</v>
      </c>
      <c r="E40" s="135"/>
      <c r="G40" s="91" t="s">
        <v>1156</v>
      </c>
      <c r="H40" s="2"/>
      <c r="I40" s="87"/>
      <c r="J40" s="118" t="s">
        <v>1220</v>
      </c>
    </row>
    <row r="41" spans="1:10" ht="18" customHeight="1" x14ac:dyDescent="0.3">
      <c r="A41" s="2"/>
      <c r="D41" s="85" t="s">
        <v>1287</v>
      </c>
      <c r="E41" s="135"/>
      <c r="G41" s="91" t="s">
        <v>1156</v>
      </c>
      <c r="H41" s="2"/>
      <c r="I41" s="87"/>
      <c r="J41" s="118" t="s">
        <v>1217</v>
      </c>
    </row>
    <row r="42" spans="1:10" ht="18" customHeight="1" x14ac:dyDescent="0.3">
      <c r="A42" s="2"/>
      <c r="D42" s="85" t="s">
        <v>1288</v>
      </c>
      <c r="E42" s="135"/>
      <c r="G42" s="91" t="s">
        <v>1156</v>
      </c>
      <c r="H42" s="2"/>
      <c r="I42" s="87"/>
      <c r="J42" s="118" t="s">
        <v>1219</v>
      </c>
    </row>
    <row r="43" spans="1:10" ht="18" customHeight="1" x14ac:dyDescent="0.3">
      <c r="A43" s="2"/>
      <c r="D43" s="85" t="s">
        <v>1218</v>
      </c>
      <c r="E43" s="135"/>
      <c r="G43" s="91" t="s">
        <v>1156</v>
      </c>
      <c r="H43" s="2"/>
      <c r="I43" s="87"/>
    </row>
    <row r="44" spans="1:10" ht="18" customHeight="1" x14ac:dyDescent="0.3">
      <c r="A44" s="2"/>
      <c r="D44" s="85" t="s">
        <v>1208</v>
      </c>
      <c r="E44" s="134" t="str">
        <f>CONCATENATE(VLOOKUP($G$1,'Übersicht GBU'!A:AB,26,FALSE)," (",VLOOKUP($G$1,'Übersicht GBU'!A:AB,27,FALSE),")")</f>
        <v>Gefährdungsbeurteilung (siehe gefahrstoffspezifische Gefährdungsbeurteilung)</v>
      </c>
      <c r="G44" s="91" t="s">
        <v>1156</v>
      </c>
      <c r="H44" s="2"/>
    </row>
    <row r="45" spans="1:10" ht="18" customHeight="1" x14ac:dyDescent="0.3">
      <c r="A45" s="2"/>
      <c r="D45" s="85"/>
      <c r="E45" s="134" t="s">
        <v>1206</v>
      </c>
      <c r="G45" s="91" t="s">
        <v>1156</v>
      </c>
      <c r="H45" s="2"/>
      <c r="J45" s="115" t="s">
        <v>1206</v>
      </c>
    </row>
    <row r="46" spans="1:10" ht="18" customHeight="1" x14ac:dyDescent="0.3">
      <c r="A46" s="2"/>
      <c r="D46" s="85" t="s">
        <v>1271</v>
      </c>
      <c r="E46" s="134" t="s">
        <v>1272</v>
      </c>
      <c r="G46" s="91" t="s">
        <v>1156</v>
      </c>
      <c r="H46" s="2"/>
      <c r="J46" s="115" t="s">
        <v>1272</v>
      </c>
    </row>
    <row r="47" spans="1:10" ht="18" customHeight="1" x14ac:dyDescent="0.3">
      <c r="A47" s="2"/>
      <c r="D47" s="85"/>
      <c r="E47" s="134"/>
      <c r="G47" s="91" t="s">
        <v>1156</v>
      </c>
      <c r="H47" s="2"/>
      <c r="J47" s="115" t="s">
        <v>2527</v>
      </c>
    </row>
    <row r="48" spans="1:10" ht="15" customHeight="1" x14ac:dyDescent="0.3">
      <c r="A48" s="2"/>
      <c r="E48" s="119"/>
      <c r="H48" s="2"/>
    </row>
    <row r="49" spans="1:10" ht="18" customHeight="1" x14ac:dyDescent="0.3">
      <c r="A49" s="2"/>
      <c r="D49" s="93" t="s">
        <v>1221</v>
      </c>
      <c r="E49" s="134"/>
      <c r="G49" s="91" t="s">
        <v>1156</v>
      </c>
      <c r="H49" s="2"/>
      <c r="I49" s="87"/>
      <c r="J49" s="115"/>
    </row>
    <row r="50" spans="1:10" ht="18" customHeight="1" x14ac:dyDescent="0.3">
      <c r="A50" s="2"/>
      <c r="D50" s="85" t="s">
        <v>1222</v>
      </c>
      <c r="E50" s="135"/>
      <c r="G50" s="91" t="s">
        <v>1156</v>
      </c>
      <c r="H50" s="2"/>
      <c r="I50" s="87"/>
      <c r="J50" s="115"/>
    </row>
    <row r="51" spans="1:10" ht="18" customHeight="1" x14ac:dyDescent="0.3">
      <c r="A51" s="2"/>
      <c r="D51" s="85" t="s">
        <v>1223</v>
      </c>
      <c r="E51" s="135"/>
      <c r="G51" s="91" t="s">
        <v>1156</v>
      </c>
      <c r="H51" s="2"/>
      <c r="I51" s="87"/>
      <c r="J51" s="115"/>
    </row>
    <row r="52" spans="1:10" ht="18" customHeight="1" x14ac:dyDescent="0.3">
      <c r="A52" s="2"/>
      <c r="D52" s="85" t="s">
        <v>1209</v>
      </c>
      <c r="E52" s="115" t="str">
        <f>CONCATENATE(VLOOKUP($G$1,'Übersicht GBU'!A:AB,24,FALSE)," (",VLOOKUP($G$1,'Übersicht GBU'!A:AB,25,FALSE),")")</f>
        <v>Schutzleitfaden-300 (Geschlossenes System)</v>
      </c>
      <c r="G52" s="91" t="s">
        <v>1156</v>
      </c>
      <c r="H52" s="2"/>
    </row>
    <row r="53" spans="1:10" ht="18" customHeight="1" x14ac:dyDescent="0.3">
      <c r="A53" s="2"/>
      <c r="D53" s="85"/>
      <c r="E53" s="134"/>
      <c r="G53" s="91" t="s">
        <v>1156</v>
      </c>
      <c r="H53" s="2"/>
      <c r="I53" s="87"/>
      <c r="J53" s="115"/>
    </row>
    <row r="54" spans="1:10" ht="18" customHeight="1" x14ac:dyDescent="0.3">
      <c r="A54" s="2"/>
      <c r="D54" s="85" t="s">
        <v>1273</v>
      </c>
      <c r="E54" s="115"/>
      <c r="G54" s="91" t="s">
        <v>1156</v>
      </c>
      <c r="H54" s="2"/>
      <c r="I54" s="87"/>
      <c r="J54" s="115"/>
    </row>
    <row r="55" spans="1:10" ht="18" customHeight="1" x14ac:dyDescent="0.3">
      <c r="A55" s="2"/>
      <c r="D55" s="85" t="s">
        <v>1283</v>
      </c>
      <c r="E55" s="115"/>
      <c r="G55" s="91" t="s">
        <v>1156</v>
      </c>
      <c r="H55" s="2"/>
      <c r="I55" s="87"/>
      <c r="J55" s="115"/>
    </row>
    <row r="56" spans="1:10" ht="18" customHeight="1" x14ac:dyDescent="0.3">
      <c r="A56" s="2"/>
      <c r="D56" s="85"/>
      <c r="E56" s="115"/>
      <c r="G56" s="91" t="s">
        <v>1156</v>
      </c>
      <c r="H56" s="2"/>
      <c r="I56" s="87"/>
      <c r="J56" s="115"/>
    </row>
    <row r="57" spans="1:10" ht="15" customHeight="1" x14ac:dyDescent="0.3">
      <c r="A57" s="2"/>
      <c r="E57" s="119"/>
      <c r="H57" s="2"/>
    </row>
    <row r="58" spans="1:10" ht="18" customHeight="1" x14ac:dyDescent="0.3">
      <c r="A58" s="2"/>
      <c r="D58" s="93" t="s">
        <v>1284</v>
      </c>
      <c r="E58" s="134"/>
      <c r="G58" s="91" t="s">
        <v>1156</v>
      </c>
      <c r="H58" s="2"/>
      <c r="I58" s="87"/>
      <c r="J58" s="115" t="s">
        <v>1274</v>
      </c>
    </row>
    <row r="59" spans="1:10" ht="18" customHeight="1" x14ac:dyDescent="0.3">
      <c r="A59" s="2"/>
      <c r="D59" s="85" t="s">
        <v>1497</v>
      </c>
      <c r="E59" s="135" t="str">
        <f>IF(VLOOKUP($G$1,'Übersicht GBU'!A:DJ,45,FALSE)="k. A.","keine Angabe",CONCATENATE(VLOOKUP($G$1,'Übersicht GBU'!A:DJ,45,FALSE),"°C"))</f>
        <v>-°C</v>
      </c>
      <c r="G59" s="91" t="s">
        <v>1156</v>
      </c>
      <c r="H59" s="2"/>
    </row>
    <row r="60" spans="1:10" ht="18" customHeight="1" x14ac:dyDescent="0.3">
      <c r="A60" s="2"/>
      <c r="D60" s="85" t="s">
        <v>1498</v>
      </c>
      <c r="E60" s="135" t="str">
        <f>IF(VLOOKUP($G$1,'Übersicht GBU'!A:DJ,46,FALSE)="k. A.","keine Angabe",CONCATENATE(VLOOKUP($G$1,'Übersicht GBU'!A:DJ,46,FALSE)," - ",VLOOKUP($G$1,'Übersicht GBU'!A:DJ,47,FALSE)," Vol.-%"))</f>
        <v xml:space="preserve"> -  Vol.-%</v>
      </c>
      <c r="G60" s="91" t="s">
        <v>1156</v>
      </c>
      <c r="H60" s="2"/>
    </row>
    <row r="61" spans="1:10" ht="18" customHeight="1" x14ac:dyDescent="0.3">
      <c r="A61" s="2"/>
      <c r="D61" s="85" t="s">
        <v>1285</v>
      </c>
      <c r="E61" s="135"/>
      <c r="G61" s="91" t="s">
        <v>1156</v>
      </c>
      <c r="H61" s="2"/>
      <c r="I61" s="87"/>
      <c r="J61" s="92" t="s">
        <v>3</v>
      </c>
    </row>
    <row r="62" spans="1:10" ht="18" customHeight="1" x14ac:dyDescent="0.3">
      <c r="A62" s="2"/>
      <c r="D62" s="85" t="s">
        <v>1286</v>
      </c>
      <c r="E62" s="135"/>
      <c r="G62" s="91" t="s">
        <v>1156</v>
      </c>
      <c r="H62" s="2"/>
      <c r="I62" s="87"/>
      <c r="J62" s="92" t="s">
        <v>1278</v>
      </c>
    </row>
    <row r="63" spans="1:10" ht="18" customHeight="1" x14ac:dyDescent="0.3">
      <c r="A63" s="2"/>
      <c r="D63" s="85" t="s">
        <v>1276</v>
      </c>
      <c r="E63" s="135"/>
      <c r="G63" s="91" t="s">
        <v>1156</v>
      </c>
      <c r="H63" s="2"/>
      <c r="I63" s="87"/>
      <c r="J63" s="92" t="s">
        <v>3</v>
      </c>
    </row>
    <row r="64" spans="1:10" ht="18" customHeight="1" x14ac:dyDescent="0.3">
      <c r="A64" s="2"/>
      <c r="D64" s="85" t="s">
        <v>1289</v>
      </c>
      <c r="E64" s="135"/>
      <c r="G64" s="91" t="s">
        <v>1156</v>
      </c>
      <c r="H64" s="2"/>
      <c r="I64" s="87"/>
      <c r="J64" s="92" t="s">
        <v>1277</v>
      </c>
    </row>
    <row r="65" spans="1:10" ht="18" customHeight="1" x14ac:dyDescent="0.3">
      <c r="A65" s="2"/>
      <c r="D65" s="85" t="s">
        <v>1115</v>
      </c>
      <c r="E65" s="115" t="str">
        <f>CONCATENATE(VLOOKUP($G$1,'Übersicht GBU'!A:AC,28,FALSE)," (",VLOOKUP($G$1,'Übersicht GBU'!A:AC,29,FALSE),")")</f>
        <v>Schutzleitfaden-PC270 (Grundanforderungen bei erhöhter Brandgefährdung)</v>
      </c>
      <c r="G65" s="91" t="s">
        <v>1156</v>
      </c>
      <c r="H65" s="2"/>
    </row>
    <row r="66" spans="1:10" ht="18" customHeight="1" x14ac:dyDescent="0.3">
      <c r="A66" s="2"/>
      <c r="D66" s="85"/>
      <c r="E66" s="134"/>
      <c r="G66" s="91" t="s">
        <v>1156</v>
      </c>
      <c r="H66" s="2"/>
      <c r="I66" s="87"/>
      <c r="J66" s="115" t="s">
        <v>1275</v>
      </c>
    </row>
    <row r="67" spans="1:10" ht="15" customHeight="1" x14ac:dyDescent="0.3">
      <c r="A67" s="2"/>
      <c r="H67" s="2"/>
    </row>
    <row r="68" spans="1:10" ht="18" customHeight="1" x14ac:dyDescent="0.3">
      <c r="A68" s="2"/>
      <c r="D68" s="93" t="s">
        <v>1282</v>
      </c>
      <c r="E68" s="134"/>
      <c r="G68" s="91" t="s">
        <v>1156</v>
      </c>
      <c r="H68" s="2"/>
      <c r="I68" s="87"/>
      <c r="J68" s="115" t="s">
        <v>1253</v>
      </c>
    </row>
    <row r="69" spans="1:10" ht="18" customHeight="1" x14ac:dyDescent="0.3">
      <c r="A69" s="2"/>
      <c r="D69" s="93" t="s">
        <v>1280</v>
      </c>
      <c r="E69" s="135"/>
      <c r="G69" s="91" t="s">
        <v>1156</v>
      </c>
      <c r="H69" s="2"/>
      <c r="I69" s="87"/>
      <c r="J69" s="115" t="s">
        <v>1253</v>
      </c>
    </row>
    <row r="70" spans="1:10" ht="18" customHeight="1" x14ac:dyDescent="0.3">
      <c r="A70" s="2"/>
      <c r="D70" s="93" t="s">
        <v>1279</v>
      </c>
      <c r="E70" s="135"/>
      <c r="G70" s="91" t="s">
        <v>1156</v>
      </c>
      <c r="H70" s="2"/>
      <c r="I70" s="87"/>
      <c r="J70" s="115"/>
    </row>
    <row r="71" spans="1:10" ht="18" customHeight="1" x14ac:dyDescent="0.3">
      <c r="A71" s="2"/>
      <c r="D71" s="93" t="s">
        <v>1281</v>
      </c>
      <c r="E71" s="115" t="str">
        <f>VLOOKUP($G$1,'Übersicht GBU'!A:AW,49,FALSE)</f>
        <v>Substitutionen sind im Galvanikbereich nicht zielführend (vgl. ASA vom 05.05.2025)</v>
      </c>
      <c r="G71" s="91" t="s">
        <v>1156</v>
      </c>
      <c r="H71" s="2"/>
    </row>
    <row r="72" spans="1:10" ht="15" customHeight="1" x14ac:dyDescent="0.3">
      <c r="A72" s="2"/>
      <c r="H72" s="2"/>
    </row>
    <row r="73" spans="1:10" ht="99" customHeight="1" x14ac:dyDescent="0.3">
      <c r="A73" s="2"/>
      <c r="D73" s="137" t="s">
        <v>2535</v>
      </c>
      <c r="E73" s="133"/>
      <c r="G73" s="138"/>
      <c r="H73" s="2"/>
      <c r="I73" s="87"/>
      <c r="J73" s="92" t="s">
        <v>2536</v>
      </c>
    </row>
    <row r="74" spans="1:10" ht="15" customHeight="1" x14ac:dyDescent="0.3">
      <c r="A74" s="2"/>
      <c r="H74" s="2"/>
    </row>
    <row r="75" spans="1:10" ht="99" customHeight="1" x14ac:dyDescent="0.3">
      <c r="A75" s="2"/>
      <c r="D75" s="137" t="s">
        <v>2532</v>
      </c>
      <c r="E75" s="133"/>
      <c r="G75" s="138"/>
      <c r="H75" s="2"/>
      <c r="I75" s="87"/>
    </row>
    <row r="76" spans="1:10" ht="9" customHeight="1" x14ac:dyDescent="0.3">
      <c r="A76" s="2"/>
      <c r="H76" s="2"/>
    </row>
    <row r="77" spans="1:10" ht="24" customHeight="1" x14ac:dyDescent="0.3">
      <c r="A77" s="2"/>
      <c r="B77" s="57" t="s">
        <v>4</v>
      </c>
      <c r="C77" s="57" t="s">
        <v>6</v>
      </c>
      <c r="D77" s="64" t="s">
        <v>1083</v>
      </c>
      <c r="E77" s="69"/>
      <c r="F77" s="71"/>
      <c r="G77" s="70" t="s">
        <v>1157</v>
      </c>
      <c r="H77" s="2"/>
    </row>
    <row r="78" spans="1:10" ht="18.75" customHeight="1" x14ac:dyDescent="0.3">
      <c r="A78" s="2"/>
      <c r="B78" s="10" t="s">
        <v>1198</v>
      </c>
      <c r="C78" s="11"/>
      <c r="D78" s="12" t="s">
        <v>1197</v>
      </c>
      <c r="E78" s="32"/>
      <c r="F78" s="32"/>
      <c r="G78" s="120"/>
      <c r="H78" s="2"/>
    </row>
    <row r="79" spans="1:10" ht="18" customHeight="1" x14ac:dyDescent="0.3">
      <c r="A79" s="2"/>
      <c r="B79" s="88" t="s">
        <v>1198</v>
      </c>
      <c r="C79" s="89">
        <f>ROW(A79)-(ROW(A$78))</f>
        <v>1</v>
      </c>
      <c r="D79" s="139" t="s">
        <v>1290</v>
      </c>
      <c r="E79" s="140"/>
      <c r="F79" s="140"/>
      <c r="G79" s="121" t="s">
        <v>1156</v>
      </c>
      <c r="H79" s="2"/>
    </row>
    <row r="80" spans="1:10" ht="18.75" customHeight="1" x14ac:dyDescent="0.3">
      <c r="A80" s="2"/>
      <c r="B80" s="10" t="s">
        <v>1199</v>
      </c>
      <c r="C80" s="11"/>
      <c r="D80" s="12" t="s">
        <v>1152</v>
      </c>
      <c r="E80" s="32"/>
      <c r="F80" s="32"/>
      <c r="G80" s="120"/>
      <c r="H80" s="2"/>
    </row>
    <row r="81" spans="1:8" ht="18" customHeight="1" x14ac:dyDescent="0.3">
      <c r="A81" s="2"/>
      <c r="B81" s="88" t="s">
        <v>1199</v>
      </c>
      <c r="C81" s="89">
        <f>ROW(A81)-(ROW(A$80))</f>
        <v>1</v>
      </c>
      <c r="D81" s="139" t="s">
        <v>1188</v>
      </c>
      <c r="E81" s="140"/>
      <c r="F81" s="140"/>
      <c r="G81" s="121" t="s">
        <v>1156</v>
      </c>
      <c r="H81" s="2"/>
    </row>
    <row r="82" spans="1:8" ht="18" customHeight="1" x14ac:dyDescent="0.3">
      <c r="A82" s="2"/>
      <c r="B82" s="88" t="s">
        <v>1199</v>
      </c>
      <c r="C82" s="89">
        <f>ROW(A82)-(ROW(A$80))</f>
        <v>2</v>
      </c>
      <c r="D82" s="139" t="s">
        <v>1191</v>
      </c>
      <c r="E82" s="140"/>
      <c r="F82" s="140"/>
      <c r="G82" s="121" t="s">
        <v>1156</v>
      </c>
      <c r="H82" s="2"/>
    </row>
    <row r="83" spans="1:8" ht="18" customHeight="1" x14ac:dyDescent="0.3">
      <c r="A83" s="2"/>
      <c r="B83" s="88" t="s">
        <v>1199</v>
      </c>
      <c r="C83" s="89">
        <f>ROW(A83)-(ROW(A$80))</f>
        <v>3</v>
      </c>
      <c r="D83" s="139" t="s">
        <v>1178</v>
      </c>
      <c r="E83" s="140"/>
      <c r="F83" s="140"/>
      <c r="G83" s="121" t="s">
        <v>1156</v>
      </c>
      <c r="H83" s="2"/>
    </row>
    <row r="84" spans="1:8" ht="18" customHeight="1" x14ac:dyDescent="0.3">
      <c r="A84" s="2"/>
      <c r="B84" s="88" t="s">
        <v>1199</v>
      </c>
      <c r="C84" s="89">
        <f>ROW(A84)-(ROW(A$80))</f>
        <v>4</v>
      </c>
      <c r="D84" s="139" t="s">
        <v>1179</v>
      </c>
      <c r="E84" s="140"/>
      <c r="F84" s="140"/>
      <c r="G84" s="121" t="s">
        <v>1156</v>
      </c>
      <c r="H84" s="2"/>
    </row>
    <row r="85" spans="1:8" ht="18" customHeight="1" x14ac:dyDescent="0.3">
      <c r="A85" s="2"/>
      <c r="B85" s="88" t="s">
        <v>1199</v>
      </c>
      <c r="C85" s="89">
        <f>ROW(A85)-(ROW(A$80))</f>
        <v>5</v>
      </c>
      <c r="D85" s="139" t="s">
        <v>1189</v>
      </c>
      <c r="E85" s="140"/>
      <c r="F85" s="140"/>
      <c r="G85" s="121" t="s">
        <v>1156</v>
      </c>
      <c r="H85" s="2"/>
    </row>
    <row r="86" spans="1:8" ht="18.75" customHeight="1" x14ac:dyDescent="0.3">
      <c r="A86" s="2"/>
      <c r="B86" s="10" t="s">
        <v>1200</v>
      </c>
      <c r="C86" s="11"/>
      <c r="D86" s="12" t="s">
        <v>1153</v>
      </c>
      <c r="E86" s="32"/>
      <c r="F86" s="32"/>
      <c r="G86" s="120"/>
      <c r="H86" s="2"/>
    </row>
    <row r="87" spans="1:8" ht="18" customHeight="1" x14ac:dyDescent="0.3">
      <c r="A87" s="2"/>
      <c r="B87" s="88" t="s">
        <v>1200</v>
      </c>
      <c r="C87" s="89">
        <f>ROW(A87)-(ROW(A$86))</f>
        <v>1</v>
      </c>
      <c r="D87" s="139" t="s">
        <v>1170</v>
      </c>
      <c r="E87" s="140"/>
      <c r="F87" s="140"/>
      <c r="G87" s="121" t="s">
        <v>1156</v>
      </c>
      <c r="H87" s="2"/>
    </row>
    <row r="88" spans="1:8" ht="18" customHeight="1" x14ac:dyDescent="0.3">
      <c r="A88" s="2"/>
      <c r="B88" s="88" t="s">
        <v>1200</v>
      </c>
      <c r="C88" s="89">
        <f>ROW(A88)-(ROW(A$86))</f>
        <v>2</v>
      </c>
      <c r="D88" s="139" t="s">
        <v>1171</v>
      </c>
      <c r="E88" s="140"/>
      <c r="F88" s="140"/>
      <c r="G88" s="121" t="s">
        <v>1156</v>
      </c>
      <c r="H88" s="2"/>
    </row>
    <row r="89" spans="1:8" ht="18" customHeight="1" x14ac:dyDescent="0.3">
      <c r="A89" s="2"/>
      <c r="B89" s="88" t="s">
        <v>1200</v>
      </c>
      <c r="C89" s="89">
        <f>ROW(A89)-(ROW(A$86))</f>
        <v>3</v>
      </c>
      <c r="D89" s="139" t="s">
        <v>1190</v>
      </c>
      <c r="E89" s="140"/>
      <c r="F89" s="140"/>
      <c r="G89" s="121" t="s">
        <v>1156</v>
      </c>
      <c r="H89" s="2"/>
    </row>
    <row r="90" spans="1:8" ht="18" customHeight="1" x14ac:dyDescent="0.3">
      <c r="A90" s="2"/>
      <c r="B90" s="88" t="s">
        <v>1200</v>
      </c>
      <c r="C90" s="89">
        <f>ROW(A90)-(ROW(A$86))</f>
        <v>4</v>
      </c>
      <c r="D90" s="139" t="s">
        <v>1192</v>
      </c>
      <c r="E90" s="140"/>
      <c r="F90" s="140"/>
      <c r="G90" s="122" t="s">
        <v>1156</v>
      </c>
      <c r="H90" s="2"/>
    </row>
    <row r="91" spans="1:8" ht="18.75" customHeight="1" x14ac:dyDescent="0.3">
      <c r="A91" s="2"/>
      <c r="B91" s="10" t="s">
        <v>1201</v>
      </c>
      <c r="C91" s="11"/>
      <c r="D91" s="12" t="s">
        <v>1154</v>
      </c>
      <c r="E91" s="32"/>
      <c r="F91" s="32"/>
      <c r="G91" s="120"/>
      <c r="H91" s="2"/>
    </row>
    <row r="92" spans="1:8" ht="18" customHeight="1" x14ac:dyDescent="0.3">
      <c r="A92" s="2"/>
      <c r="B92" s="88" t="s">
        <v>1201</v>
      </c>
      <c r="C92" s="89">
        <f t="shared" ref="C92:C101" si="0">ROW(A92)-(ROW(A$91))</f>
        <v>1</v>
      </c>
      <c r="D92" s="139" t="s">
        <v>1167</v>
      </c>
      <c r="E92" s="140"/>
      <c r="F92" s="140"/>
      <c r="G92" s="121" t="s">
        <v>1156</v>
      </c>
      <c r="H92" s="2"/>
    </row>
    <row r="93" spans="1:8" ht="18" customHeight="1" x14ac:dyDescent="0.3">
      <c r="A93" s="2"/>
      <c r="B93" s="88" t="s">
        <v>1201</v>
      </c>
      <c r="C93" s="89">
        <f t="shared" si="0"/>
        <v>2</v>
      </c>
      <c r="D93" s="139" t="s">
        <v>1194</v>
      </c>
      <c r="E93" s="140"/>
      <c r="F93" s="140"/>
      <c r="G93" s="121" t="s">
        <v>1156</v>
      </c>
      <c r="H93" s="2"/>
    </row>
    <row r="94" spans="1:8" ht="18" customHeight="1" x14ac:dyDescent="0.3">
      <c r="A94" s="2"/>
      <c r="B94" s="88" t="s">
        <v>1201</v>
      </c>
      <c r="C94" s="89">
        <f t="shared" si="0"/>
        <v>3</v>
      </c>
      <c r="D94" s="139" t="s">
        <v>1204</v>
      </c>
      <c r="E94" s="140"/>
      <c r="F94" s="140"/>
      <c r="G94" s="121" t="s">
        <v>1156</v>
      </c>
      <c r="H94" s="2"/>
    </row>
    <row r="95" spans="1:8" ht="18" customHeight="1" x14ac:dyDescent="0.3">
      <c r="A95" s="2"/>
      <c r="B95" s="88" t="s">
        <v>1201</v>
      </c>
      <c r="C95" s="89">
        <f t="shared" si="0"/>
        <v>4</v>
      </c>
      <c r="D95" s="139" t="s">
        <v>1180</v>
      </c>
      <c r="E95" s="140"/>
      <c r="F95" s="140"/>
      <c r="G95" s="121" t="s">
        <v>1156</v>
      </c>
      <c r="H95" s="2"/>
    </row>
    <row r="96" spans="1:8" ht="18" customHeight="1" x14ac:dyDescent="0.3">
      <c r="A96" s="2"/>
      <c r="B96" s="88" t="s">
        <v>1201</v>
      </c>
      <c r="C96" s="89">
        <f t="shared" si="0"/>
        <v>5</v>
      </c>
      <c r="D96" s="139" t="s">
        <v>1160</v>
      </c>
      <c r="E96" s="140"/>
      <c r="F96" s="140"/>
      <c r="G96" s="121" t="s">
        <v>1156</v>
      </c>
      <c r="H96" s="2"/>
    </row>
    <row r="97" spans="1:8" ht="18" customHeight="1" x14ac:dyDescent="0.3">
      <c r="A97" s="2"/>
      <c r="B97" s="88" t="s">
        <v>1201</v>
      </c>
      <c r="C97" s="89">
        <f t="shared" si="0"/>
        <v>6</v>
      </c>
      <c r="D97" s="139" t="s">
        <v>1164</v>
      </c>
      <c r="E97" s="140"/>
      <c r="F97" s="140"/>
      <c r="G97" s="121" t="s">
        <v>1156</v>
      </c>
      <c r="H97" s="2"/>
    </row>
    <row r="98" spans="1:8" ht="18" customHeight="1" x14ac:dyDescent="0.3">
      <c r="A98" s="2"/>
      <c r="B98" s="88" t="s">
        <v>1201</v>
      </c>
      <c r="C98" s="89">
        <f t="shared" si="0"/>
        <v>7</v>
      </c>
      <c r="D98" s="139" t="s">
        <v>1168</v>
      </c>
      <c r="E98" s="140"/>
      <c r="F98" s="140"/>
      <c r="G98" s="121" t="s">
        <v>1156</v>
      </c>
      <c r="H98" s="2"/>
    </row>
    <row r="99" spans="1:8" ht="18" customHeight="1" x14ac:dyDescent="0.3">
      <c r="A99" s="2"/>
      <c r="B99" s="88" t="s">
        <v>1201</v>
      </c>
      <c r="C99" s="89">
        <f t="shared" si="0"/>
        <v>8</v>
      </c>
      <c r="D99" s="139" t="s">
        <v>1165</v>
      </c>
      <c r="E99" s="140"/>
      <c r="F99" s="140"/>
      <c r="G99" s="121" t="s">
        <v>1156</v>
      </c>
      <c r="H99" s="2"/>
    </row>
    <row r="100" spans="1:8" ht="18" customHeight="1" x14ac:dyDescent="0.3">
      <c r="A100" s="2"/>
      <c r="B100" s="88" t="s">
        <v>1201</v>
      </c>
      <c r="C100" s="89">
        <f t="shared" si="0"/>
        <v>9</v>
      </c>
      <c r="D100" s="139" t="s">
        <v>1207</v>
      </c>
      <c r="E100" s="140"/>
      <c r="F100" s="140"/>
      <c r="G100" s="121" t="s">
        <v>1156</v>
      </c>
      <c r="H100" s="2"/>
    </row>
    <row r="101" spans="1:8" ht="18" customHeight="1" x14ac:dyDescent="0.3">
      <c r="A101" s="2"/>
      <c r="B101" s="88" t="s">
        <v>1201</v>
      </c>
      <c r="C101" s="89">
        <f t="shared" si="0"/>
        <v>10</v>
      </c>
      <c r="D101" s="139" t="s">
        <v>1202</v>
      </c>
      <c r="E101" s="140"/>
      <c r="F101" s="140"/>
      <c r="G101" s="122" t="s">
        <v>1156</v>
      </c>
      <c r="H101" s="2"/>
    </row>
    <row r="102" spans="1:8" ht="18.75" customHeight="1" x14ac:dyDescent="0.3">
      <c r="A102" s="2"/>
      <c r="B102" s="10" t="s">
        <v>9</v>
      </c>
      <c r="C102" s="11"/>
      <c r="D102" s="12" t="s">
        <v>124</v>
      </c>
      <c r="E102" s="32"/>
      <c r="F102" s="32"/>
      <c r="G102" s="120"/>
      <c r="H102" s="2"/>
    </row>
    <row r="103" spans="1:8" ht="18" customHeight="1" x14ac:dyDescent="0.3">
      <c r="A103" s="2"/>
      <c r="B103" s="88">
        <v>1</v>
      </c>
      <c r="C103" s="89">
        <f>ROW(A103)-(ROW(A$102))</f>
        <v>1</v>
      </c>
      <c r="D103" s="139" t="s">
        <v>1184</v>
      </c>
      <c r="E103" s="140"/>
      <c r="F103" s="140"/>
      <c r="G103" s="136" t="s">
        <v>1156</v>
      </c>
      <c r="H103" s="2"/>
    </row>
    <row r="104" spans="1:8" ht="18" customHeight="1" x14ac:dyDescent="0.3">
      <c r="A104" s="2"/>
      <c r="B104" s="88">
        <v>1</v>
      </c>
      <c r="C104" s="89">
        <f>ROW(A104)-(ROW(A$102))</f>
        <v>2</v>
      </c>
      <c r="D104" s="139" t="s">
        <v>1205</v>
      </c>
      <c r="E104" s="140"/>
      <c r="F104" s="140"/>
      <c r="G104" s="121" t="s">
        <v>1156</v>
      </c>
      <c r="H104" s="2"/>
    </row>
    <row r="105" spans="1:8" ht="18" customHeight="1" x14ac:dyDescent="0.3">
      <c r="A105" s="2"/>
      <c r="B105" s="88">
        <v>1</v>
      </c>
      <c r="C105" s="89">
        <f>ROW(A105)-(ROW(A$102))</f>
        <v>3</v>
      </c>
      <c r="D105" s="139" t="s">
        <v>1193</v>
      </c>
      <c r="E105" s="140"/>
      <c r="F105" s="140"/>
      <c r="G105" s="122" t="s">
        <v>1156</v>
      </c>
      <c r="H105" s="2"/>
    </row>
    <row r="106" spans="1:8" ht="18.75" customHeight="1" x14ac:dyDescent="0.3">
      <c r="A106" s="2"/>
      <c r="B106" s="10" t="s">
        <v>17</v>
      </c>
      <c r="C106" s="11"/>
      <c r="D106" s="12" t="s">
        <v>1169</v>
      </c>
      <c r="E106" s="32"/>
      <c r="F106" s="32"/>
      <c r="G106" s="14"/>
      <c r="H106" s="2"/>
    </row>
    <row r="107" spans="1:8" ht="18" customHeight="1" x14ac:dyDescent="0.3">
      <c r="A107" s="2"/>
      <c r="B107" s="88">
        <v>2</v>
      </c>
      <c r="C107" s="89">
        <f>ROW(A107)-(ROW(A$106))</f>
        <v>1</v>
      </c>
      <c r="D107" s="139" t="s">
        <v>1185</v>
      </c>
      <c r="E107" s="140"/>
      <c r="F107" s="140"/>
      <c r="G107" s="121" t="s">
        <v>1156</v>
      </c>
      <c r="H107" s="2"/>
    </row>
    <row r="108" spans="1:8" ht="18" customHeight="1" x14ac:dyDescent="0.3">
      <c r="A108" s="2"/>
      <c r="B108" s="88">
        <v>2</v>
      </c>
      <c r="C108" s="89">
        <f>ROW(A108)-(ROW(A$106))</f>
        <v>2</v>
      </c>
      <c r="D108" s="139" t="s">
        <v>1195</v>
      </c>
      <c r="E108" s="140"/>
      <c r="F108" s="140"/>
      <c r="G108" s="121" t="s">
        <v>1156</v>
      </c>
      <c r="H108" s="2"/>
    </row>
    <row r="109" spans="1:8" ht="18" customHeight="1" x14ac:dyDescent="0.3">
      <c r="A109" s="2"/>
      <c r="B109" s="88">
        <v>2</v>
      </c>
      <c r="C109" s="89">
        <f>ROW(A109)-(ROW(A$106))</f>
        <v>3</v>
      </c>
      <c r="D109" s="139" t="s">
        <v>1186</v>
      </c>
      <c r="E109" s="140"/>
      <c r="F109" s="140"/>
      <c r="G109" s="121" t="s">
        <v>1156</v>
      </c>
      <c r="H109" s="2"/>
    </row>
    <row r="110" spans="1:8" ht="18" customHeight="1" x14ac:dyDescent="0.3">
      <c r="A110" s="2"/>
      <c r="B110" s="88">
        <v>2</v>
      </c>
      <c r="C110" s="89">
        <f>ROW(A110)-(ROW(A$106))</f>
        <v>4</v>
      </c>
      <c r="D110" s="139" t="s">
        <v>1196</v>
      </c>
      <c r="E110" s="140"/>
      <c r="F110" s="140"/>
      <c r="G110" s="122" t="s">
        <v>1156</v>
      </c>
      <c r="H110" s="2"/>
    </row>
    <row r="111" spans="1:8" ht="18.75" customHeight="1" x14ac:dyDescent="0.3">
      <c r="A111" s="2"/>
      <c r="B111" s="10" t="s">
        <v>24</v>
      </c>
      <c r="C111" s="11"/>
      <c r="D111" s="12" t="s">
        <v>1162</v>
      </c>
      <c r="E111" s="32"/>
      <c r="F111" s="32"/>
      <c r="G111" s="14"/>
      <c r="H111" s="2"/>
    </row>
    <row r="112" spans="1:8" ht="18" customHeight="1" x14ac:dyDescent="0.3">
      <c r="A112" s="2"/>
      <c r="B112" s="88">
        <v>3</v>
      </c>
      <c r="C112" s="89">
        <f>ROW(A112)-(ROW(A$111))</f>
        <v>1</v>
      </c>
      <c r="D112" s="139" t="s">
        <v>1163</v>
      </c>
      <c r="E112" s="140"/>
      <c r="F112" s="140"/>
      <c r="G112" s="136" t="s">
        <v>1156</v>
      </c>
      <c r="H112" s="2"/>
    </row>
    <row r="113" spans="1:8" ht="18" customHeight="1" x14ac:dyDescent="0.3">
      <c r="A113" s="2"/>
      <c r="B113" s="88">
        <v>3</v>
      </c>
      <c r="C113" s="89">
        <f>ROW(A113)-(ROW(A$111))</f>
        <v>2</v>
      </c>
      <c r="D113" s="139" t="s">
        <v>1177</v>
      </c>
      <c r="E113" s="140"/>
      <c r="F113" s="140"/>
      <c r="G113" s="122" t="s">
        <v>1156</v>
      </c>
      <c r="H113" s="2"/>
    </row>
    <row r="114" spans="1:8" ht="18.75" customHeight="1" x14ac:dyDescent="0.3">
      <c r="A114" s="2"/>
      <c r="B114" s="10" t="s">
        <v>26</v>
      </c>
      <c r="C114" s="11"/>
      <c r="D114" s="12" t="s">
        <v>1155</v>
      </c>
      <c r="E114" s="32"/>
      <c r="F114" s="32"/>
      <c r="G114" s="120"/>
      <c r="H114" s="2"/>
    </row>
    <row r="115" spans="1:8" ht="18" customHeight="1" x14ac:dyDescent="0.3">
      <c r="A115" s="2"/>
      <c r="B115" s="88">
        <v>4</v>
      </c>
      <c r="C115" s="89">
        <f>ROW(A115)-(ROW(A$114))</f>
        <v>1</v>
      </c>
      <c r="D115" s="139" t="s">
        <v>1166</v>
      </c>
      <c r="E115" s="140"/>
      <c r="F115" s="140"/>
      <c r="G115" s="121" t="s">
        <v>1156</v>
      </c>
      <c r="H115" s="2"/>
    </row>
    <row r="116" spans="1:8" ht="18" customHeight="1" x14ac:dyDescent="0.3">
      <c r="A116" s="2"/>
      <c r="B116" s="88">
        <v>4</v>
      </c>
      <c r="C116" s="89">
        <f>ROW(A116)-(ROW(A$114))</f>
        <v>2</v>
      </c>
      <c r="D116" s="139" t="s">
        <v>1161</v>
      </c>
      <c r="E116" s="140"/>
      <c r="F116" s="140"/>
      <c r="G116" s="122" t="s">
        <v>1156</v>
      </c>
      <c r="H116" s="2"/>
    </row>
    <row r="117" spans="1:8" ht="18.75" customHeight="1" x14ac:dyDescent="0.3">
      <c r="A117" s="2"/>
      <c r="B117" s="10" t="s">
        <v>41</v>
      </c>
      <c r="C117" s="11"/>
      <c r="D117" s="12"/>
      <c r="E117" s="32"/>
      <c r="F117" s="32"/>
      <c r="G117" s="14"/>
      <c r="H117" s="2"/>
    </row>
    <row r="118" spans="1:8" ht="18" customHeight="1" x14ac:dyDescent="0.3">
      <c r="A118" s="2"/>
      <c r="B118" s="88">
        <v>5</v>
      </c>
      <c r="C118" s="89">
        <f>ROW(A118)-(ROW(A$117))</f>
        <v>1</v>
      </c>
      <c r="D118" s="139"/>
      <c r="E118" s="140"/>
      <c r="F118" s="140"/>
      <c r="G118" s="136" t="s">
        <v>1156</v>
      </c>
      <c r="H118" s="2"/>
    </row>
    <row r="119" spans="1:8" ht="18" customHeight="1" x14ac:dyDescent="0.3">
      <c r="A119" s="2"/>
      <c r="B119" s="88">
        <v>5</v>
      </c>
      <c r="C119" s="89">
        <f t="shared" ref="C119:C120" si="1">ROW(A119)-(ROW(A$117))</f>
        <v>2</v>
      </c>
      <c r="D119" s="139"/>
      <c r="E119" s="140"/>
      <c r="F119" s="140"/>
      <c r="G119" s="121" t="s">
        <v>1156</v>
      </c>
      <c r="H119" s="2"/>
    </row>
    <row r="120" spans="1:8" ht="18" customHeight="1" x14ac:dyDescent="0.3">
      <c r="A120" s="2"/>
      <c r="B120" s="88">
        <v>5</v>
      </c>
      <c r="C120" s="89">
        <f t="shared" si="1"/>
        <v>3</v>
      </c>
      <c r="D120" s="139"/>
      <c r="E120" s="140"/>
      <c r="F120" s="140"/>
      <c r="G120" s="122" t="s">
        <v>1156</v>
      </c>
      <c r="H120" s="2"/>
    </row>
    <row r="121" spans="1:8" ht="18.75" customHeight="1" x14ac:dyDescent="0.3">
      <c r="A121" s="2"/>
      <c r="B121" s="2"/>
      <c r="C121" s="2"/>
      <c r="D121" s="2"/>
      <c r="E121" s="2"/>
      <c r="F121" s="2"/>
      <c r="G121" s="2"/>
      <c r="H121" s="2"/>
    </row>
    <row r="122" spans="1:8" s="4" customFormat="1" ht="18.75" customHeight="1" x14ac:dyDescent="0.3">
      <c r="A122" s="1"/>
      <c r="B122" s="3"/>
      <c r="C122" s="3"/>
      <c r="D122" s="1"/>
      <c r="E122" s="1"/>
      <c r="F122" s="1"/>
      <c r="G122" s="1"/>
      <c r="H122" s="1"/>
    </row>
    <row r="123" spans="1:8" s="4" customFormat="1" ht="18.75" customHeight="1" x14ac:dyDescent="0.3">
      <c r="A123" s="1"/>
      <c r="B123" s="3"/>
      <c r="C123" s="3"/>
      <c r="D123" s="1"/>
      <c r="E123" s="1"/>
      <c r="F123" s="1"/>
      <c r="G123" s="1"/>
      <c r="H123" s="1"/>
    </row>
    <row r="124" spans="1:8" s="4" customFormat="1" ht="18.75" customHeight="1" x14ac:dyDescent="0.3">
      <c r="A124" s="1"/>
      <c r="B124" s="3"/>
      <c r="C124" s="3"/>
      <c r="D124" s="1"/>
      <c r="E124" s="1"/>
      <c r="F124" s="1"/>
      <c r="G124" s="1"/>
      <c r="H124" s="1"/>
    </row>
    <row r="125" spans="1:8" s="4" customFormat="1" ht="18.75" customHeight="1" x14ac:dyDescent="0.3">
      <c r="A125" s="1"/>
      <c r="B125" s="3"/>
      <c r="C125" s="3"/>
      <c r="D125" s="1"/>
      <c r="E125" s="1"/>
      <c r="F125" s="1"/>
      <c r="G125" s="1"/>
      <c r="H125" s="1"/>
    </row>
    <row r="126" spans="1:8" s="4" customFormat="1" ht="18.75" customHeight="1" x14ac:dyDescent="0.3">
      <c r="A126" s="1"/>
      <c r="B126" s="3"/>
      <c r="C126" s="3"/>
      <c r="D126" s="1"/>
      <c r="E126" s="1"/>
      <c r="F126" s="1"/>
      <c r="G126" s="1"/>
      <c r="H126" s="1"/>
    </row>
    <row r="127" spans="1:8" s="4" customFormat="1" ht="18.75" customHeight="1" x14ac:dyDescent="0.3">
      <c r="A127" s="1"/>
      <c r="B127" s="3"/>
      <c r="C127" s="3"/>
      <c r="D127" s="1"/>
      <c r="E127" s="1"/>
      <c r="F127" s="1"/>
      <c r="G127" s="1"/>
      <c r="H127" s="1"/>
    </row>
    <row r="128" spans="1:8" s="4" customFormat="1" ht="18.75" customHeight="1" x14ac:dyDescent="0.3">
      <c r="A128" s="1"/>
      <c r="B128" s="3"/>
      <c r="C128" s="3"/>
      <c r="D128" s="1"/>
      <c r="E128" s="1"/>
      <c r="F128" s="1"/>
      <c r="G128" s="1"/>
      <c r="H128" s="1"/>
    </row>
    <row r="129" spans="1:8" s="4" customFormat="1" ht="18.75" customHeight="1" x14ac:dyDescent="0.3">
      <c r="A129" s="1"/>
      <c r="B129" s="3"/>
      <c r="C129" s="3"/>
      <c r="D129" s="1"/>
      <c r="E129" s="1"/>
      <c r="F129" s="1"/>
      <c r="G129" s="1"/>
      <c r="H129" s="1"/>
    </row>
    <row r="130" spans="1:8" s="4" customFormat="1" ht="18.75" customHeight="1" x14ac:dyDescent="0.3">
      <c r="A130" s="1"/>
      <c r="B130" s="3"/>
      <c r="C130" s="3"/>
      <c r="D130" s="1"/>
      <c r="E130" s="1"/>
      <c r="F130" s="1"/>
      <c r="G130" s="1"/>
      <c r="H130" s="1"/>
    </row>
    <row r="131" spans="1:8" s="4" customFormat="1" ht="18.75" customHeight="1" x14ac:dyDescent="0.3">
      <c r="A131" s="1"/>
      <c r="B131" s="3"/>
      <c r="C131" s="3"/>
      <c r="D131" s="1"/>
      <c r="E131" s="1"/>
      <c r="F131" s="1"/>
      <c r="G131" s="1"/>
      <c r="H131" s="1"/>
    </row>
    <row r="132" spans="1:8" s="4" customFormat="1" ht="18.75" customHeight="1" x14ac:dyDescent="0.3">
      <c r="A132" s="1"/>
      <c r="B132" s="3"/>
      <c r="C132" s="3"/>
      <c r="D132" s="1"/>
      <c r="E132" s="1"/>
      <c r="F132" s="1"/>
      <c r="G132" s="1"/>
      <c r="H132" s="1"/>
    </row>
    <row r="133" spans="1:8" s="4" customFormat="1" ht="18.75" customHeight="1" x14ac:dyDescent="0.3">
      <c r="A133" s="1"/>
      <c r="B133" s="3"/>
      <c r="C133" s="3"/>
      <c r="D133" s="1"/>
      <c r="E133" s="1"/>
      <c r="F133" s="1"/>
      <c r="G133" s="1"/>
      <c r="H133" s="1"/>
    </row>
    <row r="134" spans="1:8" s="4" customFormat="1" ht="18.75" customHeight="1" x14ac:dyDescent="0.3">
      <c r="A134" s="1"/>
      <c r="B134" s="3"/>
      <c r="C134" s="3"/>
      <c r="D134" s="1"/>
      <c r="E134" s="1"/>
      <c r="F134" s="1"/>
      <c r="G134" s="1"/>
      <c r="H134" s="1"/>
    </row>
    <row r="135" spans="1:8" s="4" customFormat="1" ht="18.75" customHeight="1" x14ac:dyDescent="0.3">
      <c r="A135" s="1"/>
      <c r="B135" s="3"/>
      <c r="C135" s="3"/>
      <c r="D135" s="1"/>
      <c r="E135" s="1"/>
      <c r="F135" s="1"/>
      <c r="G135" s="1"/>
      <c r="H135" s="1"/>
    </row>
    <row r="136" spans="1:8" s="4" customFormat="1" ht="18.75" customHeight="1" x14ac:dyDescent="0.3">
      <c r="A136" s="1"/>
      <c r="B136" s="3"/>
      <c r="C136" s="3"/>
      <c r="D136" s="1"/>
      <c r="E136" s="1"/>
      <c r="F136" s="1"/>
      <c r="G136" s="1"/>
      <c r="H136" s="1"/>
    </row>
    <row r="137" spans="1:8" s="4" customFormat="1" ht="18.75" customHeight="1" x14ac:dyDescent="0.3">
      <c r="A137" s="1"/>
      <c r="B137" s="3"/>
      <c r="C137" s="3"/>
      <c r="D137" s="1"/>
      <c r="E137" s="1"/>
      <c r="F137" s="1"/>
      <c r="G137" s="1"/>
      <c r="H137" s="1"/>
    </row>
    <row r="138" spans="1:8" s="4" customFormat="1" ht="18.75" customHeight="1" x14ac:dyDescent="0.3">
      <c r="A138" s="1"/>
      <c r="B138" s="3"/>
      <c r="C138" s="3"/>
      <c r="D138" s="1"/>
      <c r="E138" s="1"/>
      <c r="F138" s="1"/>
      <c r="G138" s="1"/>
      <c r="H138" s="1"/>
    </row>
    <row r="139" spans="1:8" s="4" customFormat="1" ht="18.75" customHeight="1" x14ac:dyDescent="0.3">
      <c r="A139" s="1"/>
      <c r="B139" s="3"/>
      <c r="C139" s="3"/>
      <c r="D139" s="1"/>
      <c r="E139" s="1"/>
      <c r="F139" s="1"/>
      <c r="G139" s="1"/>
      <c r="H139" s="1"/>
    </row>
    <row r="140" spans="1:8" s="4" customFormat="1" ht="18.75" customHeight="1" x14ac:dyDescent="0.3">
      <c r="A140" s="1"/>
      <c r="B140" s="3"/>
      <c r="C140" s="3"/>
      <c r="D140" s="1"/>
      <c r="E140" s="1"/>
      <c r="F140" s="1"/>
      <c r="G140" s="1"/>
      <c r="H140" s="1"/>
    </row>
    <row r="141" spans="1:8" s="4" customFormat="1" ht="18.75" customHeight="1" x14ac:dyDescent="0.3">
      <c r="A141" s="1"/>
      <c r="B141" s="3"/>
      <c r="C141" s="3"/>
      <c r="D141" s="1"/>
      <c r="E141" s="1"/>
      <c r="F141" s="1"/>
      <c r="G141" s="1"/>
      <c r="H141" s="1"/>
    </row>
    <row r="142" spans="1:8" s="4" customFormat="1" ht="18.75" customHeight="1" x14ac:dyDescent="0.3">
      <c r="A142" s="1"/>
      <c r="B142" s="3"/>
      <c r="C142" s="3"/>
      <c r="D142" s="1"/>
      <c r="E142" s="1"/>
      <c r="F142" s="1"/>
      <c r="G142" s="1"/>
      <c r="H142" s="1"/>
    </row>
    <row r="143" spans="1:8" s="4" customFormat="1" ht="18.75" customHeight="1" x14ac:dyDescent="0.3">
      <c r="A143" s="1"/>
      <c r="B143" s="3"/>
      <c r="C143" s="3"/>
      <c r="D143" s="1"/>
      <c r="E143" s="1"/>
      <c r="F143" s="1"/>
      <c r="G143" s="1"/>
      <c r="H143" s="1"/>
    </row>
    <row r="144" spans="1:8" s="4" customFormat="1" ht="18.75" customHeight="1" x14ac:dyDescent="0.3">
      <c r="A144" s="1"/>
      <c r="B144" s="3"/>
      <c r="C144" s="3"/>
      <c r="D144" s="1"/>
      <c r="E144" s="1"/>
      <c r="F144" s="1"/>
      <c r="G144" s="1"/>
      <c r="H144" s="1"/>
    </row>
    <row r="145" spans="1:8" s="4" customFormat="1" ht="18.75" customHeight="1" x14ac:dyDescent="0.3">
      <c r="A145" s="1"/>
      <c r="B145" s="3"/>
      <c r="C145" s="3"/>
      <c r="D145" s="1"/>
      <c r="E145" s="1"/>
      <c r="F145" s="1"/>
      <c r="G145" s="1"/>
      <c r="H145" s="1"/>
    </row>
    <row r="146" spans="1:8" s="4" customFormat="1" ht="18.75" customHeight="1" x14ac:dyDescent="0.3">
      <c r="A146" s="1"/>
      <c r="B146" s="3"/>
      <c r="C146" s="3"/>
      <c r="D146" s="1"/>
      <c r="E146" s="1"/>
      <c r="F146" s="1"/>
      <c r="G146" s="1"/>
      <c r="H146" s="1"/>
    </row>
    <row r="147" spans="1:8" s="4" customFormat="1" ht="18.75" customHeight="1" x14ac:dyDescent="0.3">
      <c r="A147" s="1"/>
      <c r="B147" s="3"/>
      <c r="C147" s="3"/>
      <c r="D147" s="1"/>
      <c r="E147" s="1"/>
      <c r="F147" s="1"/>
      <c r="G147" s="1"/>
      <c r="H147" s="1"/>
    </row>
    <row r="148" spans="1:8" s="4" customFormat="1" ht="18.75" customHeight="1" x14ac:dyDescent="0.3">
      <c r="A148" s="1"/>
      <c r="B148" s="3"/>
      <c r="C148" s="3"/>
      <c r="D148" s="1"/>
      <c r="E148" s="1"/>
      <c r="F148" s="1"/>
      <c r="G148" s="1"/>
      <c r="H148" s="1"/>
    </row>
    <row r="149" spans="1:8" s="4" customFormat="1" ht="18.75" customHeight="1" x14ac:dyDescent="0.3">
      <c r="A149" s="1"/>
      <c r="B149" s="3"/>
      <c r="C149" s="3"/>
      <c r="D149" s="1"/>
      <c r="E149" s="1"/>
      <c r="F149" s="1"/>
      <c r="G149" s="1"/>
      <c r="H149" s="1"/>
    </row>
    <row r="150" spans="1:8" s="4" customFormat="1" ht="18.75" customHeight="1" x14ac:dyDescent="0.3">
      <c r="A150" s="1"/>
      <c r="B150" s="3"/>
      <c r="C150" s="3"/>
      <c r="D150" s="1"/>
      <c r="E150" s="1"/>
      <c r="F150" s="1"/>
      <c r="G150" s="1"/>
      <c r="H150" s="1"/>
    </row>
    <row r="151" spans="1:8" s="4" customFormat="1" ht="18.75" customHeight="1" x14ac:dyDescent="0.3">
      <c r="A151" s="1"/>
      <c r="B151" s="3"/>
      <c r="C151" s="3"/>
      <c r="D151" s="1"/>
      <c r="E151" s="1"/>
      <c r="F151" s="1"/>
      <c r="G151" s="1"/>
      <c r="H151" s="1"/>
    </row>
    <row r="152" spans="1:8" s="4" customFormat="1" ht="18.75" customHeight="1" x14ac:dyDescent="0.3">
      <c r="A152" s="1"/>
      <c r="B152" s="3"/>
      <c r="C152" s="3"/>
      <c r="D152" s="1"/>
      <c r="E152" s="1"/>
      <c r="F152" s="1"/>
      <c r="G152" s="1"/>
      <c r="H152" s="1"/>
    </row>
    <row r="153" spans="1:8" s="4" customFormat="1" ht="18.75" customHeight="1" x14ac:dyDescent="0.3">
      <c r="A153" s="1"/>
      <c r="B153" s="3"/>
      <c r="C153" s="3"/>
      <c r="D153" s="1"/>
      <c r="E153" s="1"/>
      <c r="F153" s="1"/>
      <c r="G153" s="1"/>
      <c r="H153" s="1"/>
    </row>
    <row r="154" spans="1:8" s="4" customFormat="1" ht="18.75" customHeight="1" x14ac:dyDescent="0.3">
      <c r="A154" s="1"/>
      <c r="B154" s="3"/>
      <c r="C154" s="3"/>
      <c r="D154" s="1"/>
      <c r="E154" s="1"/>
      <c r="F154" s="1"/>
      <c r="G154" s="1"/>
      <c r="H154" s="1"/>
    </row>
    <row r="155" spans="1:8" s="4" customFormat="1" ht="18.75" customHeight="1" x14ac:dyDescent="0.3">
      <c r="A155" s="1"/>
      <c r="B155" s="3"/>
      <c r="C155" s="3"/>
      <c r="D155" s="1"/>
      <c r="E155" s="1"/>
      <c r="F155" s="1"/>
      <c r="G155" s="1"/>
      <c r="H155" s="1"/>
    </row>
    <row r="156" spans="1:8" s="4" customFormat="1" ht="18.75" customHeight="1" x14ac:dyDescent="0.3">
      <c r="A156" s="1"/>
      <c r="B156" s="3"/>
      <c r="C156" s="3"/>
      <c r="D156" s="1"/>
      <c r="E156" s="1"/>
      <c r="F156" s="1"/>
      <c r="G156" s="1"/>
      <c r="H156" s="1"/>
    </row>
    <row r="157" spans="1:8" s="4" customFormat="1" ht="18.75" customHeight="1" x14ac:dyDescent="0.3">
      <c r="A157" s="1"/>
      <c r="B157" s="3"/>
      <c r="C157" s="3"/>
      <c r="D157" s="1"/>
      <c r="E157" s="1"/>
      <c r="F157" s="1"/>
      <c r="G157" s="1"/>
      <c r="H157" s="1"/>
    </row>
    <row r="158" spans="1:8" s="4" customFormat="1" ht="18.75" customHeight="1" x14ac:dyDescent="0.3">
      <c r="A158" s="1"/>
      <c r="B158" s="3"/>
      <c r="C158" s="3"/>
      <c r="D158" s="1"/>
      <c r="E158" s="1"/>
      <c r="F158" s="1"/>
      <c r="G158" s="1"/>
      <c r="H158" s="1"/>
    </row>
    <row r="159" spans="1:8" s="4" customFormat="1" ht="18.75" customHeight="1" x14ac:dyDescent="0.3">
      <c r="A159" s="1"/>
      <c r="B159" s="3"/>
      <c r="C159" s="3"/>
      <c r="D159" s="1"/>
      <c r="E159" s="1"/>
      <c r="F159" s="1"/>
      <c r="G159" s="1"/>
      <c r="H159" s="1"/>
    </row>
    <row r="160" spans="1:8" s="4" customFormat="1" ht="18.75" customHeight="1" x14ac:dyDescent="0.3">
      <c r="A160" s="1"/>
      <c r="B160" s="3"/>
      <c r="C160" s="3"/>
      <c r="D160" s="1"/>
      <c r="E160" s="1"/>
      <c r="F160" s="1"/>
      <c r="G160" s="1"/>
      <c r="H160" s="1"/>
    </row>
    <row r="161" spans="1:8" s="4" customFormat="1" ht="18.75" customHeight="1" x14ac:dyDescent="0.3">
      <c r="A161" s="1"/>
      <c r="B161" s="3"/>
      <c r="C161" s="3"/>
      <c r="D161" s="1"/>
      <c r="E161" s="1"/>
      <c r="F161" s="1"/>
      <c r="G161" s="1"/>
      <c r="H161" s="1"/>
    </row>
    <row r="162" spans="1:8" s="4" customFormat="1" ht="18.75" customHeight="1" x14ac:dyDescent="0.3">
      <c r="A162" s="1"/>
      <c r="B162" s="3"/>
      <c r="C162" s="3"/>
      <c r="D162" s="1"/>
      <c r="E162" s="1"/>
      <c r="F162" s="1"/>
      <c r="G162" s="1"/>
      <c r="H162" s="1"/>
    </row>
    <row r="163" spans="1:8" s="4" customFormat="1" ht="18.75" customHeight="1" x14ac:dyDescent="0.3">
      <c r="A163" s="1"/>
      <c r="B163" s="3"/>
      <c r="C163" s="3"/>
      <c r="D163" s="1"/>
      <c r="E163" s="1"/>
      <c r="F163" s="1"/>
      <c r="G163" s="1"/>
      <c r="H163" s="1"/>
    </row>
    <row r="164" spans="1:8" s="4" customFormat="1" ht="18.75" customHeight="1" x14ac:dyDescent="0.3">
      <c r="A164" s="1"/>
      <c r="B164" s="3"/>
      <c r="C164" s="3"/>
      <c r="D164" s="1"/>
      <c r="E164" s="1"/>
      <c r="F164" s="1"/>
      <c r="G164" s="1"/>
      <c r="H164" s="1"/>
    </row>
    <row r="165" spans="1:8" s="4" customFormat="1" ht="18.75" customHeight="1" x14ac:dyDescent="0.3">
      <c r="A165" s="1"/>
      <c r="B165" s="3"/>
      <c r="C165" s="3"/>
      <c r="D165" s="1"/>
      <c r="E165" s="1"/>
      <c r="F165" s="1"/>
      <c r="G165" s="1"/>
      <c r="H165" s="1"/>
    </row>
    <row r="166" spans="1:8" s="4" customFormat="1" ht="18.75" customHeight="1" x14ac:dyDescent="0.3">
      <c r="A166" s="1"/>
      <c r="B166" s="3"/>
      <c r="C166" s="3"/>
      <c r="D166" s="1"/>
      <c r="E166" s="1"/>
      <c r="F166" s="1"/>
      <c r="G166" s="1"/>
      <c r="H166" s="1"/>
    </row>
    <row r="167" spans="1:8" s="4" customFormat="1" ht="18.75" customHeight="1" x14ac:dyDescent="0.3">
      <c r="A167" s="1"/>
      <c r="B167" s="3"/>
      <c r="C167" s="3"/>
      <c r="D167" s="1"/>
      <c r="E167" s="1"/>
      <c r="F167" s="1"/>
      <c r="G167" s="1"/>
      <c r="H167" s="1"/>
    </row>
    <row r="168" spans="1:8" s="4" customFormat="1" ht="18.75" customHeight="1" x14ac:dyDescent="0.3">
      <c r="A168" s="1"/>
      <c r="B168" s="3"/>
      <c r="C168" s="3"/>
      <c r="D168" s="1"/>
      <c r="E168" s="1"/>
      <c r="F168" s="1"/>
      <c r="G168" s="1"/>
      <c r="H168" s="1"/>
    </row>
    <row r="169" spans="1:8" s="4" customFormat="1" ht="18.75" customHeight="1" x14ac:dyDescent="0.3">
      <c r="A169" s="1"/>
      <c r="B169" s="3"/>
      <c r="C169" s="3"/>
      <c r="D169" s="1"/>
      <c r="E169" s="1"/>
      <c r="F169" s="1"/>
      <c r="G169" s="1"/>
      <c r="H169" s="1"/>
    </row>
    <row r="170" spans="1:8" s="4" customFormat="1" ht="18.75" customHeight="1" x14ac:dyDescent="0.3">
      <c r="A170" s="1"/>
      <c r="B170" s="3"/>
      <c r="C170" s="3"/>
      <c r="D170" s="1"/>
      <c r="E170" s="1"/>
      <c r="F170" s="1"/>
      <c r="G170" s="1"/>
      <c r="H170" s="1"/>
    </row>
    <row r="171" spans="1:8" s="4" customFormat="1" ht="18.75" customHeight="1" x14ac:dyDescent="0.3">
      <c r="A171" s="1"/>
      <c r="B171" s="3"/>
      <c r="C171" s="3"/>
      <c r="D171" s="1"/>
      <c r="E171" s="1"/>
      <c r="F171" s="1"/>
      <c r="G171" s="1"/>
      <c r="H171" s="1"/>
    </row>
    <row r="172" spans="1:8" s="4" customFormat="1" ht="18.75" customHeight="1" x14ac:dyDescent="0.3">
      <c r="A172" s="1"/>
      <c r="B172" s="3"/>
      <c r="C172" s="3"/>
      <c r="D172" s="1"/>
      <c r="E172" s="1"/>
      <c r="F172" s="1"/>
      <c r="G172" s="1"/>
      <c r="H172" s="1"/>
    </row>
    <row r="173" spans="1:8" s="4" customFormat="1" ht="18.75" customHeight="1" x14ac:dyDescent="0.3">
      <c r="A173" s="1"/>
      <c r="B173" s="3"/>
      <c r="C173" s="3"/>
      <c r="D173" s="1"/>
      <c r="E173" s="1"/>
      <c r="F173" s="1"/>
      <c r="G173" s="1"/>
      <c r="H173" s="1"/>
    </row>
  </sheetData>
  <mergeCells count="34">
    <mergeCell ref="D116:F116"/>
    <mergeCell ref="D118:F118"/>
    <mergeCell ref="D119:F119"/>
    <mergeCell ref="D120:F120"/>
    <mergeCell ref="D108:F108"/>
    <mergeCell ref="D109:F109"/>
    <mergeCell ref="D110:F110"/>
    <mergeCell ref="D112:F112"/>
    <mergeCell ref="D113:F113"/>
    <mergeCell ref="D115:F115"/>
    <mergeCell ref="D100:F100"/>
    <mergeCell ref="D101:F101"/>
    <mergeCell ref="D103:F103"/>
    <mergeCell ref="D104:F104"/>
    <mergeCell ref="D105:F105"/>
    <mergeCell ref="D107:F107"/>
    <mergeCell ref="D94:F94"/>
    <mergeCell ref="D95:F95"/>
    <mergeCell ref="D96:F96"/>
    <mergeCell ref="D97:F97"/>
    <mergeCell ref="D98:F98"/>
    <mergeCell ref="D99:F99"/>
    <mergeCell ref="D87:F87"/>
    <mergeCell ref="D88:F88"/>
    <mergeCell ref="D89:F89"/>
    <mergeCell ref="D90:F90"/>
    <mergeCell ref="D92:F92"/>
    <mergeCell ref="D93:F93"/>
    <mergeCell ref="D79:F79"/>
    <mergeCell ref="D81:F81"/>
    <mergeCell ref="D82:F82"/>
    <mergeCell ref="D83:F83"/>
    <mergeCell ref="D84:F84"/>
    <mergeCell ref="D85:F85"/>
  </mergeCells>
  <dataValidations count="2">
    <dataValidation allowBlank="1" sqref="G77" xr:uid="{BEB43814-8C6E-44FF-BC40-08E4914FA6E3}"/>
    <dataValidation type="list" errorStyle="warning" allowBlank="1" showInputMessage="1" showErrorMessage="1" errorTitle="Handlungsbedarf" error="Bitte geben Sie eine gültige Antwort ein:_x000a_ja, nein, prüfen" sqref="G87:G90 G103:G120 G81:G85 G79 G92:G101 G58:G66 G49:G56 G36:G47 G68:G71 G73 G75" xr:uid="{3F9F073C-2701-41E0-A428-7C1695DE3D32}">
      <formula1>Handlungsbedarf</formula1>
    </dataValidation>
  </dataValidations>
  <printOptions horizontalCentered="1"/>
  <pageMargins left="0.39370078740157483" right="0.39370078740157483" top="0.39370078740157483" bottom="0.47244094488188981" header="0.31496062992125984" footer="0.19685039370078741"/>
  <pageSetup paperSize="9" scale="81" fitToHeight="3" orientation="portrait" r:id="rId1"/>
  <headerFooter>
    <oddFooter>&amp;L&amp;G&amp;C&amp;"Arial,Standard"&amp;9GBU &amp;A&amp;R&amp;"Arial,Standard"&amp;9Seite &amp;P / &amp;N</oddFooter>
  </headerFooter>
  <rowBreaks count="2" manualBreakCount="2">
    <brk id="33" min="1" max="6" man="1"/>
    <brk id="76" min="1" max="6" man="1"/>
  </rowBreaks>
  <drawing r:id="rId2"/>
  <legacyDrawingHF r:id="rId3"/>
  <extLst>
    <ext xmlns:x14="http://schemas.microsoft.com/office/spreadsheetml/2009/9/main" uri="{78C0D931-6437-407d-A8EE-F0AAD7539E65}">
      <x14:conditionalFormattings>
        <x14:conditionalFormatting xmlns:xm="http://schemas.microsoft.com/office/excel/2006/main">
          <x14:cfRule type="cellIs" priority="23" operator="equal" id="{2B5B787A-0D26-4678-974B-90028BFCEC8C}">
            <xm:f>Daten!$I$4</xm:f>
            <x14:dxf>
              <font>
                <color rgb="FFFF0000"/>
              </font>
            </x14:dxf>
          </x14:cfRule>
          <xm:sqref>G1:G1048576</xm:sqref>
        </x14:conditionalFormatting>
        <x14:conditionalFormatting xmlns:xm="http://schemas.microsoft.com/office/excel/2006/main">
          <x14:cfRule type="cellIs" priority="20" operator="equal" id="{D7EF0E2F-80C8-46EF-8F55-BEF3B7D60FF3}">
            <xm:f>Daten!$I$2</xm:f>
            <x14:dxf>
              <font>
                <color theme="1" tint="0.499984740745262"/>
              </font>
            </x14:dxf>
          </x14:cfRule>
          <xm:sqref>G36:G47 G77:G121</xm:sqref>
        </x14:conditionalFormatting>
        <x14:conditionalFormatting xmlns:xm="http://schemas.microsoft.com/office/excel/2006/main">
          <x14:cfRule type="cellIs" priority="21" operator="equal" id="{1195F214-7247-4FDD-9FCD-F27C12A8FDE4}">
            <xm:f>Daten!$I$3</xm:f>
            <x14:dxf>
              <font>
                <color rgb="FF00B050"/>
              </font>
            </x14:dxf>
          </x14:cfRule>
          <x14:cfRule type="cellIs" priority="22" operator="equal" id="{6F4DDD03-4D93-4028-9AD1-1E5410539AC0}">
            <xm:f>Daten!$I$2</xm:f>
            <x14:dxf>
              <font>
                <color theme="1" tint="0.499984740745262"/>
              </font>
            </x14:dxf>
          </x14:cfRule>
          <xm:sqref>G49</xm:sqref>
        </x14:conditionalFormatting>
        <x14:conditionalFormatting xmlns:xm="http://schemas.microsoft.com/office/excel/2006/main">
          <x14:cfRule type="cellIs" priority="9" operator="equal" id="{2C0C9D68-17EF-4815-8537-8E2CF77935B1}">
            <xm:f>Daten!$I$3</xm:f>
            <x14:dxf>
              <font>
                <color rgb="FF00B050"/>
              </font>
            </x14:dxf>
          </x14:cfRule>
          <x14:cfRule type="cellIs" priority="10" operator="equal" id="{1CF2D3D9-E490-4034-997E-56F07D6CE593}">
            <xm:f>Daten!$I$2</xm:f>
            <x14:dxf>
              <font>
                <color theme="1" tint="0.499984740745262"/>
              </font>
            </x14:dxf>
          </x14:cfRule>
          <x14:cfRule type="cellIs" priority="13" operator="equal" id="{8E52D0BC-F9DE-4A85-8245-1DBC08FBF980}">
            <xm:f>Daten!$I$3</xm:f>
            <x14:dxf>
              <font>
                <color rgb="FF00B050"/>
              </font>
            </x14:dxf>
          </x14:cfRule>
          <x14:cfRule type="cellIs" priority="14" operator="equal" id="{2C13A108-79D2-4309-B3BB-757F09296062}">
            <xm:f>Daten!$I$2</xm:f>
            <x14:dxf>
              <font>
                <color theme="1" tint="0.499984740745262"/>
              </font>
            </x14:dxf>
          </x14:cfRule>
          <xm:sqref>G49:G56</xm:sqref>
        </x14:conditionalFormatting>
        <x14:conditionalFormatting xmlns:xm="http://schemas.microsoft.com/office/excel/2006/main">
          <x14:cfRule type="cellIs" priority="17" operator="equal" id="{9C767273-2425-40DB-B00C-E869BE35EC56}">
            <xm:f>Daten!$I$3</xm:f>
            <x14:dxf>
              <font>
                <color rgb="FF00B050"/>
              </font>
            </x14:dxf>
          </x14:cfRule>
          <x14:cfRule type="cellIs" priority="18" operator="equal" id="{0451A498-BA54-416E-8D98-A4B1454DDB9C}">
            <xm:f>Daten!$I$2</xm:f>
            <x14:dxf>
              <font>
                <color theme="1" tint="0.499984740745262"/>
              </font>
            </x14:dxf>
          </x14:cfRule>
          <xm:sqref>G58</xm:sqref>
        </x14:conditionalFormatting>
        <x14:conditionalFormatting xmlns:xm="http://schemas.microsoft.com/office/excel/2006/main">
          <x14:cfRule type="cellIs" priority="7" operator="equal" id="{82524C3C-9976-4A7D-ADA7-794548917134}">
            <xm:f>Daten!$I$3</xm:f>
            <x14:dxf>
              <font>
                <color rgb="FF00B050"/>
              </font>
            </x14:dxf>
          </x14:cfRule>
          <x14:cfRule type="cellIs" priority="8" operator="equal" id="{3430B10C-3284-4836-A1F4-3EA74BF016CF}">
            <xm:f>Daten!$I$2</xm:f>
            <x14:dxf>
              <font>
                <color theme="1" tint="0.499984740745262"/>
              </font>
            </x14:dxf>
          </x14:cfRule>
          <x14:cfRule type="cellIs" priority="15" operator="equal" id="{ECD3C5AE-4996-492C-819F-AAC751AE6DC4}">
            <xm:f>Daten!$I$3</xm:f>
            <x14:dxf>
              <font>
                <color rgb="FF00B050"/>
              </font>
            </x14:dxf>
          </x14:cfRule>
          <x14:cfRule type="cellIs" priority="16" operator="equal" id="{4C08F8FA-D8BD-4548-854B-70CEF8A5DE4C}">
            <xm:f>Daten!$I$2</xm:f>
            <x14:dxf>
              <font>
                <color theme="1" tint="0.499984740745262"/>
              </font>
            </x14:dxf>
          </x14:cfRule>
          <xm:sqref>G58:G66</xm:sqref>
        </x14:conditionalFormatting>
        <x14:conditionalFormatting xmlns:xm="http://schemas.microsoft.com/office/excel/2006/main">
          <x14:cfRule type="cellIs" priority="24" operator="equal" id="{68A23105-9D7E-46D7-9252-3319458EF6D7}">
            <xm:f>Daten!$I$3</xm:f>
            <x14:dxf>
              <font>
                <color rgb="FF00B050"/>
              </font>
            </x14:dxf>
          </x14:cfRule>
          <x14:cfRule type="cellIs" priority="25" operator="equal" id="{0C1171F7-012F-4C12-8F05-13FF9EACF3C1}">
            <xm:f>Daten!$I$2</xm:f>
            <x14:dxf>
              <font>
                <color theme="1" tint="0.499984740745262"/>
              </font>
            </x14:dxf>
          </x14:cfRule>
          <xm:sqref>G68:G71 G73 G75</xm:sqref>
        </x14:conditionalFormatting>
        <x14:conditionalFormatting xmlns:xm="http://schemas.microsoft.com/office/excel/2006/main">
          <x14:cfRule type="cellIs" priority="5" operator="equal" id="{56299976-68D9-4B38-9EC2-50FD93F7675E}">
            <xm:f>Daten!$I$3</xm:f>
            <x14:dxf>
              <font>
                <color rgb="FF00B050"/>
              </font>
            </x14:dxf>
          </x14:cfRule>
          <x14:cfRule type="cellIs" priority="6" operator="equal" id="{647DCEF2-950B-4C09-A7E3-23EE90B05D35}">
            <xm:f>Daten!$I$2</xm:f>
            <x14:dxf>
              <font>
                <color theme="1" tint="0.499984740745262"/>
              </font>
            </x14:dxf>
          </x14:cfRule>
          <x14:cfRule type="cellIs" priority="11" operator="equal" id="{86C7929D-71E0-4E24-8C95-F94094608EE2}">
            <xm:f>Daten!$I$3</xm:f>
            <x14:dxf>
              <font>
                <color rgb="FF00B050"/>
              </font>
            </x14:dxf>
          </x14:cfRule>
          <x14:cfRule type="cellIs" priority="12" operator="equal" id="{6DDB44C5-25B9-450D-9B0E-926249A57DD1}">
            <xm:f>Daten!$I$2</xm:f>
            <x14:dxf>
              <font>
                <color theme="1" tint="0.499984740745262"/>
              </font>
            </x14:dxf>
          </x14:cfRule>
          <xm:sqref>G70:G71</xm:sqref>
        </x14:conditionalFormatting>
        <x14:conditionalFormatting xmlns:xm="http://schemas.microsoft.com/office/excel/2006/main">
          <x14:cfRule type="cellIs" priority="19" operator="equal" id="{90BEDDE9-8E5B-45D5-B26C-9A1227ADFEB6}">
            <xm:f>Daten!$I$3</xm:f>
            <x14:dxf>
              <font>
                <color rgb="FF00B050"/>
              </font>
            </x14:dxf>
          </x14:cfRule>
          <xm:sqref>G77:G121 G36:G47</xm:sqref>
        </x14:conditionalFormatting>
        <x14:conditionalFormatting xmlns:xm="http://schemas.microsoft.com/office/excel/2006/main">
          <x14:cfRule type="cellIs" priority="1" operator="equal" id="{BBC68F1E-829B-49F4-BF33-50F11B77A95B}">
            <xm:f>Daten!$I$3</xm:f>
            <x14:dxf>
              <font>
                <color rgb="FF00B050"/>
              </font>
            </x14:dxf>
          </x14:cfRule>
          <x14:cfRule type="cellIs" priority="2" operator="equal" id="{C5B454E5-1CE2-48C8-9E58-4806DC5BFA4A}">
            <xm:f>Daten!$I$2</xm:f>
            <x14:dxf>
              <font>
                <color theme="1" tint="0.499984740745262"/>
              </font>
            </x14:dxf>
          </x14:cfRule>
          <x14:cfRule type="cellIs" priority="3" operator="equal" id="{9CC1D1E2-CA13-47D7-B0B9-D38034CA2C81}">
            <xm:f>Daten!$I$3</xm:f>
            <x14:dxf>
              <font>
                <color rgb="FF00B050"/>
              </font>
            </x14:dxf>
          </x14:cfRule>
          <x14:cfRule type="cellIs" priority="4" operator="equal" id="{11AACC73-8637-4AF1-99DA-F999FC9E0636}">
            <xm:f>Daten!$I$2</xm:f>
            <x14:dxf>
              <font>
                <color theme="1" tint="0.499984740745262"/>
              </font>
            </x14:dxf>
          </x14:cfRule>
          <xm:sqref>G79 G81:G85 G87:G89 G92:G100 G107:G108 G113 G115:G116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4F55-7D0E-4989-9462-884F57BBF548}">
  <sheetPr>
    <pageSetUpPr fitToPage="1"/>
  </sheetPr>
  <dimension ref="A1:J173"/>
  <sheetViews>
    <sheetView showGridLines="0" zoomScaleNormal="100" zoomScaleSheetLayoutView="80" workbookViewId="0">
      <selection activeCell="J15" sqref="J15"/>
    </sheetView>
  </sheetViews>
  <sheetFormatPr baseColWidth="10" defaultColWidth="11.44140625" defaultRowHeight="18.75" customHeight="1" x14ac:dyDescent="0.3"/>
  <cols>
    <col min="1" max="1" width="2.109375" style="1" customWidth="1"/>
    <col min="2" max="3" width="3.5546875" style="3" customWidth="1"/>
    <col min="4" max="4" width="33.33203125" style="1" customWidth="1"/>
    <col min="5" max="5" width="65.5546875" style="1" customWidth="1"/>
    <col min="6" max="6" width="1.109375" style="1" customWidth="1"/>
    <col min="7" max="7" width="8.88671875" style="1" customWidth="1"/>
    <col min="8" max="8" width="2.109375" style="1" customWidth="1"/>
    <col min="9" max="9" width="3.33203125" style="1" customWidth="1"/>
    <col min="10" max="10" width="63.33203125" style="1" customWidth="1"/>
    <col min="11" max="16384" width="11.44140625" style="1"/>
  </cols>
  <sheetData>
    <row r="1" spans="1:9" ht="25.95" customHeight="1" x14ac:dyDescent="0.4">
      <c r="A1" s="2"/>
      <c r="B1" s="103" t="s">
        <v>2516</v>
      </c>
      <c r="F1" s="100" t="s">
        <v>1149</v>
      </c>
      <c r="G1" s="129" t="s">
        <v>1336</v>
      </c>
      <c r="H1" s="2"/>
      <c r="I1" s="87"/>
    </row>
    <row r="2" spans="1:9" ht="24" customHeight="1" x14ac:dyDescent="0.3">
      <c r="A2" s="2"/>
      <c r="B2" s="125" t="str">
        <f>CONCATENATE(Daten!G2," · ",Daten!H2)</f>
        <v>OTH Oberflächentechnik Hagen GmbH &amp; Co. KG · Selbecker Str. 145-149, 58091 Hagen</v>
      </c>
      <c r="C2" s="79"/>
      <c r="D2" s="80"/>
      <c r="E2" s="81"/>
      <c r="F2" s="101" t="s">
        <v>1144</v>
      </c>
      <c r="G2" s="99">
        <f ca="1">TODAY()</f>
        <v>45905</v>
      </c>
      <c r="H2" s="2"/>
    </row>
    <row r="3" spans="1:9" ht="9" customHeight="1" x14ac:dyDescent="0.3">
      <c r="A3" s="2"/>
      <c r="D3" s="75"/>
      <c r="H3" s="2"/>
    </row>
    <row r="4" spans="1:9" ht="12" customHeight="1" x14ac:dyDescent="0.3">
      <c r="A4" s="2"/>
      <c r="H4" s="2"/>
    </row>
    <row r="5" spans="1:9" ht="18" customHeight="1" x14ac:dyDescent="0.3">
      <c r="A5" s="2"/>
      <c r="D5" s="74" t="s">
        <v>1112</v>
      </c>
      <c r="E5" s="130" t="s">
        <v>1150</v>
      </c>
      <c r="H5" s="2"/>
      <c r="I5" s="87"/>
    </row>
    <row r="6" spans="1:9" ht="18" customHeight="1" x14ac:dyDescent="0.3">
      <c r="A6" s="2"/>
      <c r="D6" s="74" t="s">
        <v>1</v>
      </c>
      <c r="E6" s="73" t="str">
        <f>CONCATENATE(Daten!G5," (",Daten!H5,")")</f>
        <v>Herr Udo Gensowski (Geschäftsführer)</v>
      </c>
      <c r="H6" s="2"/>
    </row>
    <row r="7" spans="1:9" ht="9" customHeight="1" x14ac:dyDescent="0.3">
      <c r="A7" s="2"/>
      <c r="D7" s="75"/>
      <c r="H7" s="2"/>
    </row>
    <row r="8" spans="1:9" ht="18" customHeight="1" x14ac:dyDescent="0.3">
      <c r="A8" s="2"/>
      <c r="B8" s="60" t="s">
        <v>1148</v>
      </c>
      <c r="C8" s="58"/>
      <c r="D8" s="76"/>
      <c r="E8" s="59"/>
      <c r="F8" s="2"/>
      <c r="G8" s="2"/>
      <c r="H8" s="2"/>
    </row>
    <row r="9" spans="1:9" ht="9" customHeight="1" x14ac:dyDescent="0.3">
      <c r="A9" s="2"/>
      <c r="D9" s="75"/>
      <c r="H9" s="2"/>
    </row>
    <row r="10" spans="1:9" ht="30" customHeight="1" x14ac:dyDescent="0.3">
      <c r="A10" s="2"/>
      <c r="B10" s="54"/>
      <c r="D10" s="77" t="s">
        <v>1107</v>
      </c>
      <c r="E10" s="61" t="str">
        <f>VLOOKUP($G$1,'Übersicht GBU'!A:AB,4,FALSE)</f>
        <v>Salzsäure 30%</v>
      </c>
      <c r="H10" s="2"/>
    </row>
    <row r="11" spans="1:9" ht="18" customHeight="1" x14ac:dyDescent="0.3">
      <c r="A11" s="2"/>
      <c r="D11" s="85" t="s">
        <v>1108</v>
      </c>
      <c r="E11" s="83" t="str">
        <f>VLOOKUP($G$1,'Übersicht GBU'!A:AB,5,FALSE)</f>
        <v>Covestro Deutschland AG</v>
      </c>
      <c r="H11" s="2"/>
    </row>
    <row r="12" spans="1:9" ht="18" customHeight="1" x14ac:dyDescent="0.3">
      <c r="A12" s="2"/>
      <c r="D12" s="86" t="s">
        <v>1106</v>
      </c>
      <c r="E12" s="84">
        <f>VLOOKUP($G$1,'Übersicht GBU'!A:AB,6,FALSE)</f>
        <v>43008</v>
      </c>
      <c r="H12" s="2"/>
    </row>
    <row r="13" spans="1:9" ht="18" customHeight="1" x14ac:dyDescent="0.3">
      <c r="A13" s="2"/>
      <c r="D13" s="85" t="s">
        <v>1111</v>
      </c>
      <c r="E13" s="83" t="str">
        <f>CONCATENATE(VLOOKUP($G$1,'Übersicht GBU'!A:AB,7,FALSE),", ",VLOOKUP($G$1,'Übersicht GBU'!A:AB,8,FALSE)," (",VLOOKUP($G$1,'Übersicht GBU'!A:AB,9,FALSE),")")</f>
        <v>Flüssigkeit, gelblich (Stoff)</v>
      </c>
      <c r="H13" s="2"/>
    </row>
    <row r="14" spans="1:9" ht="30" customHeight="1" x14ac:dyDescent="0.3">
      <c r="A14" s="2"/>
      <c r="D14" s="77" t="s">
        <v>1109</v>
      </c>
      <c r="E14" s="72" t="str">
        <f>VLOOKUP($G$1,'Übersicht GBU'!A:AB,10,FALSE)</f>
        <v>Beizen</v>
      </c>
      <c r="H14" s="2"/>
    </row>
    <row r="15" spans="1:9" ht="9" customHeight="1" x14ac:dyDescent="0.3">
      <c r="A15" s="2"/>
      <c r="D15" s="75"/>
      <c r="H15" s="2"/>
    </row>
    <row r="16" spans="1:9" ht="209.4" customHeight="1" x14ac:dyDescent="0.3">
      <c r="A16" s="2"/>
      <c r="D16" s="78" t="s">
        <v>1187</v>
      </c>
      <c r="E16" s="131" t="s">
        <v>1291</v>
      </c>
      <c r="G16" s="123" t="s">
        <v>2517</v>
      </c>
      <c r="H16" s="2"/>
      <c r="I16" s="87"/>
    </row>
    <row r="17" spans="1:10" ht="9" customHeight="1" x14ac:dyDescent="0.3">
      <c r="A17" s="2"/>
      <c r="D17" s="75"/>
      <c r="H17" s="2"/>
    </row>
    <row r="18" spans="1:10" ht="18" customHeight="1" x14ac:dyDescent="0.3">
      <c r="A18" s="2"/>
      <c r="B18" s="60" t="s">
        <v>1254</v>
      </c>
      <c r="C18" s="58"/>
      <c r="D18" s="76"/>
      <c r="E18" s="59"/>
      <c r="F18" s="2"/>
      <c r="G18" s="2"/>
      <c r="H18" s="2"/>
    </row>
    <row r="19" spans="1:10" ht="9" customHeight="1" x14ac:dyDescent="0.3">
      <c r="A19" s="2"/>
      <c r="D19" s="75"/>
      <c r="H19" s="2"/>
    </row>
    <row r="20" spans="1:10" ht="18" customHeight="1" x14ac:dyDescent="0.3">
      <c r="A20" s="2"/>
      <c r="D20" s="85" t="s">
        <v>1114</v>
      </c>
      <c r="E20" s="83" t="str">
        <f>VLOOKUP($G$1,'Übersicht GBU'!A:AB,11,FALSE)</f>
        <v>GHS 05, GHS 07, Gefahr</v>
      </c>
      <c r="H20" s="2"/>
    </row>
    <row r="21" spans="1:10" ht="30" customHeight="1" x14ac:dyDescent="0.3">
      <c r="A21" s="2"/>
      <c r="D21" s="77" t="s">
        <v>1181</v>
      </c>
      <c r="E21" s="72" t="str">
        <f>CONCATENATE(VLOOKUP($G$1,'Übersicht GBU'!A:AB,12,FALSE)," / ",(VLOOKUP($G$1,'Übersicht GBU'!A:AB,13,FALSE))," / ",(VLOOKUP($G$1,'Übersicht GBU'!A:AB,14,FALSE))," / ",(VLOOKUP($G$1,'Übersicht GBU'!A:AB,15,FALSE)))</f>
        <v>H290 / H314, H335 / - / -</v>
      </c>
      <c r="H21" s="2"/>
    </row>
    <row r="22" spans="1:10" ht="30" customHeight="1" x14ac:dyDescent="0.3">
      <c r="A22" s="2"/>
      <c r="D22" s="77" t="s">
        <v>1182</v>
      </c>
      <c r="E22" s="72" t="str">
        <f>CONCATENATE(VLOOKUP($G$1,'Übersicht GBU'!A:AB,16,FALSE)," / ",(VLOOKUP($G$1,'Übersicht GBU'!A:AB,17,FALSE))," / ",(VLOOKUP($G$1,'Übersicht GBU'!A:AB,18,FALSE))," / ",(VLOOKUP($G$1,'Übersicht GBU'!A:AB,19,FALSE))," / ",(VLOOKUP($G$1,'Übersicht GBU'!A:AB,20,FALSE)))</f>
        <v>- / P261, P280 / P301 + P330 + P331, P303 + P361 + P353, P304 + P340 + P310, P305 + P351 + P338 + P310 / - / -</v>
      </c>
      <c r="H22" s="2"/>
    </row>
    <row r="23" spans="1:10" ht="30" customHeight="1" x14ac:dyDescent="0.3">
      <c r="A23" s="2"/>
      <c r="D23" s="85" t="s">
        <v>1116</v>
      </c>
      <c r="E23" s="128" t="str">
        <f>VLOOKUP($G$1,'Übersicht GBU'!A:AB,23,FALSE)</f>
        <v>Nein, da die Einstufung H314 besteht und ein Hautkontakt nicht ausgeschlossen werden kann.</v>
      </c>
      <c r="H23" s="2"/>
    </row>
    <row r="24" spans="1:10" ht="18" customHeight="1" x14ac:dyDescent="0.3">
      <c r="A24" s="2"/>
      <c r="D24" s="85" t="s">
        <v>1110</v>
      </c>
      <c r="E24" s="83" t="str">
        <f>VLOOKUP(G24,Daten!J2:K6,2,FALSE)</f>
        <v>WGK 1: schwach wassergefährdend</v>
      </c>
      <c r="G24" s="98">
        <f>VLOOKUP($G$1,'Übersicht GBU'!A:AB,22,FALSE)</f>
        <v>1</v>
      </c>
      <c r="H24" s="2"/>
    </row>
    <row r="25" spans="1:10" ht="18" customHeight="1" x14ac:dyDescent="0.3">
      <c r="A25" s="2"/>
      <c r="D25" s="85"/>
      <c r="E25" s="132"/>
      <c r="H25" s="2"/>
      <c r="I25" s="87"/>
      <c r="J25" s="116" t="s">
        <v>2531</v>
      </c>
    </row>
    <row r="26" spans="1:10" ht="30" customHeight="1" x14ac:dyDescent="0.3">
      <c r="A26" s="2"/>
      <c r="D26" s="77" t="s">
        <v>1233</v>
      </c>
      <c r="E26" s="72" t="str">
        <f>VLOOKUP($G$1,'Übersicht GBU'!A:AB,21,FALSE)</f>
        <v xml:space="preserve">Chlorwasserstoff, </v>
      </c>
      <c r="H26" s="2"/>
    </row>
    <row r="27" spans="1:10" ht="30" customHeight="1" x14ac:dyDescent="0.3">
      <c r="A27" s="2"/>
      <c r="D27" s="77" t="s">
        <v>1235</v>
      </c>
      <c r="E27" s="102" t="str">
        <f>CONCATENATE(VLOOKUP($G$1,'Übersicht GBU'!A:AR,30,FALSE)," (",(VLOOKUP($G$1,'Übersicht GBU'!A:AR,31,FALSE)),"%), ",(VLOOKUP($G$1,'Übersicht GBU'!A:AR,32,FALSE))," / ",(VLOOKUP($G$1,'Übersicht GBU'!A:AR,33,FALSE))," - ",(VLOOKUP($G$1,'Übersicht GBU'!A:AR,34,FALSE)))</f>
        <v>- (0%), - / keine - entfällt</v>
      </c>
      <c r="H27" s="2"/>
    </row>
    <row r="28" spans="1:10" ht="30" customHeight="1" x14ac:dyDescent="0.3">
      <c r="A28" s="2"/>
      <c r="D28" s="77"/>
      <c r="E28" s="72" t="str">
        <f>CONCATENATE(VLOOKUP($G$1,'Übersicht GBU'!A:AR,35,FALSE)," (",(VLOOKUP($G$1,'Übersicht GBU'!A:AR,36,FALSE)),"%), ",(VLOOKUP($G$1,'Übersicht GBU'!A:AR,37,FALSE))," / ",(VLOOKUP($G$1,'Übersicht GBU'!A:AR,38,FALSE))," - ",(VLOOKUP($G$1,'Übersicht GBU'!A:AR,39,FALSE)))</f>
        <v>- (0%), - / keine - entfällt</v>
      </c>
      <c r="H28" s="2"/>
    </row>
    <row r="29" spans="1:10" ht="9" customHeight="1" x14ac:dyDescent="0.3">
      <c r="A29" s="2"/>
      <c r="H29" s="2"/>
    </row>
    <row r="30" spans="1:10" ht="18" customHeight="1" x14ac:dyDescent="0.3">
      <c r="A30" s="2"/>
      <c r="B30" s="60" t="s">
        <v>1256</v>
      </c>
      <c r="C30" s="58"/>
      <c r="D30" s="59"/>
      <c r="E30" s="59"/>
      <c r="F30" s="2"/>
      <c r="G30" s="2"/>
      <c r="H30" s="2"/>
    </row>
    <row r="31" spans="1:10" ht="9" customHeight="1" x14ac:dyDescent="0.3">
      <c r="A31" s="2"/>
      <c r="H31" s="2"/>
    </row>
    <row r="32" spans="1:10" ht="180" customHeight="1" x14ac:dyDescent="0.3">
      <c r="A32" s="2"/>
      <c r="D32" s="78" t="s">
        <v>1203</v>
      </c>
      <c r="E32" s="133" t="s">
        <v>1292</v>
      </c>
      <c r="H32" s="2"/>
      <c r="I32" s="87"/>
    </row>
    <row r="33" spans="1:10" ht="9" customHeight="1" x14ac:dyDescent="0.3">
      <c r="A33" s="2"/>
      <c r="H33" s="2"/>
    </row>
    <row r="34" spans="1:10" ht="18" customHeight="1" x14ac:dyDescent="0.3">
      <c r="A34" s="2"/>
      <c r="B34" s="60" t="s">
        <v>1255</v>
      </c>
      <c r="C34" s="58"/>
      <c r="D34" s="59"/>
      <c r="E34" s="59"/>
      <c r="F34" s="2"/>
      <c r="G34" s="109" t="s">
        <v>2538</v>
      </c>
      <c r="H34" s="2"/>
    </row>
    <row r="35" spans="1:10" ht="9" customHeight="1" x14ac:dyDescent="0.3">
      <c r="A35" s="2"/>
      <c r="H35" s="2"/>
    </row>
    <row r="36" spans="1:10" ht="18" customHeight="1" x14ac:dyDescent="0.3">
      <c r="A36" s="2"/>
      <c r="D36" s="93" t="s">
        <v>1212</v>
      </c>
      <c r="E36" s="134"/>
      <c r="G36" s="91" t="s">
        <v>1156</v>
      </c>
      <c r="H36" s="2"/>
      <c r="I36" s="87"/>
      <c r="J36" s="115"/>
    </row>
    <row r="37" spans="1:10" ht="18" customHeight="1" x14ac:dyDescent="0.3">
      <c r="A37" s="2"/>
      <c r="D37" s="85" t="s">
        <v>1211</v>
      </c>
      <c r="E37" s="135"/>
      <c r="G37" s="91" t="s">
        <v>1156</v>
      </c>
      <c r="H37" s="2"/>
      <c r="I37" s="87"/>
      <c r="J37" s="116" t="s">
        <v>1213</v>
      </c>
    </row>
    <row r="38" spans="1:10" ht="18" customHeight="1" x14ac:dyDescent="0.3">
      <c r="A38" s="2"/>
      <c r="D38" s="85" t="s">
        <v>1210</v>
      </c>
      <c r="E38" s="135"/>
      <c r="G38" s="91" t="s">
        <v>1156</v>
      </c>
      <c r="H38" s="2"/>
      <c r="I38" s="87"/>
      <c r="J38" s="117" t="s">
        <v>1214</v>
      </c>
    </row>
    <row r="39" spans="1:10" ht="18" customHeight="1" x14ac:dyDescent="0.3">
      <c r="A39" s="2"/>
      <c r="D39" s="85" t="s">
        <v>1215</v>
      </c>
      <c r="E39" s="135"/>
      <c r="G39" s="91" t="s">
        <v>1156</v>
      </c>
      <c r="H39" s="2"/>
      <c r="I39" s="87"/>
      <c r="J39" s="117" t="s">
        <v>2525</v>
      </c>
    </row>
    <row r="40" spans="1:10" ht="18" customHeight="1" x14ac:dyDescent="0.3">
      <c r="A40" s="2"/>
      <c r="D40" s="85" t="s">
        <v>1216</v>
      </c>
      <c r="E40" s="135"/>
      <c r="G40" s="91" t="s">
        <v>1156</v>
      </c>
      <c r="H40" s="2"/>
      <c r="I40" s="87"/>
      <c r="J40" s="118" t="s">
        <v>1220</v>
      </c>
    </row>
    <row r="41" spans="1:10" ht="18" customHeight="1" x14ac:dyDescent="0.3">
      <c r="A41" s="2"/>
      <c r="D41" s="85" t="s">
        <v>1287</v>
      </c>
      <c r="E41" s="135"/>
      <c r="G41" s="91" t="s">
        <v>1156</v>
      </c>
      <c r="H41" s="2"/>
      <c r="I41" s="87"/>
      <c r="J41" s="118" t="s">
        <v>1217</v>
      </c>
    </row>
    <row r="42" spans="1:10" ht="18" customHeight="1" x14ac:dyDescent="0.3">
      <c r="A42" s="2"/>
      <c r="D42" s="85" t="s">
        <v>1288</v>
      </c>
      <c r="E42" s="135"/>
      <c r="G42" s="91" t="s">
        <v>1156</v>
      </c>
      <c r="H42" s="2"/>
      <c r="I42" s="87"/>
      <c r="J42" s="118" t="s">
        <v>1219</v>
      </c>
    </row>
    <row r="43" spans="1:10" ht="18" customHeight="1" x14ac:dyDescent="0.3">
      <c r="A43" s="2"/>
      <c r="D43" s="85" t="s">
        <v>1218</v>
      </c>
      <c r="E43" s="135"/>
      <c r="G43" s="91" t="s">
        <v>1156</v>
      </c>
      <c r="H43" s="2"/>
      <c r="I43" s="87"/>
    </row>
    <row r="44" spans="1:10" ht="18" customHeight="1" x14ac:dyDescent="0.3">
      <c r="A44" s="2"/>
      <c r="D44" s="85" t="s">
        <v>1208</v>
      </c>
      <c r="E44" s="134" t="str">
        <f>CONCATENATE(VLOOKUP($G$1,'Übersicht GBU'!A:AB,26,FALSE)," (",VLOOKUP($G$1,'Übersicht GBU'!A:AB,27,FALSE),")")</f>
        <v>Gefährdungsbeurteilung (siehe gefahrstoffspezifische Gefährdungsbeurteilung)</v>
      </c>
      <c r="G44" s="91" t="s">
        <v>1156</v>
      </c>
      <c r="H44" s="2"/>
    </row>
    <row r="45" spans="1:10" ht="18" customHeight="1" x14ac:dyDescent="0.3">
      <c r="A45" s="2"/>
      <c r="D45" s="85"/>
      <c r="E45" s="134" t="s">
        <v>1206</v>
      </c>
      <c r="G45" s="91" t="s">
        <v>1156</v>
      </c>
      <c r="H45" s="2"/>
      <c r="J45" s="115" t="s">
        <v>1206</v>
      </c>
    </row>
    <row r="46" spans="1:10" ht="18" customHeight="1" x14ac:dyDescent="0.3">
      <c r="A46" s="2"/>
      <c r="D46" s="85" t="s">
        <v>1271</v>
      </c>
      <c r="E46" s="134" t="s">
        <v>1272</v>
      </c>
      <c r="G46" s="91" t="s">
        <v>1156</v>
      </c>
      <c r="H46" s="2"/>
      <c r="J46" s="115" t="s">
        <v>1272</v>
      </c>
    </row>
    <row r="47" spans="1:10" ht="18" customHeight="1" x14ac:dyDescent="0.3">
      <c r="A47" s="2"/>
      <c r="D47" s="85"/>
      <c r="E47" s="134"/>
      <c r="G47" s="91" t="s">
        <v>1156</v>
      </c>
      <c r="H47" s="2"/>
      <c r="J47" s="115" t="s">
        <v>2527</v>
      </c>
    </row>
    <row r="48" spans="1:10" ht="15" customHeight="1" x14ac:dyDescent="0.3">
      <c r="A48" s="2"/>
      <c r="E48" s="119"/>
      <c r="H48" s="2"/>
    </row>
    <row r="49" spans="1:10" ht="18" customHeight="1" x14ac:dyDescent="0.3">
      <c r="A49" s="2"/>
      <c r="D49" s="93" t="s">
        <v>1221</v>
      </c>
      <c r="E49" s="134"/>
      <c r="G49" s="91" t="s">
        <v>1156</v>
      </c>
      <c r="H49" s="2"/>
      <c r="I49" s="87"/>
      <c r="J49" s="115"/>
    </row>
    <row r="50" spans="1:10" ht="18" customHeight="1" x14ac:dyDescent="0.3">
      <c r="A50" s="2"/>
      <c r="D50" s="85" t="s">
        <v>1222</v>
      </c>
      <c r="E50" s="135"/>
      <c r="G50" s="91" t="s">
        <v>1156</v>
      </c>
      <c r="H50" s="2"/>
      <c r="I50" s="87"/>
      <c r="J50" s="115"/>
    </row>
    <row r="51" spans="1:10" ht="18" customHeight="1" x14ac:dyDescent="0.3">
      <c r="A51" s="2"/>
      <c r="D51" s="85" t="s">
        <v>1223</v>
      </c>
      <c r="E51" s="135"/>
      <c r="G51" s="91" t="s">
        <v>1156</v>
      </c>
      <c r="H51" s="2"/>
      <c r="I51" s="87"/>
      <c r="J51" s="115"/>
    </row>
    <row r="52" spans="1:10" ht="18" customHeight="1" x14ac:dyDescent="0.3">
      <c r="A52" s="2"/>
      <c r="D52" s="85" t="s">
        <v>1209</v>
      </c>
      <c r="E52" s="115" t="str">
        <f>CONCATENATE(VLOOKUP($G$1,'Übersicht GBU'!A:AB,24,FALSE)," (",VLOOKUP($G$1,'Übersicht GBU'!A:AB,25,FALSE),")")</f>
        <v>Schutzleitfaden-300 (Geschlossenes System)</v>
      </c>
      <c r="G52" s="91" t="s">
        <v>1156</v>
      </c>
      <c r="H52" s="2"/>
    </row>
    <row r="53" spans="1:10" ht="18" customHeight="1" x14ac:dyDescent="0.3">
      <c r="A53" s="2"/>
      <c r="D53" s="85"/>
      <c r="E53" s="134"/>
      <c r="G53" s="91" t="s">
        <v>1156</v>
      </c>
      <c r="H53" s="2"/>
      <c r="I53" s="87"/>
      <c r="J53" s="115"/>
    </row>
    <row r="54" spans="1:10" ht="18" customHeight="1" x14ac:dyDescent="0.3">
      <c r="A54" s="2"/>
      <c r="D54" s="85" t="s">
        <v>1273</v>
      </c>
      <c r="E54" s="115"/>
      <c r="G54" s="91" t="s">
        <v>1156</v>
      </c>
      <c r="H54" s="2"/>
      <c r="I54" s="87"/>
      <c r="J54" s="115"/>
    </row>
    <row r="55" spans="1:10" ht="18" customHeight="1" x14ac:dyDescent="0.3">
      <c r="A55" s="2"/>
      <c r="D55" s="85" t="s">
        <v>1283</v>
      </c>
      <c r="E55" s="115"/>
      <c r="G55" s="91" t="s">
        <v>1156</v>
      </c>
      <c r="H55" s="2"/>
      <c r="I55" s="87"/>
      <c r="J55" s="115"/>
    </row>
    <row r="56" spans="1:10" ht="18" customHeight="1" x14ac:dyDescent="0.3">
      <c r="A56" s="2"/>
      <c r="D56" s="85"/>
      <c r="E56" s="115"/>
      <c r="G56" s="91" t="s">
        <v>1156</v>
      </c>
      <c r="H56" s="2"/>
      <c r="I56" s="87"/>
      <c r="J56" s="115"/>
    </row>
    <row r="57" spans="1:10" ht="15" customHeight="1" x14ac:dyDescent="0.3">
      <c r="A57" s="2"/>
      <c r="E57" s="119"/>
      <c r="H57" s="2"/>
    </row>
    <row r="58" spans="1:10" ht="18" customHeight="1" x14ac:dyDescent="0.3">
      <c r="A58" s="2"/>
      <c r="D58" s="93" t="s">
        <v>1284</v>
      </c>
      <c r="E58" s="134"/>
      <c r="G58" s="91" t="s">
        <v>1156</v>
      </c>
      <c r="H58" s="2"/>
      <c r="I58" s="87"/>
      <c r="J58" s="115" t="s">
        <v>1274</v>
      </c>
    </row>
    <row r="59" spans="1:10" ht="18" customHeight="1" x14ac:dyDescent="0.3">
      <c r="A59" s="2"/>
      <c r="D59" s="85" t="s">
        <v>1497</v>
      </c>
      <c r="E59" s="135" t="str">
        <f>IF(VLOOKUP($G$1,'Übersicht GBU'!A:DJ,45,FALSE)="k. A.","keine Angabe",CONCATENATE(VLOOKUP($G$1,'Übersicht GBU'!A:DJ,45,FALSE),"°C"))</f>
        <v>-°C</v>
      </c>
      <c r="G59" s="91" t="s">
        <v>1156</v>
      </c>
      <c r="H59" s="2"/>
    </row>
    <row r="60" spans="1:10" ht="18" customHeight="1" x14ac:dyDescent="0.3">
      <c r="A60" s="2"/>
      <c r="D60" s="85" t="s">
        <v>1498</v>
      </c>
      <c r="E60" s="135" t="str">
        <f>IF(VLOOKUP($G$1,'Übersicht GBU'!A:DJ,46,FALSE)="k. A.","keine Angabe",CONCATENATE(VLOOKUP($G$1,'Übersicht GBU'!A:DJ,46,FALSE)," - ",VLOOKUP($G$1,'Übersicht GBU'!A:DJ,47,FALSE)," Vol.-%"))</f>
        <v xml:space="preserve"> -  Vol.-%</v>
      </c>
      <c r="G60" s="91" t="s">
        <v>1156</v>
      </c>
      <c r="H60" s="2"/>
    </row>
    <row r="61" spans="1:10" ht="18" customHeight="1" x14ac:dyDescent="0.3">
      <c r="A61" s="2"/>
      <c r="D61" s="85" t="s">
        <v>1285</v>
      </c>
      <c r="E61" s="135"/>
      <c r="G61" s="91" t="s">
        <v>1156</v>
      </c>
      <c r="H61" s="2"/>
      <c r="I61" s="87"/>
      <c r="J61" s="92" t="s">
        <v>3</v>
      </c>
    </row>
    <row r="62" spans="1:10" ht="18" customHeight="1" x14ac:dyDescent="0.3">
      <c r="A62" s="2"/>
      <c r="D62" s="85" t="s">
        <v>1286</v>
      </c>
      <c r="E62" s="135"/>
      <c r="G62" s="91" t="s">
        <v>1156</v>
      </c>
      <c r="H62" s="2"/>
      <c r="I62" s="87"/>
      <c r="J62" s="92" t="s">
        <v>1278</v>
      </c>
    </row>
    <row r="63" spans="1:10" ht="18" customHeight="1" x14ac:dyDescent="0.3">
      <c r="A63" s="2"/>
      <c r="D63" s="85" t="s">
        <v>1276</v>
      </c>
      <c r="E63" s="135"/>
      <c r="G63" s="91" t="s">
        <v>1156</v>
      </c>
      <c r="H63" s="2"/>
      <c r="I63" s="87"/>
      <c r="J63" s="92" t="s">
        <v>3</v>
      </c>
    </row>
    <row r="64" spans="1:10" ht="18" customHeight="1" x14ac:dyDescent="0.3">
      <c r="A64" s="2"/>
      <c r="D64" s="85" t="s">
        <v>1289</v>
      </c>
      <c r="E64" s="135"/>
      <c r="G64" s="91" t="s">
        <v>1156</v>
      </c>
      <c r="H64" s="2"/>
      <c r="I64" s="87"/>
      <c r="J64" s="92" t="s">
        <v>1277</v>
      </c>
    </row>
    <row r="65" spans="1:10" ht="18" customHeight="1" x14ac:dyDescent="0.3">
      <c r="A65" s="2"/>
      <c r="D65" s="85" t="s">
        <v>1115</v>
      </c>
      <c r="E65" s="115" t="str">
        <f>CONCATENATE(VLOOKUP($G$1,'Übersicht GBU'!A:AC,28,FALSE)," (",VLOOKUP($G$1,'Übersicht GBU'!A:AC,29,FALSE),")")</f>
        <v>Schutzleitfaden-PC270 (Grundanforderungen bei erhöhter Brandgefährdung)</v>
      </c>
      <c r="G65" s="91" t="s">
        <v>1156</v>
      </c>
      <c r="H65" s="2"/>
    </row>
    <row r="66" spans="1:10" ht="18" customHeight="1" x14ac:dyDescent="0.3">
      <c r="A66" s="2"/>
      <c r="D66" s="85"/>
      <c r="E66" s="134"/>
      <c r="G66" s="91" t="s">
        <v>1156</v>
      </c>
      <c r="H66" s="2"/>
      <c r="I66" s="87"/>
      <c r="J66" s="115" t="s">
        <v>1275</v>
      </c>
    </row>
    <row r="67" spans="1:10" ht="15" customHeight="1" x14ac:dyDescent="0.3">
      <c r="A67" s="2"/>
      <c r="H67" s="2"/>
    </row>
    <row r="68" spans="1:10" ht="18" customHeight="1" x14ac:dyDescent="0.3">
      <c r="A68" s="2"/>
      <c r="D68" s="93" t="s">
        <v>1282</v>
      </c>
      <c r="E68" s="134"/>
      <c r="G68" s="91" t="s">
        <v>1156</v>
      </c>
      <c r="H68" s="2"/>
      <c r="I68" s="87"/>
      <c r="J68" s="115" t="s">
        <v>1253</v>
      </c>
    </row>
    <row r="69" spans="1:10" ht="18" customHeight="1" x14ac:dyDescent="0.3">
      <c r="A69" s="2"/>
      <c r="D69" s="93" t="s">
        <v>1280</v>
      </c>
      <c r="E69" s="135"/>
      <c r="G69" s="91" t="s">
        <v>1156</v>
      </c>
      <c r="H69" s="2"/>
      <c r="I69" s="87"/>
      <c r="J69" s="115" t="s">
        <v>1253</v>
      </c>
    </row>
    <row r="70" spans="1:10" ht="18" customHeight="1" x14ac:dyDescent="0.3">
      <c r="A70" s="2"/>
      <c r="D70" s="93" t="s">
        <v>1279</v>
      </c>
      <c r="E70" s="135"/>
      <c r="G70" s="91" t="s">
        <v>1156</v>
      </c>
      <c r="H70" s="2"/>
      <c r="I70" s="87"/>
      <c r="J70" s="115"/>
    </row>
    <row r="71" spans="1:10" ht="18" customHeight="1" x14ac:dyDescent="0.3">
      <c r="A71" s="2"/>
      <c r="D71" s="93" t="s">
        <v>1281</v>
      </c>
      <c r="E71" s="115" t="str">
        <f>VLOOKUP($G$1,'Übersicht GBU'!A:AW,49,FALSE)</f>
        <v>Substitutionen sind im Galvanikbereich nicht zielführend (vgl. ASA vom 05.05.2025)</v>
      </c>
      <c r="G71" s="91" t="s">
        <v>1156</v>
      </c>
      <c r="H71" s="2"/>
    </row>
    <row r="72" spans="1:10" ht="15" customHeight="1" x14ac:dyDescent="0.3">
      <c r="A72" s="2"/>
      <c r="H72" s="2"/>
    </row>
    <row r="73" spans="1:10" ht="99" customHeight="1" x14ac:dyDescent="0.3">
      <c r="A73" s="2"/>
      <c r="D73" s="137" t="s">
        <v>2535</v>
      </c>
      <c r="E73" s="133"/>
      <c r="G73" s="138"/>
      <c r="H73" s="2"/>
      <c r="I73" s="87"/>
      <c r="J73" s="92" t="s">
        <v>2536</v>
      </c>
    </row>
    <row r="74" spans="1:10" ht="15" customHeight="1" x14ac:dyDescent="0.3">
      <c r="A74" s="2"/>
      <c r="H74" s="2"/>
    </row>
    <row r="75" spans="1:10" ht="99" customHeight="1" x14ac:dyDescent="0.3">
      <c r="A75" s="2"/>
      <c r="D75" s="137" t="s">
        <v>2532</v>
      </c>
      <c r="E75" s="133"/>
      <c r="G75" s="138"/>
      <c r="H75" s="2"/>
      <c r="I75" s="87"/>
    </row>
    <row r="76" spans="1:10" ht="9" customHeight="1" x14ac:dyDescent="0.3">
      <c r="A76" s="2"/>
      <c r="H76" s="2"/>
    </row>
    <row r="77" spans="1:10" ht="24" customHeight="1" x14ac:dyDescent="0.3">
      <c r="A77" s="2"/>
      <c r="B77" s="57" t="s">
        <v>4</v>
      </c>
      <c r="C77" s="57" t="s">
        <v>6</v>
      </c>
      <c r="D77" s="64" t="s">
        <v>1083</v>
      </c>
      <c r="E77" s="69"/>
      <c r="F77" s="71"/>
      <c r="G77" s="70" t="s">
        <v>1157</v>
      </c>
      <c r="H77" s="2"/>
    </row>
    <row r="78" spans="1:10" ht="18.75" customHeight="1" x14ac:dyDescent="0.3">
      <c r="A78" s="2"/>
      <c r="B78" s="10" t="s">
        <v>1198</v>
      </c>
      <c r="C78" s="11"/>
      <c r="D78" s="12" t="s">
        <v>1197</v>
      </c>
      <c r="E78" s="32"/>
      <c r="F78" s="32"/>
      <c r="G78" s="120"/>
      <c r="H78" s="2"/>
    </row>
    <row r="79" spans="1:10" ht="18" customHeight="1" x14ac:dyDescent="0.3">
      <c r="A79" s="2"/>
      <c r="B79" s="88" t="s">
        <v>1198</v>
      </c>
      <c r="C79" s="89">
        <f>ROW(A79)-(ROW(A$78))</f>
        <v>1</v>
      </c>
      <c r="D79" s="139" t="s">
        <v>1290</v>
      </c>
      <c r="E79" s="140"/>
      <c r="F79" s="140"/>
      <c r="G79" s="121" t="s">
        <v>1156</v>
      </c>
      <c r="H79" s="2"/>
    </row>
    <row r="80" spans="1:10" ht="18.75" customHeight="1" x14ac:dyDescent="0.3">
      <c r="A80" s="2"/>
      <c r="B80" s="10" t="s">
        <v>1199</v>
      </c>
      <c r="C80" s="11"/>
      <c r="D80" s="12" t="s">
        <v>1152</v>
      </c>
      <c r="E80" s="32"/>
      <c r="F80" s="32"/>
      <c r="G80" s="120"/>
      <c r="H80" s="2"/>
    </row>
    <row r="81" spans="1:8" ht="18" customHeight="1" x14ac:dyDescent="0.3">
      <c r="A81" s="2"/>
      <c r="B81" s="88" t="s">
        <v>1199</v>
      </c>
      <c r="C81" s="89">
        <f>ROW(A81)-(ROW(A$80))</f>
        <v>1</v>
      </c>
      <c r="D81" s="139" t="s">
        <v>1188</v>
      </c>
      <c r="E81" s="140"/>
      <c r="F81" s="140"/>
      <c r="G81" s="121" t="s">
        <v>1156</v>
      </c>
      <c r="H81" s="2"/>
    </row>
    <row r="82" spans="1:8" ht="18" customHeight="1" x14ac:dyDescent="0.3">
      <c r="A82" s="2"/>
      <c r="B82" s="88" t="s">
        <v>1199</v>
      </c>
      <c r="C82" s="89">
        <f>ROW(A82)-(ROW(A$80))</f>
        <v>2</v>
      </c>
      <c r="D82" s="139" t="s">
        <v>1191</v>
      </c>
      <c r="E82" s="140"/>
      <c r="F82" s="140"/>
      <c r="G82" s="121" t="s">
        <v>1156</v>
      </c>
      <c r="H82" s="2"/>
    </row>
    <row r="83" spans="1:8" ht="18" customHeight="1" x14ac:dyDescent="0.3">
      <c r="A83" s="2"/>
      <c r="B83" s="88" t="s">
        <v>1199</v>
      </c>
      <c r="C83" s="89">
        <f>ROW(A83)-(ROW(A$80))</f>
        <v>3</v>
      </c>
      <c r="D83" s="139" t="s">
        <v>1178</v>
      </c>
      <c r="E83" s="140"/>
      <c r="F83" s="140"/>
      <c r="G83" s="121" t="s">
        <v>1156</v>
      </c>
      <c r="H83" s="2"/>
    </row>
    <row r="84" spans="1:8" ht="18" customHeight="1" x14ac:dyDescent="0.3">
      <c r="A84" s="2"/>
      <c r="B84" s="88" t="s">
        <v>1199</v>
      </c>
      <c r="C84" s="89">
        <f>ROW(A84)-(ROW(A$80))</f>
        <v>4</v>
      </c>
      <c r="D84" s="139" t="s">
        <v>1179</v>
      </c>
      <c r="E84" s="140"/>
      <c r="F84" s="140"/>
      <c r="G84" s="121" t="s">
        <v>1156</v>
      </c>
      <c r="H84" s="2"/>
    </row>
    <row r="85" spans="1:8" ht="18" customHeight="1" x14ac:dyDescent="0.3">
      <c r="A85" s="2"/>
      <c r="B85" s="88" t="s">
        <v>1199</v>
      </c>
      <c r="C85" s="89">
        <f>ROW(A85)-(ROW(A$80))</f>
        <v>5</v>
      </c>
      <c r="D85" s="139" t="s">
        <v>1189</v>
      </c>
      <c r="E85" s="140"/>
      <c r="F85" s="140"/>
      <c r="G85" s="121" t="s">
        <v>1156</v>
      </c>
      <c r="H85" s="2"/>
    </row>
    <row r="86" spans="1:8" ht="18.75" customHeight="1" x14ac:dyDescent="0.3">
      <c r="A86" s="2"/>
      <c r="B86" s="10" t="s">
        <v>1200</v>
      </c>
      <c r="C86" s="11"/>
      <c r="D86" s="12" t="s">
        <v>1153</v>
      </c>
      <c r="E86" s="32"/>
      <c r="F86" s="32"/>
      <c r="G86" s="120"/>
      <c r="H86" s="2"/>
    </row>
    <row r="87" spans="1:8" ht="18" customHeight="1" x14ac:dyDescent="0.3">
      <c r="A87" s="2"/>
      <c r="B87" s="88" t="s">
        <v>1200</v>
      </c>
      <c r="C87" s="89">
        <f>ROW(A87)-(ROW(A$86))</f>
        <v>1</v>
      </c>
      <c r="D87" s="139" t="s">
        <v>1170</v>
      </c>
      <c r="E87" s="140"/>
      <c r="F87" s="140"/>
      <c r="G87" s="121" t="s">
        <v>1156</v>
      </c>
      <c r="H87" s="2"/>
    </row>
    <row r="88" spans="1:8" ht="18" customHeight="1" x14ac:dyDescent="0.3">
      <c r="A88" s="2"/>
      <c r="B88" s="88" t="s">
        <v>1200</v>
      </c>
      <c r="C88" s="89">
        <f>ROW(A88)-(ROW(A$86))</f>
        <v>2</v>
      </c>
      <c r="D88" s="139" t="s">
        <v>1171</v>
      </c>
      <c r="E88" s="140"/>
      <c r="F88" s="140"/>
      <c r="G88" s="121" t="s">
        <v>1156</v>
      </c>
      <c r="H88" s="2"/>
    </row>
    <row r="89" spans="1:8" ht="18" customHeight="1" x14ac:dyDescent="0.3">
      <c r="A89" s="2"/>
      <c r="B89" s="88" t="s">
        <v>1200</v>
      </c>
      <c r="C89" s="89">
        <f>ROW(A89)-(ROW(A$86))</f>
        <v>3</v>
      </c>
      <c r="D89" s="139" t="s">
        <v>1190</v>
      </c>
      <c r="E89" s="140"/>
      <c r="F89" s="140"/>
      <c r="G89" s="121" t="s">
        <v>1156</v>
      </c>
      <c r="H89" s="2"/>
    </row>
    <row r="90" spans="1:8" ht="18" customHeight="1" x14ac:dyDescent="0.3">
      <c r="A90" s="2"/>
      <c r="B90" s="88" t="s">
        <v>1200</v>
      </c>
      <c r="C90" s="89">
        <f>ROW(A90)-(ROW(A$86))</f>
        <v>4</v>
      </c>
      <c r="D90" s="139" t="s">
        <v>1192</v>
      </c>
      <c r="E90" s="140"/>
      <c r="F90" s="140"/>
      <c r="G90" s="122" t="s">
        <v>1156</v>
      </c>
      <c r="H90" s="2"/>
    </row>
    <row r="91" spans="1:8" ht="18.75" customHeight="1" x14ac:dyDescent="0.3">
      <c r="A91" s="2"/>
      <c r="B91" s="10" t="s">
        <v>1201</v>
      </c>
      <c r="C91" s="11"/>
      <c r="D91" s="12" t="s">
        <v>1154</v>
      </c>
      <c r="E91" s="32"/>
      <c r="F91" s="32"/>
      <c r="G91" s="120"/>
      <c r="H91" s="2"/>
    </row>
    <row r="92" spans="1:8" ht="18" customHeight="1" x14ac:dyDescent="0.3">
      <c r="A92" s="2"/>
      <c r="B92" s="88" t="s">
        <v>1201</v>
      </c>
      <c r="C92" s="89">
        <f t="shared" ref="C92:C101" si="0">ROW(A92)-(ROW(A$91))</f>
        <v>1</v>
      </c>
      <c r="D92" s="139" t="s">
        <v>1167</v>
      </c>
      <c r="E92" s="140"/>
      <c r="F92" s="140"/>
      <c r="G92" s="121" t="s">
        <v>1156</v>
      </c>
      <c r="H92" s="2"/>
    </row>
    <row r="93" spans="1:8" ht="18" customHeight="1" x14ac:dyDescent="0.3">
      <c r="A93" s="2"/>
      <c r="B93" s="88" t="s">
        <v>1201</v>
      </c>
      <c r="C93" s="89">
        <f t="shared" si="0"/>
        <v>2</v>
      </c>
      <c r="D93" s="139" t="s">
        <v>1194</v>
      </c>
      <c r="E93" s="140"/>
      <c r="F93" s="140"/>
      <c r="G93" s="121" t="s">
        <v>1156</v>
      </c>
      <c r="H93" s="2"/>
    </row>
    <row r="94" spans="1:8" ht="18" customHeight="1" x14ac:dyDescent="0.3">
      <c r="A94" s="2"/>
      <c r="B94" s="88" t="s">
        <v>1201</v>
      </c>
      <c r="C94" s="89">
        <f t="shared" si="0"/>
        <v>3</v>
      </c>
      <c r="D94" s="139" t="s">
        <v>1204</v>
      </c>
      <c r="E94" s="140"/>
      <c r="F94" s="140"/>
      <c r="G94" s="121" t="s">
        <v>1156</v>
      </c>
      <c r="H94" s="2"/>
    </row>
    <row r="95" spans="1:8" ht="18" customHeight="1" x14ac:dyDescent="0.3">
      <c r="A95" s="2"/>
      <c r="B95" s="88" t="s">
        <v>1201</v>
      </c>
      <c r="C95" s="89">
        <f t="shared" si="0"/>
        <v>4</v>
      </c>
      <c r="D95" s="139" t="s">
        <v>1180</v>
      </c>
      <c r="E95" s="140"/>
      <c r="F95" s="140"/>
      <c r="G95" s="121" t="s">
        <v>1156</v>
      </c>
      <c r="H95" s="2"/>
    </row>
    <row r="96" spans="1:8" ht="18" customHeight="1" x14ac:dyDescent="0.3">
      <c r="A96" s="2"/>
      <c r="B96" s="88" t="s">
        <v>1201</v>
      </c>
      <c r="C96" s="89">
        <f t="shared" si="0"/>
        <v>5</v>
      </c>
      <c r="D96" s="139" t="s">
        <v>1160</v>
      </c>
      <c r="E96" s="140"/>
      <c r="F96" s="140"/>
      <c r="G96" s="121" t="s">
        <v>1156</v>
      </c>
      <c r="H96" s="2"/>
    </row>
    <row r="97" spans="1:8" ht="18" customHeight="1" x14ac:dyDescent="0.3">
      <c r="A97" s="2"/>
      <c r="B97" s="88" t="s">
        <v>1201</v>
      </c>
      <c r="C97" s="89">
        <f t="shared" si="0"/>
        <v>6</v>
      </c>
      <c r="D97" s="139" t="s">
        <v>1164</v>
      </c>
      <c r="E97" s="140"/>
      <c r="F97" s="140"/>
      <c r="G97" s="121" t="s">
        <v>1156</v>
      </c>
      <c r="H97" s="2"/>
    </row>
    <row r="98" spans="1:8" ht="18" customHeight="1" x14ac:dyDescent="0.3">
      <c r="A98" s="2"/>
      <c r="B98" s="88" t="s">
        <v>1201</v>
      </c>
      <c r="C98" s="89">
        <f t="shared" si="0"/>
        <v>7</v>
      </c>
      <c r="D98" s="139" t="s">
        <v>1168</v>
      </c>
      <c r="E98" s="140"/>
      <c r="F98" s="140"/>
      <c r="G98" s="121" t="s">
        <v>1156</v>
      </c>
      <c r="H98" s="2"/>
    </row>
    <row r="99" spans="1:8" ht="18" customHeight="1" x14ac:dyDescent="0.3">
      <c r="A99" s="2"/>
      <c r="B99" s="88" t="s">
        <v>1201</v>
      </c>
      <c r="C99" s="89">
        <f t="shared" si="0"/>
        <v>8</v>
      </c>
      <c r="D99" s="139" t="s">
        <v>1165</v>
      </c>
      <c r="E99" s="140"/>
      <c r="F99" s="140"/>
      <c r="G99" s="121" t="s">
        <v>1156</v>
      </c>
      <c r="H99" s="2"/>
    </row>
    <row r="100" spans="1:8" ht="18" customHeight="1" x14ac:dyDescent="0.3">
      <c r="A100" s="2"/>
      <c r="B100" s="88" t="s">
        <v>1201</v>
      </c>
      <c r="C100" s="89">
        <f t="shared" si="0"/>
        <v>9</v>
      </c>
      <c r="D100" s="139" t="s">
        <v>1207</v>
      </c>
      <c r="E100" s="140"/>
      <c r="F100" s="140"/>
      <c r="G100" s="121" t="s">
        <v>1156</v>
      </c>
      <c r="H100" s="2"/>
    </row>
    <row r="101" spans="1:8" ht="18" customHeight="1" x14ac:dyDescent="0.3">
      <c r="A101" s="2"/>
      <c r="B101" s="88" t="s">
        <v>1201</v>
      </c>
      <c r="C101" s="89">
        <f t="shared" si="0"/>
        <v>10</v>
      </c>
      <c r="D101" s="139" t="s">
        <v>1202</v>
      </c>
      <c r="E101" s="140"/>
      <c r="F101" s="140"/>
      <c r="G101" s="122" t="s">
        <v>1156</v>
      </c>
      <c r="H101" s="2"/>
    </row>
    <row r="102" spans="1:8" ht="18.75" customHeight="1" x14ac:dyDescent="0.3">
      <c r="A102" s="2"/>
      <c r="B102" s="10" t="s">
        <v>9</v>
      </c>
      <c r="C102" s="11"/>
      <c r="D102" s="12" t="s">
        <v>124</v>
      </c>
      <c r="E102" s="32"/>
      <c r="F102" s="32"/>
      <c r="G102" s="120"/>
      <c r="H102" s="2"/>
    </row>
    <row r="103" spans="1:8" ht="18" customHeight="1" x14ac:dyDescent="0.3">
      <c r="A103" s="2"/>
      <c r="B103" s="88">
        <v>1</v>
      </c>
      <c r="C103" s="89">
        <f>ROW(A103)-(ROW(A$102))</f>
        <v>1</v>
      </c>
      <c r="D103" s="139" t="s">
        <v>1184</v>
      </c>
      <c r="E103" s="140"/>
      <c r="F103" s="140"/>
      <c r="G103" s="136" t="s">
        <v>1156</v>
      </c>
      <c r="H103" s="2"/>
    </row>
    <row r="104" spans="1:8" ht="18" customHeight="1" x14ac:dyDescent="0.3">
      <c r="A104" s="2"/>
      <c r="B104" s="88">
        <v>1</v>
      </c>
      <c r="C104" s="89">
        <f>ROW(A104)-(ROW(A$102))</f>
        <v>2</v>
      </c>
      <c r="D104" s="139" t="s">
        <v>1205</v>
      </c>
      <c r="E104" s="140"/>
      <c r="F104" s="140"/>
      <c r="G104" s="121" t="s">
        <v>1156</v>
      </c>
      <c r="H104" s="2"/>
    </row>
    <row r="105" spans="1:8" ht="18" customHeight="1" x14ac:dyDescent="0.3">
      <c r="A105" s="2"/>
      <c r="B105" s="88">
        <v>1</v>
      </c>
      <c r="C105" s="89">
        <f>ROW(A105)-(ROW(A$102))</f>
        <v>3</v>
      </c>
      <c r="D105" s="139" t="s">
        <v>1193</v>
      </c>
      <c r="E105" s="140"/>
      <c r="F105" s="140"/>
      <c r="G105" s="122" t="s">
        <v>1156</v>
      </c>
      <c r="H105" s="2"/>
    </row>
    <row r="106" spans="1:8" ht="18.75" customHeight="1" x14ac:dyDescent="0.3">
      <c r="A106" s="2"/>
      <c r="B106" s="10" t="s">
        <v>17</v>
      </c>
      <c r="C106" s="11"/>
      <c r="D106" s="12" t="s">
        <v>1169</v>
      </c>
      <c r="E106" s="32"/>
      <c r="F106" s="32"/>
      <c r="G106" s="14"/>
      <c r="H106" s="2"/>
    </row>
    <row r="107" spans="1:8" ht="18" customHeight="1" x14ac:dyDescent="0.3">
      <c r="A107" s="2"/>
      <c r="B107" s="88">
        <v>2</v>
      </c>
      <c r="C107" s="89">
        <f>ROW(A107)-(ROW(A$106))</f>
        <v>1</v>
      </c>
      <c r="D107" s="139" t="s">
        <v>1185</v>
      </c>
      <c r="E107" s="140"/>
      <c r="F107" s="140"/>
      <c r="G107" s="121" t="s">
        <v>1156</v>
      </c>
      <c r="H107" s="2"/>
    </row>
    <row r="108" spans="1:8" ht="18" customHeight="1" x14ac:dyDescent="0.3">
      <c r="A108" s="2"/>
      <c r="B108" s="88">
        <v>2</v>
      </c>
      <c r="C108" s="89">
        <f>ROW(A108)-(ROW(A$106))</f>
        <v>2</v>
      </c>
      <c r="D108" s="139" t="s">
        <v>1195</v>
      </c>
      <c r="E108" s="140"/>
      <c r="F108" s="140"/>
      <c r="G108" s="121" t="s">
        <v>1156</v>
      </c>
      <c r="H108" s="2"/>
    </row>
    <row r="109" spans="1:8" ht="18" customHeight="1" x14ac:dyDescent="0.3">
      <c r="A109" s="2"/>
      <c r="B109" s="88">
        <v>2</v>
      </c>
      <c r="C109" s="89">
        <f>ROW(A109)-(ROW(A$106))</f>
        <v>3</v>
      </c>
      <c r="D109" s="139" t="s">
        <v>1186</v>
      </c>
      <c r="E109" s="140"/>
      <c r="F109" s="140"/>
      <c r="G109" s="121" t="s">
        <v>1156</v>
      </c>
      <c r="H109" s="2"/>
    </row>
    <row r="110" spans="1:8" ht="18" customHeight="1" x14ac:dyDescent="0.3">
      <c r="A110" s="2"/>
      <c r="B110" s="88">
        <v>2</v>
      </c>
      <c r="C110" s="89">
        <f>ROW(A110)-(ROW(A$106))</f>
        <v>4</v>
      </c>
      <c r="D110" s="139" t="s">
        <v>1196</v>
      </c>
      <c r="E110" s="140"/>
      <c r="F110" s="140"/>
      <c r="G110" s="122" t="s">
        <v>1156</v>
      </c>
      <c r="H110" s="2"/>
    </row>
    <row r="111" spans="1:8" ht="18.75" customHeight="1" x14ac:dyDescent="0.3">
      <c r="A111" s="2"/>
      <c r="B111" s="10" t="s">
        <v>24</v>
      </c>
      <c r="C111" s="11"/>
      <c r="D111" s="12" t="s">
        <v>1162</v>
      </c>
      <c r="E111" s="32"/>
      <c r="F111" s="32"/>
      <c r="G111" s="14"/>
      <c r="H111" s="2"/>
    </row>
    <row r="112" spans="1:8" ht="18" customHeight="1" x14ac:dyDescent="0.3">
      <c r="A112" s="2"/>
      <c r="B112" s="88">
        <v>3</v>
      </c>
      <c r="C112" s="89">
        <f>ROW(A112)-(ROW(A$111))</f>
        <v>1</v>
      </c>
      <c r="D112" s="139" t="s">
        <v>1163</v>
      </c>
      <c r="E112" s="140"/>
      <c r="F112" s="140"/>
      <c r="G112" s="136" t="s">
        <v>1156</v>
      </c>
      <c r="H112" s="2"/>
    </row>
    <row r="113" spans="1:8" ht="18" customHeight="1" x14ac:dyDescent="0.3">
      <c r="A113" s="2"/>
      <c r="B113" s="88">
        <v>3</v>
      </c>
      <c r="C113" s="89">
        <f>ROW(A113)-(ROW(A$111))</f>
        <v>2</v>
      </c>
      <c r="D113" s="139" t="s">
        <v>1177</v>
      </c>
      <c r="E113" s="140"/>
      <c r="F113" s="140"/>
      <c r="G113" s="122" t="s">
        <v>1156</v>
      </c>
      <c r="H113" s="2"/>
    </row>
    <row r="114" spans="1:8" ht="18.75" customHeight="1" x14ac:dyDescent="0.3">
      <c r="A114" s="2"/>
      <c r="B114" s="10" t="s">
        <v>26</v>
      </c>
      <c r="C114" s="11"/>
      <c r="D114" s="12" t="s">
        <v>1155</v>
      </c>
      <c r="E114" s="32"/>
      <c r="F114" s="32"/>
      <c r="G114" s="120"/>
      <c r="H114" s="2"/>
    </row>
    <row r="115" spans="1:8" ht="18" customHeight="1" x14ac:dyDescent="0.3">
      <c r="A115" s="2"/>
      <c r="B115" s="88">
        <v>4</v>
      </c>
      <c r="C115" s="89">
        <f>ROW(A115)-(ROW(A$114))</f>
        <v>1</v>
      </c>
      <c r="D115" s="139" t="s">
        <v>1166</v>
      </c>
      <c r="E115" s="140"/>
      <c r="F115" s="140"/>
      <c r="G115" s="121" t="s">
        <v>1156</v>
      </c>
      <c r="H115" s="2"/>
    </row>
    <row r="116" spans="1:8" ht="18" customHeight="1" x14ac:dyDescent="0.3">
      <c r="A116" s="2"/>
      <c r="B116" s="88">
        <v>4</v>
      </c>
      <c r="C116" s="89">
        <f>ROW(A116)-(ROW(A$114))</f>
        <v>2</v>
      </c>
      <c r="D116" s="139" t="s">
        <v>1161</v>
      </c>
      <c r="E116" s="140"/>
      <c r="F116" s="140"/>
      <c r="G116" s="122" t="s">
        <v>1156</v>
      </c>
      <c r="H116" s="2"/>
    </row>
    <row r="117" spans="1:8" ht="18.75" customHeight="1" x14ac:dyDescent="0.3">
      <c r="A117" s="2"/>
      <c r="B117" s="10" t="s">
        <v>41</v>
      </c>
      <c r="C117" s="11"/>
      <c r="D117" s="12"/>
      <c r="E117" s="32"/>
      <c r="F117" s="32"/>
      <c r="G117" s="14"/>
      <c r="H117" s="2"/>
    </row>
    <row r="118" spans="1:8" ht="18" customHeight="1" x14ac:dyDescent="0.3">
      <c r="A118" s="2"/>
      <c r="B118" s="88">
        <v>5</v>
      </c>
      <c r="C118" s="89">
        <f>ROW(A118)-(ROW(A$117))</f>
        <v>1</v>
      </c>
      <c r="D118" s="139"/>
      <c r="E118" s="140"/>
      <c r="F118" s="140"/>
      <c r="G118" s="136" t="s">
        <v>1156</v>
      </c>
      <c r="H118" s="2"/>
    </row>
    <row r="119" spans="1:8" ht="18" customHeight="1" x14ac:dyDescent="0.3">
      <c r="A119" s="2"/>
      <c r="B119" s="88">
        <v>5</v>
      </c>
      <c r="C119" s="89">
        <f t="shared" ref="C119:C120" si="1">ROW(A119)-(ROW(A$117))</f>
        <v>2</v>
      </c>
      <c r="D119" s="139"/>
      <c r="E119" s="140"/>
      <c r="F119" s="140"/>
      <c r="G119" s="121" t="s">
        <v>1156</v>
      </c>
      <c r="H119" s="2"/>
    </row>
    <row r="120" spans="1:8" ht="18" customHeight="1" x14ac:dyDescent="0.3">
      <c r="A120" s="2"/>
      <c r="B120" s="88">
        <v>5</v>
      </c>
      <c r="C120" s="89">
        <f t="shared" si="1"/>
        <v>3</v>
      </c>
      <c r="D120" s="139"/>
      <c r="E120" s="140"/>
      <c r="F120" s="140"/>
      <c r="G120" s="122" t="s">
        <v>1156</v>
      </c>
      <c r="H120" s="2"/>
    </row>
    <row r="121" spans="1:8" ht="18.75" customHeight="1" x14ac:dyDescent="0.3">
      <c r="A121" s="2"/>
      <c r="B121" s="2"/>
      <c r="C121" s="2"/>
      <c r="D121" s="2"/>
      <c r="E121" s="2"/>
      <c r="F121" s="2"/>
      <c r="G121" s="2"/>
      <c r="H121" s="2"/>
    </row>
    <row r="122" spans="1:8" s="4" customFormat="1" ht="18.75" customHeight="1" x14ac:dyDescent="0.3">
      <c r="A122" s="1"/>
      <c r="B122" s="3"/>
      <c r="C122" s="3"/>
      <c r="D122" s="1"/>
      <c r="E122" s="1"/>
      <c r="F122" s="1"/>
      <c r="G122" s="1"/>
      <c r="H122" s="1"/>
    </row>
    <row r="123" spans="1:8" s="4" customFormat="1" ht="18.75" customHeight="1" x14ac:dyDescent="0.3">
      <c r="A123" s="1"/>
      <c r="B123" s="3"/>
      <c r="C123" s="3"/>
      <c r="D123" s="1"/>
      <c r="E123" s="1"/>
      <c r="F123" s="1"/>
      <c r="G123" s="1"/>
      <c r="H123" s="1"/>
    </row>
    <row r="124" spans="1:8" s="4" customFormat="1" ht="18.75" customHeight="1" x14ac:dyDescent="0.3">
      <c r="A124" s="1"/>
      <c r="B124" s="3"/>
      <c r="C124" s="3"/>
      <c r="D124" s="1"/>
      <c r="E124" s="1"/>
      <c r="F124" s="1"/>
      <c r="G124" s="1"/>
      <c r="H124" s="1"/>
    </row>
    <row r="125" spans="1:8" s="4" customFormat="1" ht="18.75" customHeight="1" x14ac:dyDescent="0.3">
      <c r="A125" s="1"/>
      <c r="B125" s="3"/>
      <c r="C125" s="3"/>
      <c r="D125" s="1"/>
      <c r="E125" s="1"/>
      <c r="F125" s="1"/>
      <c r="G125" s="1"/>
      <c r="H125" s="1"/>
    </row>
    <row r="126" spans="1:8" s="4" customFormat="1" ht="18.75" customHeight="1" x14ac:dyDescent="0.3">
      <c r="A126" s="1"/>
      <c r="B126" s="3"/>
      <c r="C126" s="3"/>
      <c r="D126" s="1"/>
      <c r="E126" s="1"/>
      <c r="F126" s="1"/>
      <c r="G126" s="1"/>
      <c r="H126" s="1"/>
    </row>
    <row r="127" spans="1:8" s="4" customFormat="1" ht="18.75" customHeight="1" x14ac:dyDescent="0.3">
      <c r="A127" s="1"/>
      <c r="B127" s="3"/>
      <c r="C127" s="3"/>
      <c r="D127" s="1"/>
      <c r="E127" s="1"/>
      <c r="F127" s="1"/>
      <c r="G127" s="1"/>
      <c r="H127" s="1"/>
    </row>
    <row r="128" spans="1:8" s="4" customFormat="1" ht="18.75" customHeight="1" x14ac:dyDescent="0.3">
      <c r="A128" s="1"/>
      <c r="B128" s="3"/>
      <c r="C128" s="3"/>
      <c r="D128" s="1"/>
      <c r="E128" s="1"/>
      <c r="F128" s="1"/>
      <c r="G128" s="1"/>
      <c r="H128" s="1"/>
    </row>
    <row r="129" spans="1:8" s="4" customFormat="1" ht="18.75" customHeight="1" x14ac:dyDescent="0.3">
      <c r="A129" s="1"/>
      <c r="B129" s="3"/>
      <c r="C129" s="3"/>
      <c r="D129" s="1"/>
      <c r="E129" s="1"/>
      <c r="F129" s="1"/>
      <c r="G129" s="1"/>
      <c r="H129" s="1"/>
    </row>
    <row r="130" spans="1:8" s="4" customFormat="1" ht="18.75" customHeight="1" x14ac:dyDescent="0.3">
      <c r="A130" s="1"/>
      <c r="B130" s="3"/>
      <c r="C130" s="3"/>
      <c r="D130" s="1"/>
      <c r="E130" s="1"/>
      <c r="F130" s="1"/>
      <c r="G130" s="1"/>
      <c r="H130" s="1"/>
    </row>
    <row r="131" spans="1:8" s="4" customFormat="1" ht="18.75" customHeight="1" x14ac:dyDescent="0.3">
      <c r="A131" s="1"/>
      <c r="B131" s="3"/>
      <c r="C131" s="3"/>
      <c r="D131" s="1"/>
      <c r="E131" s="1"/>
      <c r="F131" s="1"/>
      <c r="G131" s="1"/>
      <c r="H131" s="1"/>
    </row>
    <row r="132" spans="1:8" s="4" customFormat="1" ht="18.75" customHeight="1" x14ac:dyDescent="0.3">
      <c r="A132" s="1"/>
      <c r="B132" s="3"/>
      <c r="C132" s="3"/>
      <c r="D132" s="1"/>
      <c r="E132" s="1"/>
      <c r="F132" s="1"/>
      <c r="G132" s="1"/>
      <c r="H132" s="1"/>
    </row>
    <row r="133" spans="1:8" s="4" customFormat="1" ht="18.75" customHeight="1" x14ac:dyDescent="0.3">
      <c r="A133" s="1"/>
      <c r="B133" s="3"/>
      <c r="C133" s="3"/>
      <c r="D133" s="1"/>
      <c r="E133" s="1"/>
      <c r="F133" s="1"/>
      <c r="G133" s="1"/>
      <c r="H133" s="1"/>
    </row>
    <row r="134" spans="1:8" s="4" customFormat="1" ht="18.75" customHeight="1" x14ac:dyDescent="0.3">
      <c r="A134" s="1"/>
      <c r="B134" s="3"/>
      <c r="C134" s="3"/>
      <c r="D134" s="1"/>
      <c r="E134" s="1"/>
      <c r="F134" s="1"/>
      <c r="G134" s="1"/>
      <c r="H134" s="1"/>
    </row>
    <row r="135" spans="1:8" s="4" customFormat="1" ht="18.75" customHeight="1" x14ac:dyDescent="0.3">
      <c r="A135" s="1"/>
      <c r="B135" s="3"/>
      <c r="C135" s="3"/>
      <c r="D135" s="1"/>
      <c r="E135" s="1"/>
      <c r="F135" s="1"/>
      <c r="G135" s="1"/>
      <c r="H135" s="1"/>
    </row>
    <row r="136" spans="1:8" s="4" customFormat="1" ht="18.75" customHeight="1" x14ac:dyDescent="0.3">
      <c r="A136" s="1"/>
      <c r="B136" s="3"/>
      <c r="C136" s="3"/>
      <c r="D136" s="1"/>
      <c r="E136" s="1"/>
      <c r="F136" s="1"/>
      <c r="G136" s="1"/>
      <c r="H136" s="1"/>
    </row>
    <row r="137" spans="1:8" s="4" customFormat="1" ht="18.75" customHeight="1" x14ac:dyDescent="0.3">
      <c r="A137" s="1"/>
      <c r="B137" s="3"/>
      <c r="C137" s="3"/>
      <c r="D137" s="1"/>
      <c r="E137" s="1"/>
      <c r="F137" s="1"/>
      <c r="G137" s="1"/>
      <c r="H137" s="1"/>
    </row>
    <row r="138" spans="1:8" s="4" customFormat="1" ht="18.75" customHeight="1" x14ac:dyDescent="0.3">
      <c r="A138" s="1"/>
      <c r="B138" s="3"/>
      <c r="C138" s="3"/>
      <c r="D138" s="1"/>
      <c r="E138" s="1"/>
      <c r="F138" s="1"/>
      <c r="G138" s="1"/>
      <c r="H138" s="1"/>
    </row>
    <row r="139" spans="1:8" s="4" customFormat="1" ht="18.75" customHeight="1" x14ac:dyDescent="0.3">
      <c r="A139" s="1"/>
      <c r="B139" s="3"/>
      <c r="C139" s="3"/>
      <c r="D139" s="1"/>
      <c r="E139" s="1"/>
      <c r="F139" s="1"/>
      <c r="G139" s="1"/>
      <c r="H139" s="1"/>
    </row>
    <row r="140" spans="1:8" s="4" customFormat="1" ht="18.75" customHeight="1" x14ac:dyDescent="0.3">
      <c r="A140" s="1"/>
      <c r="B140" s="3"/>
      <c r="C140" s="3"/>
      <c r="D140" s="1"/>
      <c r="E140" s="1"/>
      <c r="F140" s="1"/>
      <c r="G140" s="1"/>
      <c r="H140" s="1"/>
    </row>
    <row r="141" spans="1:8" s="4" customFormat="1" ht="18.75" customHeight="1" x14ac:dyDescent="0.3">
      <c r="A141" s="1"/>
      <c r="B141" s="3"/>
      <c r="C141" s="3"/>
      <c r="D141" s="1"/>
      <c r="E141" s="1"/>
      <c r="F141" s="1"/>
      <c r="G141" s="1"/>
      <c r="H141" s="1"/>
    </row>
    <row r="142" spans="1:8" s="4" customFormat="1" ht="18.75" customHeight="1" x14ac:dyDescent="0.3">
      <c r="A142" s="1"/>
      <c r="B142" s="3"/>
      <c r="C142" s="3"/>
      <c r="D142" s="1"/>
      <c r="E142" s="1"/>
      <c r="F142" s="1"/>
      <c r="G142" s="1"/>
      <c r="H142" s="1"/>
    </row>
    <row r="143" spans="1:8" s="4" customFormat="1" ht="18.75" customHeight="1" x14ac:dyDescent="0.3">
      <c r="A143" s="1"/>
      <c r="B143" s="3"/>
      <c r="C143" s="3"/>
      <c r="D143" s="1"/>
      <c r="E143" s="1"/>
      <c r="F143" s="1"/>
      <c r="G143" s="1"/>
      <c r="H143" s="1"/>
    </row>
    <row r="144" spans="1:8" s="4" customFormat="1" ht="18.75" customHeight="1" x14ac:dyDescent="0.3">
      <c r="A144" s="1"/>
      <c r="B144" s="3"/>
      <c r="C144" s="3"/>
      <c r="D144" s="1"/>
      <c r="E144" s="1"/>
      <c r="F144" s="1"/>
      <c r="G144" s="1"/>
      <c r="H144" s="1"/>
    </row>
    <row r="145" spans="1:8" s="4" customFormat="1" ht="18.75" customHeight="1" x14ac:dyDescent="0.3">
      <c r="A145" s="1"/>
      <c r="B145" s="3"/>
      <c r="C145" s="3"/>
      <c r="D145" s="1"/>
      <c r="E145" s="1"/>
      <c r="F145" s="1"/>
      <c r="G145" s="1"/>
      <c r="H145" s="1"/>
    </row>
    <row r="146" spans="1:8" s="4" customFormat="1" ht="18.75" customHeight="1" x14ac:dyDescent="0.3">
      <c r="A146" s="1"/>
      <c r="B146" s="3"/>
      <c r="C146" s="3"/>
      <c r="D146" s="1"/>
      <c r="E146" s="1"/>
      <c r="F146" s="1"/>
      <c r="G146" s="1"/>
      <c r="H146" s="1"/>
    </row>
    <row r="147" spans="1:8" s="4" customFormat="1" ht="18.75" customHeight="1" x14ac:dyDescent="0.3">
      <c r="A147" s="1"/>
      <c r="B147" s="3"/>
      <c r="C147" s="3"/>
      <c r="D147" s="1"/>
      <c r="E147" s="1"/>
      <c r="F147" s="1"/>
      <c r="G147" s="1"/>
      <c r="H147" s="1"/>
    </row>
    <row r="148" spans="1:8" s="4" customFormat="1" ht="18.75" customHeight="1" x14ac:dyDescent="0.3">
      <c r="A148" s="1"/>
      <c r="B148" s="3"/>
      <c r="C148" s="3"/>
      <c r="D148" s="1"/>
      <c r="E148" s="1"/>
      <c r="F148" s="1"/>
      <c r="G148" s="1"/>
      <c r="H148" s="1"/>
    </row>
    <row r="149" spans="1:8" s="4" customFormat="1" ht="18.75" customHeight="1" x14ac:dyDescent="0.3">
      <c r="A149" s="1"/>
      <c r="B149" s="3"/>
      <c r="C149" s="3"/>
      <c r="D149" s="1"/>
      <c r="E149" s="1"/>
      <c r="F149" s="1"/>
      <c r="G149" s="1"/>
      <c r="H149" s="1"/>
    </row>
    <row r="150" spans="1:8" s="4" customFormat="1" ht="18.75" customHeight="1" x14ac:dyDescent="0.3">
      <c r="A150" s="1"/>
      <c r="B150" s="3"/>
      <c r="C150" s="3"/>
      <c r="D150" s="1"/>
      <c r="E150" s="1"/>
      <c r="F150" s="1"/>
      <c r="G150" s="1"/>
      <c r="H150" s="1"/>
    </row>
    <row r="151" spans="1:8" s="4" customFormat="1" ht="18.75" customHeight="1" x14ac:dyDescent="0.3">
      <c r="A151" s="1"/>
      <c r="B151" s="3"/>
      <c r="C151" s="3"/>
      <c r="D151" s="1"/>
      <c r="E151" s="1"/>
      <c r="F151" s="1"/>
      <c r="G151" s="1"/>
      <c r="H151" s="1"/>
    </row>
    <row r="152" spans="1:8" s="4" customFormat="1" ht="18.75" customHeight="1" x14ac:dyDescent="0.3">
      <c r="A152" s="1"/>
      <c r="B152" s="3"/>
      <c r="C152" s="3"/>
      <c r="D152" s="1"/>
      <c r="E152" s="1"/>
      <c r="F152" s="1"/>
      <c r="G152" s="1"/>
      <c r="H152" s="1"/>
    </row>
    <row r="153" spans="1:8" s="4" customFormat="1" ht="18.75" customHeight="1" x14ac:dyDescent="0.3">
      <c r="A153" s="1"/>
      <c r="B153" s="3"/>
      <c r="C153" s="3"/>
      <c r="D153" s="1"/>
      <c r="E153" s="1"/>
      <c r="F153" s="1"/>
      <c r="G153" s="1"/>
      <c r="H153" s="1"/>
    </row>
    <row r="154" spans="1:8" s="4" customFormat="1" ht="18.75" customHeight="1" x14ac:dyDescent="0.3">
      <c r="A154" s="1"/>
      <c r="B154" s="3"/>
      <c r="C154" s="3"/>
      <c r="D154" s="1"/>
      <c r="E154" s="1"/>
      <c r="F154" s="1"/>
      <c r="G154" s="1"/>
      <c r="H154" s="1"/>
    </row>
    <row r="155" spans="1:8" s="4" customFormat="1" ht="18.75" customHeight="1" x14ac:dyDescent="0.3">
      <c r="A155" s="1"/>
      <c r="B155" s="3"/>
      <c r="C155" s="3"/>
      <c r="D155" s="1"/>
      <c r="E155" s="1"/>
      <c r="F155" s="1"/>
      <c r="G155" s="1"/>
      <c r="H155" s="1"/>
    </row>
    <row r="156" spans="1:8" s="4" customFormat="1" ht="18.75" customHeight="1" x14ac:dyDescent="0.3">
      <c r="A156" s="1"/>
      <c r="B156" s="3"/>
      <c r="C156" s="3"/>
      <c r="D156" s="1"/>
      <c r="E156" s="1"/>
      <c r="F156" s="1"/>
      <c r="G156" s="1"/>
      <c r="H156" s="1"/>
    </row>
    <row r="157" spans="1:8" s="4" customFormat="1" ht="18.75" customHeight="1" x14ac:dyDescent="0.3">
      <c r="A157" s="1"/>
      <c r="B157" s="3"/>
      <c r="C157" s="3"/>
      <c r="D157" s="1"/>
      <c r="E157" s="1"/>
      <c r="F157" s="1"/>
      <c r="G157" s="1"/>
      <c r="H157" s="1"/>
    </row>
    <row r="158" spans="1:8" s="4" customFormat="1" ht="18.75" customHeight="1" x14ac:dyDescent="0.3">
      <c r="A158" s="1"/>
      <c r="B158" s="3"/>
      <c r="C158" s="3"/>
      <c r="D158" s="1"/>
      <c r="E158" s="1"/>
      <c r="F158" s="1"/>
      <c r="G158" s="1"/>
      <c r="H158" s="1"/>
    </row>
    <row r="159" spans="1:8" s="4" customFormat="1" ht="18.75" customHeight="1" x14ac:dyDescent="0.3">
      <c r="A159" s="1"/>
      <c r="B159" s="3"/>
      <c r="C159" s="3"/>
      <c r="D159" s="1"/>
      <c r="E159" s="1"/>
      <c r="F159" s="1"/>
      <c r="G159" s="1"/>
      <c r="H159" s="1"/>
    </row>
    <row r="160" spans="1:8" s="4" customFormat="1" ht="18.75" customHeight="1" x14ac:dyDescent="0.3">
      <c r="A160" s="1"/>
      <c r="B160" s="3"/>
      <c r="C160" s="3"/>
      <c r="D160" s="1"/>
      <c r="E160" s="1"/>
      <c r="F160" s="1"/>
      <c r="G160" s="1"/>
      <c r="H160" s="1"/>
    </row>
    <row r="161" spans="1:8" s="4" customFormat="1" ht="18.75" customHeight="1" x14ac:dyDescent="0.3">
      <c r="A161" s="1"/>
      <c r="B161" s="3"/>
      <c r="C161" s="3"/>
      <c r="D161" s="1"/>
      <c r="E161" s="1"/>
      <c r="F161" s="1"/>
      <c r="G161" s="1"/>
      <c r="H161" s="1"/>
    </row>
    <row r="162" spans="1:8" s="4" customFormat="1" ht="18.75" customHeight="1" x14ac:dyDescent="0.3">
      <c r="A162" s="1"/>
      <c r="B162" s="3"/>
      <c r="C162" s="3"/>
      <c r="D162" s="1"/>
      <c r="E162" s="1"/>
      <c r="F162" s="1"/>
      <c r="G162" s="1"/>
      <c r="H162" s="1"/>
    </row>
    <row r="163" spans="1:8" s="4" customFormat="1" ht="18.75" customHeight="1" x14ac:dyDescent="0.3">
      <c r="A163" s="1"/>
      <c r="B163" s="3"/>
      <c r="C163" s="3"/>
      <c r="D163" s="1"/>
      <c r="E163" s="1"/>
      <c r="F163" s="1"/>
      <c r="G163" s="1"/>
      <c r="H163" s="1"/>
    </row>
    <row r="164" spans="1:8" s="4" customFormat="1" ht="18.75" customHeight="1" x14ac:dyDescent="0.3">
      <c r="A164" s="1"/>
      <c r="B164" s="3"/>
      <c r="C164" s="3"/>
      <c r="D164" s="1"/>
      <c r="E164" s="1"/>
      <c r="F164" s="1"/>
      <c r="G164" s="1"/>
      <c r="H164" s="1"/>
    </row>
    <row r="165" spans="1:8" s="4" customFormat="1" ht="18.75" customHeight="1" x14ac:dyDescent="0.3">
      <c r="A165" s="1"/>
      <c r="B165" s="3"/>
      <c r="C165" s="3"/>
      <c r="D165" s="1"/>
      <c r="E165" s="1"/>
      <c r="F165" s="1"/>
      <c r="G165" s="1"/>
      <c r="H165" s="1"/>
    </row>
    <row r="166" spans="1:8" s="4" customFormat="1" ht="18.75" customHeight="1" x14ac:dyDescent="0.3">
      <c r="A166" s="1"/>
      <c r="B166" s="3"/>
      <c r="C166" s="3"/>
      <c r="D166" s="1"/>
      <c r="E166" s="1"/>
      <c r="F166" s="1"/>
      <c r="G166" s="1"/>
      <c r="H166" s="1"/>
    </row>
    <row r="167" spans="1:8" s="4" customFormat="1" ht="18.75" customHeight="1" x14ac:dyDescent="0.3">
      <c r="A167" s="1"/>
      <c r="B167" s="3"/>
      <c r="C167" s="3"/>
      <c r="D167" s="1"/>
      <c r="E167" s="1"/>
      <c r="F167" s="1"/>
      <c r="G167" s="1"/>
      <c r="H167" s="1"/>
    </row>
    <row r="168" spans="1:8" s="4" customFormat="1" ht="18.75" customHeight="1" x14ac:dyDescent="0.3">
      <c r="A168" s="1"/>
      <c r="B168" s="3"/>
      <c r="C168" s="3"/>
      <c r="D168" s="1"/>
      <c r="E168" s="1"/>
      <c r="F168" s="1"/>
      <c r="G168" s="1"/>
      <c r="H168" s="1"/>
    </row>
    <row r="169" spans="1:8" s="4" customFormat="1" ht="18.75" customHeight="1" x14ac:dyDescent="0.3">
      <c r="A169" s="1"/>
      <c r="B169" s="3"/>
      <c r="C169" s="3"/>
      <c r="D169" s="1"/>
      <c r="E169" s="1"/>
      <c r="F169" s="1"/>
      <c r="G169" s="1"/>
      <c r="H169" s="1"/>
    </row>
    <row r="170" spans="1:8" s="4" customFormat="1" ht="18.75" customHeight="1" x14ac:dyDescent="0.3">
      <c r="A170" s="1"/>
      <c r="B170" s="3"/>
      <c r="C170" s="3"/>
      <c r="D170" s="1"/>
      <c r="E170" s="1"/>
      <c r="F170" s="1"/>
      <c r="G170" s="1"/>
      <c r="H170" s="1"/>
    </row>
    <row r="171" spans="1:8" s="4" customFormat="1" ht="18.75" customHeight="1" x14ac:dyDescent="0.3">
      <c r="A171" s="1"/>
      <c r="B171" s="3"/>
      <c r="C171" s="3"/>
      <c r="D171" s="1"/>
      <c r="E171" s="1"/>
      <c r="F171" s="1"/>
      <c r="G171" s="1"/>
      <c r="H171" s="1"/>
    </row>
    <row r="172" spans="1:8" s="4" customFormat="1" ht="18.75" customHeight="1" x14ac:dyDescent="0.3">
      <c r="A172" s="1"/>
      <c r="B172" s="3"/>
      <c r="C172" s="3"/>
      <c r="D172" s="1"/>
      <c r="E172" s="1"/>
      <c r="F172" s="1"/>
      <c r="G172" s="1"/>
      <c r="H172" s="1"/>
    </row>
    <row r="173" spans="1:8" s="4" customFormat="1" ht="18.75" customHeight="1" x14ac:dyDescent="0.3">
      <c r="A173" s="1"/>
      <c r="B173" s="3"/>
      <c r="C173" s="3"/>
      <c r="D173" s="1"/>
      <c r="E173" s="1"/>
      <c r="F173" s="1"/>
      <c r="G173" s="1"/>
      <c r="H173" s="1"/>
    </row>
  </sheetData>
  <mergeCells count="34">
    <mergeCell ref="D116:F116"/>
    <mergeCell ref="D118:F118"/>
    <mergeCell ref="D119:F119"/>
    <mergeCell ref="D120:F120"/>
    <mergeCell ref="D108:F108"/>
    <mergeCell ref="D109:F109"/>
    <mergeCell ref="D110:F110"/>
    <mergeCell ref="D112:F112"/>
    <mergeCell ref="D113:F113"/>
    <mergeCell ref="D115:F115"/>
    <mergeCell ref="D100:F100"/>
    <mergeCell ref="D101:F101"/>
    <mergeCell ref="D103:F103"/>
    <mergeCell ref="D104:F104"/>
    <mergeCell ref="D105:F105"/>
    <mergeCell ref="D107:F107"/>
    <mergeCell ref="D94:F94"/>
    <mergeCell ref="D95:F95"/>
    <mergeCell ref="D96:F96"/>
    <mergeCell ref="D97:F97"/>
    <mergeCell ref="D98:F98"/>
    <mergeCell ref="D99:F99"/>
    <mergeCell ref="D87:F87"/>
    <mergeCell ref="D88:F88"/>
    <mergeCell ref="D89:F89"/>
    <mergeCell ref="D90:F90"/>
    <mergeCell ref="D92:F92"/>
    <mergeCell ref="D93:F93"/>
    <mergeCell ref="D79:F79"/>
    <mergeCell ref="D81:F81"/>
    <mergeCell ref="D82:F82"/>
    <mergeCell ref="D83:F83"/>
    <mergeCell ref="D84:F84"/>
    <mergeCell ref="D85:F85"/>
  </mergeCells>
  <dataValidations count="2">
    <dataValidation allowBlank="1" sqref="G77" xr:uid="{99685B0D-CCC8-4F7C-88C2-A6170DF27DDA}"/>
    <dataValidation type="list" errorStyle="warning" allowBlank="1" showInputMessage="1" showErrorMessage="1" errorTitle="Handlungsbedarf" error="Bitte geben Sie eine gültige Antwort ein:_x000a_ja, nein, prüfen" sqref="G87:G90 G103:G120 G81:G85 G79 G92:G101 G58:G66 G49:G56 G36:G47 G68:G71 G73 G75" xr:uid="{660DB381-8698-47CD-BB01-17670BCFF5C0}">
      <formula1>Handlungsbedarf</formula1>
    </dataValidation>
  </dataValidations>
  <printOptions horizontalCentered="1"/>
  <pageMargins left="0.39370078740157483" right="0.39370078740157483" top="0.39370078740157483" bottom="0.47244094488188981" header="0.31496062992125984" footer="0.19685039370078741"/>
  <pageSetup paperSize="9" scale="81" fitToHeight="3" orientation="portrait" r:id="rId1"/>
  <headerFooter>
    <oddFooter>&amp;L&amp;G&amp;C&amp;"Arial,Standard"&amp;9GBU &amp;A&amp;R&amp;"Arial,Standard"&amp;9Seite &amp;P / &amp;N</oddFooter>
  </headerFooter>
  <rowBreaks count="2" manualBreakCount="2">
    <brk id="33" min="1" max="6" man="1"/>
    <brk id="76" min="1" max="6" man="1"/>
  </rowBreaks>
  <drawing r:id="rId2"/>
  <legacyDrawingHF r:id="rId3"/>
  <extLst>
    <ext xmlns:x14="http://schemas.microsoft.com/office/spreadsheetml/2009/9/main" uri="{78C0D931-6437-407d-A8EE-F0AAD7539E65}">
      <x14:conditionalFormattings>
        <x14:conditionalFormatting xmlns:xm="http://schemas.microsoft.com/office/excel/2006/main">
          <x14:cfRule type="cellIs" priority="23" operator="equal" id="{89280F72-1217-488B-B547-3FA7C7DE788A}">
            <xm:f>Daten!$I$4</xm:f>
            <x14:dxf>
              <font>
                <color rgb="FFFF0000"/>
              </font>
            </x14:dxf>
          </x14:cfRule>
          <xm:sqref>G1:G1048576</xm:sqref>
        </x14:conditionalFormatting>
        <x14:conditionalFormatting xmlns:xm="http://schemas.microsoft.com/office/excel/2006/main">
          <x14:cfRule type="cellIs" priority="20" operator="equal" id="{51B1ECFD-B6E3-40F4-9E33-CF083CDB9603}">
            <xm:f>Daten!$I$2</xm:f>
            <x14:dxf>
              <font>
                <color theme="1" tint="0.499984740745262"/>
              </font>
            </x14:dxf>
          </x14:cfRule>
          <xm:sqref>G36:G47 G77:G121</xm:sqref>
        </x14:conditionalFormatting>
        <x14:conditionalFormatting xmlns:xm="http://schemas.microsoft.com/office/excel/2006/main">
          <x14:cfRule type="cellIs" priority="21" operator="equal" id="{211BC7D4-7BC1-4491-B996-E162B17E3F8F}">
            <xm:f>Daten!$I$3</xm:f>
            <x14:dxf>
              <font>
                <color rgb="FF00B050"/>
              </font>
            </x14:dxf>
          </x14:cfRule>
          <x14:cfRule type="cellIs" priority="22" operator="equal" id="{B8A661F2-14E7-4827-93A6-F7BF46C4DAB1}">
            <xm:f>Daten!$I$2</xm:f>
            <x14:dxf>
              <font>
                <color theme="1" tint="0.499984740745262"/>
              </font>
            </x14:dxf>
          </x14:cfRule>
          <xm:sqref>G49</xm:sqref>
        </x14:conditionalFormatting>
        <x14:conditionalFormatting xmlns:xm="http://schemas.microsoft.com/office/excel/2006/main">
          <x14:cfRule type="cellIs" priority="9" operator="equal" id="{84740EA7-61FD-438D-A17B-9DB8100BFBE4}">
            <xm:f>Daten!$I$3</xm:f>
            <x14:dxf>
              <font>
                <color rgb="FF00B050"/>
              </font>
            </x14:dxf>
          </x14:cfRule>
          <x14:cfRule type="cellIs" priority="10" operator="equal" id="{F6BA80FF-FD5E-4755-B9A1-3CF423A82D6E}">
            <xm:f>Daten!$I$2</xm:f>
            <x14:dxf>
              <font>
                <color theme="1" tint="0.499984740745262"/>
              </font>
            </x14:dxf>
          </x14:cfRule>
          <x14:cfRule type="cellIs" priority="13" operator="equal" id="{DB2C374C-E9D1-4CE2-AD5A-0B6330C093D2}">
            <xm:f>Daten!$I$3</xm:f>
            <x14:dxf>
              <font>
                <color rgb="FF00B050"/>
              </font>
            </x14:dxf>
          </x14:cfRule>
          <x14:cfRule type="cellIs" priority="14" operator="equal" id="{3FE6FEFA-771A-4295-9478-E5147403F1E8}">
            <xm:f>Daten!$I$2</xm:f>
            <x14:dxf>
              <font>
                <color theme="1" tint="0.499984740745262"/>
              </font>
            </x14:dxf>
          </x14:cfRule>
          <xm:sqref>G49:G56</xm:sqref>
        </x14:conditionalFormatting>
        <x14:conditionalFormatting xmlns:xm="http://schemas.microsoft.com/office/excel/2006/main">
          <x14:cfRule type="cellIs" priority="17" operator="equal" id="{9879AD48-DFB1-4939-A238-AB4FB2342951}">
            <xm:f>Daten!$I$3</xm:f>
            <x14:dxf>
              <font>
                <color rgb="FF00B050"/>
              </font>
            </x14:dxf>
          </x14:cfRule>
          <x14:cfRule type="cellIs" priority="18" operator="equal" id="{BDCA7EBB-96C5-4AF8-8E5D-D4A28D1DB21D}">
            <xm:f>Daten!$I$2</xm:f>
            <x14:dxf>
              <font>
                <color theme="1" tint="0.499984740745262"/>
              </font>
            </x14:dxf>
          </x14:cfRule>
          <xm:sqref>G58</xm:sqref>
        </x14:conditionalFormatting>
        <x14:conditionalFormatting xmlns:xm="http://schemas.microsoft.com/office/excel/2006/main">
          <x14:cfRule type="cellIs" priority="7" operator="equal" id="{6CC55B3F-4EFA-4A98-A761-334D0AB761C9}">
            <xm:f>Daten!$I$3</xm:f>
            <x14:dxf>
              <font>
                <color rgb="FF00B050"/>
              </font>
            </x14:dxf>
          </x14:cfRule>
          <x14:cfRule type="cellIs" priority="8" operator="equal" id="{44D2A820-E43D-42EF-A04C-9424D1AEE5D0}">
            <xm:f>Daten!$I$2</xm:f>
            <x14:dxf>
              <font>
                <color theme="1" tint="0.499984740745262"/>
              </font>
            </x14:dxf>
          </x14:cfRule>
          <x14:cfRule type="cellIs" priority="15" operator="equal" id="{BFA34EEA-A044-4655-A88B-4D31AD19EF97}">
            <xm:f>Daten!$I$3</xm:f>
            <x14:dxf>
              <font>
                <color rgb="FF00B050"/>
              </font>
            </x14:dxf>
          </x14:cfRule>
          <x14:cfRule type="cellIs" priority="16" operator="equal" id="{92C03873-525D-4F27-9159-5A243D29C1D7}">
            <xm:f>Daten!$I$2</xm:f>
            <x14:dxf>
              <font>
                <color theme="1" tint="0.499984740745262"/>
              </font>
            </x14:dxf>
          </x14:cfRule>
          <xm:sqref>G58:G66</xm:sqref>
        </x14:conditionalFormatting>
        <x14:conditionalFormatting xmlns:xm="http://schemas.microsoft.com/office/excel/2006/main">
          <x14:cfRule type="cellIs" priority="24" operator="equal" id="{40FD23A2-FB02-4874-8085-6A2420681457}">
            <xm:f>Daten!$I$3</xm:f>
            <x14:dxf>
              <font>
                <color rgb="FF00B050"/>
              </font>
            </x14:dxf>
          </x14:cfRule>
          <x14:cfRule type="cellIs" priority="25" operator="equal" id="{D3BE3A17-85BC-45BD-89E9-B14D6FFD8884}">
            <xm:f>Daten!$I$2</xm:f>
            <x14:dxf>
              <font>
                <color theme="1" tint="0.499984740745262"/>
              </font>
            </x14:dxf>
          </x14:cfRule>
          <xm:sqref>G68:G71 G73 G75</xm:sqref>
        </x14:conditionalFormatting>
        <x14:conditionalFormatting xmlns:xm="http://schemas.microsoft.com/office/excel/2006/main">
          <x14:cfRule type="cellIs" priority="5" operator="equal" id="{23399B89-4EA8-4A2D-A4F2-94BDF8366A9C}">
            <xm:f>Daten!$I$3</xm:f>
            <x14:dxf>
              <font>
                <color rgb="FF00B050"/>
              </font>
            </x14:dxf>
          </x14:cfRule>
          <x14:cfRule type="cellIs" priority="6" operator="equal" id="{8219364B-833B-4A8D-99E3-C6B87BC646A0}">
            <xm:f>Daten!$I$2</xm:f>
            <x14:dxf>
              <font>
                <color theme="1" tint="0.499984740745262"/>
              </font>
            </x14:dxf>
          </x14:cfRule>
          <x14:cfRule type="cellIs" priority="11" operator="equal" id="{BB2C3CA6-5916-4123-BF0D-F584EC155296}">
            <xm:f>Daten!$I$3</xm:f>
            <x14:dxf>
              <font>
                <color rgb="FF00B050"/>
              </font>
            </x14:dxf>
          </x14:cfRule>
          <x14:cfRule type="cellIs" priority="12" operator="equal" id="{30B14D0E-FE26-483C-A30D-BEE56731D159}">
            <xm:f>Daten!$I$2</xm:f>
            <x14:dxf>
              <font>
                <color theme="1" tint="0.499984740745262"/>
              </font>
            </x14:dxf>
          </x14:cfRule>
          <xm:sqref>G70:G71</xm:sqref>
        </x14:conditionalFormatting>
        <x14:conditionalFormatting xmlns:xm="http://schemas.microsoft.com/office/excel/2006/main">
          <x14:cfRule type="cellIs" priority="19" operator="equal" id="{D6810552-F927-438F-AEB5-78252A00604F}">
            <xm:f>Daten!$I$3</xm:f>
            <x14:dxf>
              <font>
                <color rgb="FF00B050"/>
              </font>
            </x14:dxf>
          </x14:cfRule>
          <xm:sqref>G77:G121 G36:G47</xm:sqref>
        </x14:conditionalFormatting>
        <x14:conditionalFormatting xmlns:xm="http://schemas.microsoft.com/office/excel/2006/main">
          <x14:cfRule type="cellIs" priority="1" operator="equal" id="{CE88C87C-D3FF-477E-A560-3079EBE43B8A}">
            <xm:f>Daten!$I$3</xm:f>
            <x14:dxf>
              <font>
                <color rgb="FF00B050"/>
              </font>
            </x14:dxf>
          </x14:cfRule>
          <x14:cfRule type="cellIs" priority="2" operator="equal" id="{0F76AF42-4942-4158-8297-3FD10470551D}">
            <xm:f>Daten!$I$2</xm:f>
            <x14:dxf>
              <font>
                <color theme="1" tint="0.499984740745262"/>
              </font>
            </x14:dxf>
          </x14:cfRule>
          <x14:cfRule type="cellIs" priority="3" operator="equal" id="{1C2C5CD7-82E2-4DED-8610-24CF8494B156}">
            <xm:f>Daten!$I$3</xm:f>
            <x14:dxf>
              <font>
                <color rgb="FF00B050"/>
              </font>
            </x14:dxf>
          </x14:cfRule>
          <x14:cfRule type="cellIs" priority="4" operator="equal" id="{FCA2505C-B5AD-4C4D-A817-FCF9A81015AC}">
            <xm:f>Daten!$I$2</xm:f>
            <x14:dxf>
              <font>
                <color theme="1" tint="0.499984740745262"/>
              </font>
            </x14:dxf>
          </x14:cfRule>
          <xm:sqref>G79 G81:G85 G87:G89 G92:G100 G107:G108 G113 G115:G116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398EB-395B-4D2D-BDE2-FC99AA73596A}">
  <sheetPr>
    <pageSetUpPr fitToPage="1"/>
  </sheetPr>
  <dimension ref="A1:J173"/>
  <sheetViews>
    <sheetView showGridLines="0" zoomScaleNormal="100" zoomScaleSheetLayoutView="80" workbookViewId="0">
      <selection activeCell="J13" sqref="J13"/>
    </sheetView>
  </sheetViews>
  <sheetFormatPr baseColWidth="10" defaultColWidth="11.44140625" defaultRowHeight="18.75" customHeight="1" x14ac:dyDescent="0.3"/>
  <cols>
    <col min="1" max="1" width="2.109375" style="1" customWidth="1"/>
    <col min="2" max="3" width="3.5546875" style="3" customWidth="1"/>
    <col min="4" max="4" width="33.33203125" style="1" customWidth="1"/>
    <col min="5" max="5" width="65.5546875" style="1" customWidth="1"/>
    <col min="6" max="6" width="1.109375" style="1" customWidth="1"/>
    <col min="7" max="7" width="8.88671875" style="1" customWidth="1"/>
    <col min="8" max="8" width="2.109375" style="1" customWidth="1"/>
    <col min="9" max="9" width="3.33203125" style="1" customWidth="1"/>
    <col min="10" max="10" width="63.33203125" style="1" customWidth="1"/>
    <col min="11" max="16384" width="11.44140625" style="1"/>
  </cols>
  <sheetData>
    <row r="1" spans="1:9" ht="25.95" customHeight="1" x14ac:dyDescent="0.4">
      <c r="A1" s="2"/>
      <c r="B1" s="103" t="s">
        <v>2516</v>
      </c>
      <c r="F1" s="100" t="s">
        <v>1149</v>
      </c>
      <c r="G1" s="129" t="s">
        <v>1604</v>
      </c>
      <c r="H1" s="2"/>
      <c r="I1" s="87"/>
    </row>
    <row r="2" spans="1:9" ht="24" customHeight="1" x14ac:dyDescent="0.3">
      <c r="A2" s="2"/>
      <c r="B2" s="125" t="str">
        <f>CONCATENATE(Daten!G2," · ",Daten!H2)</f>
        <v>OTH Oberflächentechnik Hagen GmbH &amp; Co. KG · Selbecker Str. 145-149, 58091 Hagen</v>
      </c>
      <c r="C2" s="79"/>
      <c r="D2" s="80"/>
      <c r="E2" s="81"/>
      <c r="F2" s="101" t="s">
        <v>1144</v>
      </c>
      <c r="G2" s="99">
        <f ca="1">TODAY()</f>
        <v>45905</v>
      </c>
      <c r="H2" s="2"/>
    </row>
    <row r="3" spans="1:9" ht="9" customHeight="1" x14ac:dyDescent="0.3">
      <c r="A3" s="2"/>
      <c r="D3" s="75"/>
      <c r="H3" s="2"/>
    </row>
    <row r="4" spans="1:9" ht="12" customHeight="1" x14ac:dyDescent="0.3">
      <c r="A4" s="2"/>
      <c r="H4" s="2"/>
    </row>
    <row r="5" spans="1:9" ht="18" customHeight="1" x14ac:dyDescent="0.3">
      <c r="A5" s="2"/>
      <c r="D5" s="74" t="s">
        <v>1112</v>
      </c>
      <c r="E5" s="130" t="s">
        <v>1150</v>
      </c>
      <c r="H5" s="2"/>
      <c r="I5" s="87"/>
    </row>
    <row r="6" spans="1:9" ht="18" customHeight="1" x14ac:dyDescent="0.3">
      <c r="A6" s="2"/>
      <c r="D6" s="74" t="s">
        <v>1</v>
      </c>
      <c r="E6" s="73" t="str">
        <f>CONCATENATE(Daten!G5," (",Daten!H5,")")</f>
        <v>Herr Udo Gensowski (Geschäftsführer)</v>
      </c>
      <c r="H6" s="2"/>
    </row>
    <row r="7" spans="1:9" ht="9" customHeight="1" x14ac:dyDescent="0.3">
      <c r="A7" s="2"/>
      <c r="D7" s="75"/>
      <c r="H7" s="2"/>
    </row>
    <row r="8" spans="1:9" ht="18" customHeight="1" x14ac:dyDescent="0.3">
      <c r="A8" s="2"/>
      <c r="B8" s="60" t="s">
        <v>1148</v>
      </c>
      <c r="C8" s="58"/>
      <c r="D8" s="76"/>
      <c r="E8" s="59"/>
      <c r="F8" s="2"/>
      <c r="G8" s="2"/>
      <c r="H8" s="2"/>
    </row>
    <row r="9" spans="1:9" ht="9" customHeight="1" x14ac:dyDescent="0.3">
      <c r="A9" s="2"/>
      <c r="D9" s="75"/>
      <c r="H9" s="2"/>
    </row>
    <row r="10" spans="1:9" ht="30" customHeight="1" x14ac:dyDescent="0.3">
      <c r="A10" s="2"/>
      <c r="B10" s="54"/>
      <c r="D10" s="77" t="s">
        <v>1107</v>
      </c>
      <c r="E10" s="61" t="str">
        <f>VLOOKUP($G$1,'Übersicht GBU'!A:AB,4,FALSE)</f>
        <v>Ätznatron Prills</v>
      </c>
      <c r="H10" s="2"/>
    </row>
    <row r="11" spans="1:9" ht="18" customHeight="1" x14ac:dyDescent="0.3">
      <c r="A11" s="2"/>
      <c r="D11" s="85" t="s">
        <v>1108</v>
      </c>
      <c r="E11" s="83" t="str">
        <f>VLOOKUP($G$1,'Übersicht GBU'!A:AB,5,FALSE)</f>
        <v>Stockmeier Chemie GmbH &amp; Co. KG</v>
      </c>
      <c r="H11" s="2"/>
    </row>
    <row r="12" spans="1:9" ht="18" customHeight="1" x14ac:dyDescent="0.3">
      <c r="A12" s="2"/>
      <c r="D12" s="86" t="s">
        <v>1106</v>
      </c>
      <c r="E12" s="84">
        <f>VLOOKUP($G$1,'Übersicht GBU'!A:AB,6,FALSE)</f>
        <v>42080</v>
      </c>
      <c r="G12" s="141" t="s">
        <v>2517</v>
      </c>
      <c r="H12" s="2"/>
    </row>
    <row r="13" spans="1:9" ht="18" customHeight="1" x14ac:dyDescent="0.3">
      <c r="A13" s="2"/>
      <c r="D13" s="85" t="s">
        <v>1111</v>
      </c>
      <c r="E13" s="83" t="str">
        <f>CONCATENATE(VLOOKUP($G$1,'Übersicht GBU'!A:AB,7,FALSE),", ",VLOOKUP($G$1,'Übersicht GBU'!A:AB,8,FALSE)," (",VLOOKUP($G$1,'Übersicht GBU'!A:AB,9,FALSE),")")</f>
        <v>Feststoff, weiß (0)</v>
      </c>
      <c r="H13" s="2"/>
    </row>
    <row r="14" spans="1:9" ht="30" customHeight="1" x14ac:dyDescent="0.3">
      <c r="A14" s="2"/>
      <c r="D14" s="77" t="s">
        <v>1109</v>
      </c>
      <c r="E14" s="72" t="str">
        <f>VLOOKUP($G$1,'Übersicht GBU'!A:AB,10,FALSE)</f>
        <v>Abwasserbehandlung</v>
      </c>
      <c r="H14" s="2"/>
    </row>
    <row r="15" spans="1:9" ht="9" customHeight="1" x14ac:dyDescent="0.3">
      <c r="A15" s="2"/>
      <c r="D15" s="75"/>
      <c r="H15" s="2"/>
    </row>
    <row r="16" spans="1:9" ht="209.4" customHeight="1" x14ac:dyDescent="0.3">
      <c r="A16" s="2"/>
      <c r="D16" s="78" t="s">
        <v>1187</v>
      </c>
      <c r="E16" s="131" t="s">
        <v>1291</v>
      </c>
      <c r="G16" s="123"/>
      <c r="H16" s="2"/>
      <c r="I16" s="87"/>
    </row>
    <row r="17" spans="1:10" ht="9" customHeight="1" x14ac:dyDescent="0.3">
      <c r="A17" s="2"/>
      <c r="D17" s="75"/>
      <c r="H17" s="2"/>
    </row>
    <row r="18" spans="1:10" ht="18" customHeight="1" x14ac:dyDescent="0.3">
      <c r="A18" s="2"/>
      <c r="B18" s="60" t="s">
        <v>1254</v>
      </c>
      <c r="C18" s="58"/>
      <c r="D18" s="76"/>
      <c r="E18" s="59"/>
      <c r="F18" s="2"/>
      <c r="G18" s="2"/>
      <c r="H18" s="2"/>
    </row>
    <row r="19" spans="1:10" ht="9" customHeight="1" x14ac:dyDescent="0.3">
      <c r="A19" s="2"/>
      <c r="D19" s="75"/>
      <c r="H19" s="2"/>
    </row>
    <row r="20" spans="1:10" ht="18" customHeight="1" x14ac:dyDescent="0.3">
      <c r="A20" s="2"/>
      <c r="D20" s="85" t="s">
        <v>1114</v>
      </c>
      <c r="E20" s="83" t="str">
        <f>VLOOKUP($G$1,'Übersicht GBU'!A:AB,11,FALSE)</f>
        <v>GHS 05, Gefahr</v>
      </c>
      <c r="H20" s="2"/>
    </row>
    <row r="21" spans="1:10" ht="30" customHeight="1" x14ac:dyDescent="0.3">
      <c r="A21" s="2"/>
      <c r="D21" s="77" t="s">
        <v>1181</v>
      </c>
      <c r="E21" s="72" t="str">
        <f>CONCATENATE(VLOOKUP($G$1,'Übersicht GBU'!A:AB,12,FALSE)," / ",(VLOOKUP($G$1,'Übersicht GBU'!A:AB,13,FALSE))," / ",(VLOOKUP($G$1,'Übersicht GBU'!A:AB,14,FALSE))," / ",(VLOOKUP($G$1,'Übersicht GBU'!A:AB,15,FALSE)))</f>
        <v>H290 / H314 / - / -</v>
      </c>
      <c r="H21" s="2"/>
    </row>
    <row r="22" spans="1:10" ht="30" customHeight="1" x14ac:dyDescent="0.3">
      <c r="A22" s="2"/>
      <c r="D22" s="77" t="s">
        <v>1182</v>
      </c>
      <c r="E22" s="72" t="str">
        <f>CONCATENATE(VLOOKUP($G$1,'Übersicht GBU'!A:AB,16,FALSE)," / ",(VLOOKUP($G$1,'Übersicht GBU'!A:AB,17,FALSE))," / ",(VLOOKUP($G$1,'Übersicht GBU'!A:AB,18,FALSE))," / ",(VLOOKUP($G$1,'Übersicht GBU'!A:AB,19,FALSE))," / ",(VLOOKUP($G$1,'Übersicht GBU'!A:AB,20,FALSE)))</f>
        <v>- / P260, P280 / P301+P330+P331, P303+P361+P353, P305+P351+P338, P310 / - / -</v>
      </c>
      <c r="H22" s="2"/>
    </row>
    <row r="23" spans="1:10" ht="30" customHeight="1" x14ac:dyDescent="0.3">
      <c r="A23" s="2"/>
      <c r="D23" s="85" t="s">
        <v>1116</v>
      </c>
      <c r="E23" s="128" t="str">
        <f>VLOOKUP($G$1,'Übersicht GBU'!A:AB,23,FALSE)</f>
        <v>Nein, da die Einstufung H314 besteht und ein Hautkontakt nicht ausgeschlossen werden kann.</v>
      </c>
      <c r="H23" s="2"/>
    </row>
    <row r="24" spans="1:10" ht="18" customHeight="1" x14ac:dyDescent="0.3">
      <c r="A24" s="2"/>
      <c r="D24" s="85" t="s">
        <v>1110</v>
      </c>
      <c r="E24" s="83" t="str">
        <f>VLOOKUP(G24,Daten!J2:K6,2,FALSE)</f>
        <v>WGK 1: schwach wassergefährdend</v>
      </c>
      <c r="G24" s="98">
        <f>VLOOKUP($G$1,'Übersicht GBU'!A:AB,22,FALSE)</f>
        <v>1</v>
      </c>
      <c r="H24" s="2"/>
    </row>
    <row r="25" spans="1:10" ht="18" customHeight="1" x14ac:dyDescent="0.3">
      <c r="A25" s="2"/>
      <c r="D25" s="85"/>
      <c r="E25" s="132"/>
      <c r="H25" s="2"/>
      <c r="I25" s="87"/>
      <c r="J25" s="116" t="s">
        <v>2531</v>
      </c>
    </row>
    <row r="26" spans="1:10" ht="30" customHeight="1" x14ac:dyDescent="0.3">
      <c r="A26" s="2"/>
      <c r="D26" s="77" t="s">
        <v>1233</v>
      </c>
      <c r="E26" s="72" t="str">
        <f>VLOOKUP($G$1,'Übersicht GBU'!A:AB,21,FALSE)</f>
        <v>-</v>
      </c>
      <c r="H26" s="2"/>
    </row>
    <row r="27" spans="1:10" ht="30" customHeight="1" x14ac:dyDescent="0.3">
      <c r="A27" s="2"/>
      <c r="D27" s="77" t="s">
        <v>1235</v>
      </c>
      <c r="E27" s="102" t="e">
        <f>CONCATENATE(VLOOKUP($G$1,'Übersicht GBU'!A:AR,30,FALSE)," (",(VLOOKUP($G$1,'Übersicht GBU'!A:AR,31,FALSE)),"%), ",(VLOOKUP($G$1,'Übersicht GBU'!A:AR,32,FALSE))," / ",(VLOOKUP($G$1,'Übersicht GBU'!A:AR,33,FALSE))," - ",(VLOOKUP($G$1,'Übersicht GBU'!A:AR,34,FALSE)))</f>
        <v>#N/A</v>
      </c>
      <c r="H27" s="2"/>
    </row>
    <row r="28" spans="1:10" ht="30" customHeight="1" x14ac:dyDescent="0.3">
      <c r="A28" s="2"/>
      <c r="D28" s="77"/>
      <c r="E28" s="72" t="str">
        <f>CONCATENATE(VLOOKUP($G$1,'Übersicht GBU'!A:AR,35,FALSE)," (",(VLOOKUP($G$1,'Übersicht GBU'!A:AR,36,FALSE)),"%), ",(VLOOKUP($G$1,'Übersicht GBU'!A:AR,37,FALSE))," / ",(VLOOKUP($G$1,'Übersicht GBU'!A:AR,38,FALSE))," - ",(VLOOKUP($G$1,'Übersicht GBU'!A:AR,39,FALSE)))</f>
        <v>- (0%), - / keine - entfällt</v>
      </c>
      <c r="H28" s="2"/>
    </row>
    <row r="29" spans="1:10" ht="9" customHeight="1" x14ac:dyDescent="0.3">
      <c r="A29" s="2"/>
      <c r="H29" s="2"/>
    </row>
    <row r="30" spans="1:10" ht="18" customHeight="1" x14ac:dyDescent="0.3">
      <c r="A30" s="2"/>
      <c r="B30" s="60" t="s">
        <v>1256</v>
      </c>
      <c r="C30" s="58"/>
      <c r="D30" s="59"/>
      <c r="E30" s="59"/>
      <c r="F30" s="2"/>
      <c r="G30" s="2"/>
      <c r="H30" s="2"/>
    </row>
    <row r="31" spans="1:10" ht="9" customHeight="1" x14ac:dyDescent="0.3">
      <c r="A31" s="2"/>
      <c r="H31" s="2"/>
    </row>
    <row r="32" spans="1:10" ht="180" customHeight="1" x14ac:dyDescent="0.3">
      <c r="A32" s="2"/>
      <c r="D32" s="78" t="s">
        <v>1203</v>
      </c>
      <c r="E32" s="133" t="s">
        <v>1292</v>
      </c>
      <c r="H32" s="2"/>
      <c r="I32" s="87"/>
    </row>
    <row r="33" spans="1:10" ht="9" customHeight="1" x14ac:dyDescent="0.3">
      <c r="A33" s="2"/>
      <c r="H33" s="2"/>
    </row>
    <row r="34" spans="1:10" ht="18" customHeight="1" x14ac:dyDescent="0.3">
      <c r="A34" s="2"/>
      <c r="B34" s="60" t="s">
        <v>1255</v>
      </c>
      <c r="C34" s="58"/>
      <c r="D34" s="59"/>
      <c r="E34" s="59"/>
      <c r="F34" s="2"/>
      <c r="G34" s="109" t="s">
        <v>2538</v>
      </c>
      <c r="H34" s="2"/>
    </row>
    <row r="35" spans="1:10" ht="9" customHeight="1" x14ac:dyDescent="0.3">
      <c r="A35" s="2"/>
      <c r="H35" s="2"/>
    </row>
    <row r="36" spans="1:10" ht="18" customHeight="1" x14ac:dyDescent="0.3">
      <c r="A36" s="2"/>
      <c r="D36" s="93" t="s">
        <v>1212</v>
      </c>
      <c r="E36" s="134"/>
      <c r="G36" s="91" t="s">
        <v>1156</v>
      </c>
      <c r="H36" s="2"/>
      <c r="I36" s="87"/>
      <c r="J36" s="115"/>
    </row>
    <row r="37" spans="1:10" ht="18" customHeight="1" x14ac:dyDescent="0.3">
      <c r="A37" s="2"/>
      <c r="D37" s="85" t="s">
        <v>1211</v>
      </c>
      <c r="E37" s="135"/>
      <c r="G37" s="91" t="s">
        <v>1156</v>
      </c>
      <c r="H37" s="2"/>
      <c r="I37" s="87"/>
      <c r="J37" s="116" t="s">
        <v>1213</v>
      </c>
    </row>
    <row r="38" spans="1:10" ht="18" customHeight="1" x14ac:dyDescent="0.3">
      <c r="A38" s="2"/>
      <c r="D38" s="85" t="s">
        <v>1210</v>
      </c>
      <c r="E38" s="135"/>
      <c r="G38" s="91" t="s">
        <v>1156</v>
      </c>
      <c r="H38" s="2"/>
      <c r="I38" s="87"/>
      <c r="J38" s="117" t="s">
        <v>1214</v>
      </c>
    </row>
    <row r="39" spans="1:10" ht="18" customHeight="1" x14ac:dyDescent="0.3">
      <c r="A39" s="2"/>
      <c r="D39" s="85" t="s">
        <v>1215</v>
      </c>
      <c r="E39" s="135"/>
      <c r="G39" s="91" t="s">
        <v>1156</v>
      </c>
      <c r="H39" s="2"/>
      <c r="I39" s="87"/>
      <c r="J39" s="117" t="s">
        <v>2525</v>
      </c>
    </row>
    <row r="40" spans="1:10" ht="18" customHeight="1" x14ac:dyDescent="0.3">
      <c r="A40" s="2"/>
      <c r="D40" s="85" t="s">
        <v>1216</v>
      </c>
      <c r="E40" s="135"/>
      <c r="G40" s="91" t="s">
        <v>1156</v>
      </c>
      <c r="H40" s="2"/>
      <c r="I40" s="87"/>
      <c r="J40" s="118" t="s">
        <v>1220</v>
      </c>
    </row>
    <row r="41" spans="1:10" ht="18" customHeight="1" x14ac:dyDescent="0.3">
      <c r="A41" s="2"/>
      <c r="D41" s="85" t="s">
        <v>1287</v>
      </c>
      <c r="E41" s="135"/>
      <c r="G41" s="91" t="s">
        <v>1156</v>
      </c>
      <c r="H41" s="2"/>
      <c r="I41" s="87"/>
      <c r="J41" s="118" t="s">
        <v>1217</v>
      </c>
    </row>
    <row r="42" spans="1:10" ht="18" customHeight="1" x14ac:dyDescent="0.3">
      <c r="A42" s="2"/>
      <c r="D42" s="85" t="s">
        <v>1288</v>
      </c>
      <c r="E42" s="135"/>
      <c r="G42" s="91" t="s">
        <v>1156</v>
      </c>
      <c r="H42" s="2"/>
      <c r="I42" s="87"/>
      <c r="J42" s="118" t="s">
        <v>1219</v>
      </c>
    </row>
    <row r="43" spans="1:10" ht="18" customHeight="1" x14ac:dyDescent="0.3">
      <c r="A43" s="2"/>
      <c r="D43" s="85" t="s">
        <v>1218</v>
      </c>
      <c r="E43" s="135"/>
      <c r="G43" s="91" t="s">
        <v>1156</v>
      </c>
      <c r="H43" s="2"/>
      <c r="I43" s="87"/>
    </row>
    <row r="44" spans="1:10" ht="18" customHeight="1" x14ac:dyDescent="0.3">
      <c r="A44" s="2"/>
      <c r="D44" s="85" t="s">
        <v>1208</v>
      </c>
      <c r="E44" s="134" t="str">
        <f>CONCATENATE(VLOOKUP($G$1,'Übersicht GBU'!A:AB,26,FALSE)," (",VLOOKUP($G$1,'Übersicht GBU'!A:AB,27,FALSE),")")</f>
        <v>Schutzleitfaden-250 (Erweiterter Maßnahmenbedarf „Haut“)</v>
      </c>
      <c r="G44" s="91" t="s">
        <v>1156</v>
      </c>
      <c r="H44" s="2"/>
    </row>
    <row r="45" spans="1:10" ht="18" customHeight="1" x14ac:dyDescent="0.3">
      <c r="A45" s="2"/>
      <c r="D45" s="85"/>
      <c r="E45" s="134" t="s">
        <v>1206</v>
      </c>
      <c r="G45" s="91" t="s">
        <v>1156</v>
      </c>
      <c r="H45" s="2"/>
      <c r="J45" s="115" t="s">
        <v>1206</v>
      </c>
    </row>
    <row r="46" spans="1:10" ht="18" customHeight="1" x14ac:dyDescent="0.3">
      <c r="A46" s="2"/>
      <c r="D46" s="85" t="s">
        <v>1271</v>
      </c>
      <c r="E46" s="134" t="s">
        <v>1272</v>
      </c>
      <c r="G46" s="91" t="s">
        <v>1156</v>
      </c>
      <c r="H46" s="2"/>
      <c r="J46" s="115" t="s">
        <v>1272</v>
      </c>
    </row>
    <row r="47" spans="1:10" ht="18" customHeight="1" x14ac:dyDescent="0.3">
      <c r="A47" s="2"/>
      <c r="D47" s="85"/>
      <c r="E47" s="134"/>
      <c r="G47" s="91" t="s">
        <v>1156</v>
      </c>
      <c r="H47" s="2"/>
      <c r="J47" s="115" t="s">
        <v>2527</v>
      </c>
    </row>
    <row r="48" spans="1:10" ht="15" customHeight="1" x14ac:dyDescent="0.3">
      <c r="A48" s="2"/>
      <c r="E48" s="119"/>
      <c r="H48" s="2"/>
    </row>
    <row r="49" spans="1:10" ht="18" customHeight="1" x14ac:dyDescent="0.3">
      <c r="A49" s="2"/>
      <c r="D49" s="93" t="s">
        <v>1221</v>
      </c>
      <c r="E49" s="134"/>
      <c r="G49" s="91" t="s">
        <v>1156</v>
      </c>
      <c r="H49" s="2"/>
      <c r="I49" s="87"/>
      <c r="J49" s="115"/>
    </row>
    <row r="50" spans="1:10" ht="18" customHeight="1" x14ac:dyDescent="0.3">
      <c r="A50" s="2"/>
      <c r="D50" s="85" t="s">
        <v>1222</v>
      </c>
      <c r="E50" s="135"/>
      <c r="G50" s="91" t="s">
        <v>1156</v>
      </c>
      <c r="H50" s="2"/>
      <c r="I50" s="87"/>
      <c r="J50" s="115"/>
    </row>
    <row r="51" spans="1:10" ht="18" customHeight="1" x14ac:dyDescent="0.3">
      <c r="A51" s="2"/>
      <c r="D51" s="85" t="s">
        <v>1223</v>
      </c>
      <c r="E51" s="135"/>
      <c r="G51" s="91" t="s">
        <v>1156</v>
      </c>
      <c r="H51" s="2"/>
      <c r="I51" s="87"/>
      <c r="J51" s="115"/>
    </row>
    <row r="52" spans="1:10" ht="18" customHeight="1" x14ac:dyDescent="0.3">
      <c r="A52" s="2"/>
      <c r="D52" s="85" t="s">
        <v>1209</v>
      </c>
      <c r="E52" s="115" t="str">
        <f>CONCATENATE(VLOOKUP($G$1,'Übersicht GBU'!A:AB,24,FALSE)," (",VLOOKUP($G$1,'Übersicht GBU'!A:AB,25,FALSE),")")</f>
        <v>Schutzleitfaden-300 (Geschlossenes System)</v>
      </c>
      <c r="G52" s="91" t="s">
        <v>1156</v>
      </c>
      <c r="H52" s="2"/>
    </row>
    <row r="53" spans="1:10" ht="18" customHeight="1" x14ac:dyDescent="0.3">
      <c r="A53" s="2"/>
      <c r="D53" s="85"/>
      <c r="E53" s="134"/>
      <c r="G53" s="91" t="s">
        <v>1156</v>
      </c>
      <c r="H53" s="2"/>
      <c r="I53" s="87"/>
      <c r="J53" s="115"/>
    </row>
    <row r="54" spans="1:10" ht="18" customHeight="1" x14ac:dyDescent="0.3">
      <c r="A54" s="2"/>
      <c r="D54" s="85" t="s">
        <v>1273</v>
      </c>
      <c r="E54" s="115"/>
      <c r="G54" s="91" t="s">
        <v>1156</v>
      </c>
      <c r="H54" s="2"/>
      <c r="I54" s="87"/>
      <c r="J54" s="115"/>
    </row>
    <row r="55" spans="1:10" ht="18" customHeight="1" x14ac:dyDescent="0.3">
      <c r="A55" s="2"/>
      <c r="D55" s="85" t="s">
        <v>1283</v>
      </c>
      <c r="E55" s="115"/>
      <c r="G55" s="91" t="s">
        <v>1156</v>
      </c>
      <c r="H55" s="2"/>
      <c r="I55" s="87"/>
      <c r="J55" s="115"/>
    </row>
    <row r="56" spans="1:10" ht="18" customHeight="1" x14ac:dyDescent="0.3">
      <c r="A56" s="2"/>
      <c r="D56" s="85"/>
      <c r="E56" s="115"/>
      <c r="G56" s="91" t="s">
        <v>1156</v>
      </c>
      <c r="H56" s="2"/>
      <c r="I56" s="87"/>
      <c r="J56" s="115"/>
    </row>
    <row r="57" spans="1:10" ht="15" customHeight="1" x14ac:dyDescent="0.3">
      <c r="A57" s="2"/>
      <c r="E57" s="119"/>
      <c r="H57" s="2"/>
    </row>
    <row r="58" spans="1:10" ht="18" customHeight="1" x14ac:dyDescent="0.3">
      <c r="A58" s="2"/>
      <c r="D58" s="93" t="s">
        <v>1284</v>
      </c>
      <c r="E58" s="134"/>
      <c r="G58" s="91" t="s">
        <v>1156</v>
      </c>
      <c r="H58" s="2"/>
      <c r="I58" s="87"/>
      <c r="J58" s="115" t="s">
        <v>1274</v>
      </c>
    </row>
    <row r="59" spans="1:10" ht="18" customHeight="1" x14ac:dyDescent="0.3">
      <c r="A59" s="2"/>
      <c r="D59" s="85" t="s">
        <v>1497</v>
      </c>
      <c r="E59" s="135" t="str">
        <f>IF(VLOOKUP($G$1,'Übersicht GBU'!A:DJ,45,FALSE)="k. A.","keine Angabe",CONCATENATE(VLOOKUP($G$1,'Übersicht GBU'!A:DJ,45,FALSE),"°C"))</f>
        <v>-°C</v>
      </c>
      <c r="G59" s="91" t="s">
        <v>1156</v>
      </c>
      <c r="H59" s="2"/>
    </row>
    <row r="60" spans="1:10" ht="18" customHeight="1" x14ac:dyDescent="0.3">
      <c r="A60" s="2"/>
      <c r="D60" s="85" t="s">
        <v>1498</v>
      </c>
      <c r="E60" s="135" t="str">
        <f>IF(VLOOKUP($G$1,'Übersicht GBU'!A:DJ,46,FALSE)="k. A.","keine Angabe",CONCATENATE(VLOOKUP($G$1,'Übersicht GBU'!A:DJ,46,FALSE)," - ",VLOOKUP($G$1,'Übersicht GBU'!A:DJ,47,FALSE)," Vol.-%"))</f>
        <v xml:space="preserve"> -  Vol.-%</v>
      </c>
      <c r="G60" s="91" t="s">
        <v>1156</v>
      </c>
      <c r="H60" s="2"/>
    </row>
    <row r="61" spans="1:10" ht="18" customHeight="1" x14ac:dyDescent="0.3">
      <c r="A61" s="2"/>
      <c r="D61" s="85" t="s">
        <v>1285</v>
      </c>
      <c r="E61" s="135"/>
      <c r="G61" s="91" t="s">
        <v>1156</v>
      </c>
      <c r="H61" s="2"/>
      <c r="I61" s="87"/>
      <c r="J61" s="92" t="s">
        <v>3</v>
      </c>
    </row>
    <row r="62" spans="1:10" ht="18" customHeight="1" x14ac:dyDescent="0.3">
      <c r="A62" s="2"/>
      <c r="D62" s="85" t="s">
        <v>1286</v>
      </c>
      <c r="E62" s="135"/>
      <c r="G62" s="91" t="s">
        <v>1156</v>
      </c>
      <c r="H62" s="2"/>
      <c r="I62" s="87"/>
      <c r="J62" s="92" t="s">
        <v>1278</v>
      </c>
    </row>
    <row r="63" spans="1:10" ht="18" customHeight="1" x14ac:dyDescent="0.3">
      <c r="A63" s="2"/>
      <c r="D63" s="85" t="s">
        <v>1276</v>
      </c>
      <c r="E63" s="135"/>
      <c r="G63" s="91" t="s">
        <v>1156</v>
      </c>
      <c r="H63" s="2"/>
      <c r="I63" s="87"/>
      <c r="J63" s="92" t="s">
        <v>3</v>
      </c>
    </row>
    <row r="64" spans="1:10" ht="18" customHeight="1" x14ac:dyDescent="0.3">
      <c r="A64" s="2"/>
      <c r="D64" s="85" t="s">
        <v>1289</v>
      </c>
      <c r="E64" s="135"/>
      <c r="G64" s="91" t="s">
        <v>1156</v>
      </c>
      <c r="H64" s="2"/>
      <c r="I64" s="87"/>
      <c r="J64" s="92" t="s">
        <v>1277</v>
      </c>
    </row>
    <row r="65" spans="1:10" ht="18" customHeight="1" x14ac:dyDescent="0.3">
      <c r="A65" s="2"/>
      <c r="D65" s="85" t="s">
        <v>1115</v>
      </c>
      <c r="E65" s="115" t="str">
        <f>CONCATENATE(VLOOKUP($G$1,'Übersicht GBU'!A:AC,28,FALSE)," (",VLOOKUP($G$1,'Übersicht GBU'!A:AC,29,FALSE),")")</f>
        <v>Schutzleitfaden-PC270 (Grundanforderungen bei erhöhter Brandgefährdung)</v>
      </c>
      <c r="G65" s="91" t="s">
        <v>1156</v>
      </c>
      <c r="H65" s="2"/>
    </row>
    <row r="66" spans="1:10" ht="18" customHeight="1" x14ac:dyDescent="0.3">
      <c r="A66" s="2"/>
      <c r="D66" s="85"/>
      <c r="E66" s="134"/>
      <c r="G66" s="91" t="s">
        <v>1156</v>
      </c>
      <c r="H66" s="2"/>
      <c r="I66" s="87"/>
      <c r="J66" s="115" t="s">
        <v>1275</v>
      </c>
    </row>
    <row r="67" spans="1:10" ht="15" customHeight="1" x14ac:dyDescent="0.3">
      <c r="A67" s="2"/>
      <c r="H67" s="2"/>
    </row>
    <row r="68" spans="1:10" ht="18" customHeight="1" x14ac:dyDescent="0.3">
      <c r="A68" s="2"/>
      <c r="D68" s="93" t="s">
        <v>1282</v>
      </c>
      <c r="E68" s="134"/>
      <c r="G68" s="91" t="s">
        <v>1156</v>
      </c>
      <c r="H68" s="2"/>
      <c r="I68" s="87"/>
      <c r="J68" s="115" t="s">
        <v>1253</v>
      </c>
    </row>
    <row r="69" spans="1:10" ht="18" customHeight="1" x14ac:dyDescent="0.3">
      <c r="A69" s="2"/>
      <c r="D69" s="93" t="s">
        <v>1280</v>
      </c>
      <c r="E69" s="135"/>
      <c r="G69" s="91" t="s">
        <v>1156</v>
      </c>
      <c r="H69" s="2"/>
      <c r="I69" s="87"/>
      <c r="J69" s="115" t="s">
        <v>1253</v>
      </c>
    </row>
    <row r="70" spans="1:10" ht="18" customHeight="1" x14ac:dyDescent="0.3">
      <c r="A70" s="2"/>
      <c r="D70" s="93" t="s">
        <v>1279</v>
      </c>
      <c r="E70" s="135"/>
      <c r="G70" s="91" t="s">
        <v>1156</v>
      </c>
      <c r="H70" s="2"/>
      <c r="I70" s="87"/>
      <c r="J70" s="115"/>
    </row>
    <row r="71" spans="1:10" ht="18" customHeight="1" x14ac:dyDescent="0.3">
      <c r="A71" s="2"/>
      <c r="D71" s="93" t="s">
        <v>1281</v>
      </c>
      <c r="E71" s="115" t="str">
        <f>VLOOKUP($G$1,'Übersicht GBU'!A:AW,49,FALSE)</f>
        <v>Substitutionen sind im Galvanikbereich nicht zielführend (vgl. ASA vom 05.05.2025)</v>
      </c>
      <c r="G71" s="91" t="s">
        <v>1156</v>
      </c>
      <c r="H71" s="2"/>
    </row>
    <row r="72" spans="1:10" ht="15" customHeight="1" x14ac:dyDescent="0.3">
      <c r="A72" s="2"/>
      <c r="H72" s="2"/>
    </row>
    <row r="73" spans="1:10" ht="99" customHeight="1" x14ac:dyDescent="0.3">
      <c r="A73" s="2"/>
      <c r="D73" s="137" t="s">
        <v>2535</v>
      </c>
      <c r="E73" s="133"/>
      <c r="G73" s="138"/>
      <c r="H73" s="2"/>
      <c r="I73" s="87"/>
      <c r="J73" s="92" t="s">
        <v>2536</v>
      </c>
    </row>
    <row r="74" spans="1:10" ht="15" customHeight="1" x14ac:dyDescent="0.3">
      <c r="A74" s="2"/>
      <c r="H74" s="2"/>
    </row>
    <row r="75" spans="1:10" ht="99" customHeight="1" x14ac:dyDescent="0.3">
      <c r="A75" s="2"/>
      <c r="D75" s="137" t="s">
        <v>2532</v>
      </c>
      <c r="E75" s="133"/>
      <c r="G75" s="138"/>
      <c r="H75" s="2"/>
      <c r="I75" s="87"/>
    </row>
    <row r="76" spans="1:10" ht="9" customHeight="1" x14ac:dyDescent="0.3">
      <c r="A76" s="2"/>
      <c r="H76" s="2"/>
    </row>
    <row r="77" spans="1:10" ht="24" customHeight="1" x14ac:dyDescent="0.3">
      <c r="A77" s="2"/>
      <c r="B77" s="57" t="s">
        <v>4</v>
      </c>
      <c r="C77" s="57" t="s">
        <v>6</v>
      </c>
      <c r="D77" s="64" t="s">
        <v>1083</v>
      </c>
      <c r="E77" s="69"/>
      <c r="F77" s="71"/>
      <c r="G77" s="70" t="s">
        <v>1157</v>
      </c>
      <c r="H77" s="2"/>
    </row>
    <row r="78" spans="1:10" ht="18.75" customHeight="1" x14ac:dyDescent="0.3">
      <c r="A78" s="2"/>
      <c r="B78" s="10" t="s">
        <v>1198</v>
      </c>
      <c r="C78" s="11"/>
      <c r="D78" s="12" t="s">
        <v>1197</v>
      </c>
      <c r="E78" s="32"/>
      <c r="F78" s="32"/>
      <c r="G78" s="120"/>
      <c r="H78" s="2"/>
    </row>
    <row r="79" spans="1:10" ht="18" customHeight="1" x14ac:dyDescent="0.3">
      <c r="A79" s="2"/>
      <c r="B79" s="88" t="s">
        <v>1198</v>
      </c>
      <c r="C79" s="89">
        <f>ROW(A79)-(ROW(A$78))</f>
        <v>1</v>
      </c>
      <c r="D79" s="139" t="s">
        <v>1290</v>
      </c>
      <c r="E79" s="140"/>
      <c r="F79" s="140"/>
      <c r="G79" s="121" t="s">
        <v>1156</v>
      </c>
      <c r="H79" s="2"/>
    </row>
    <row r="80" spans="1:10" ht="18.75" customHeight="1" x14ac:dyDescent="0.3">
      <c r="A80" s="2"/>
      <c r="B80" s="10" t="s">
        <v>1199</v>
      </c>
      <c r="C80" s="11"/>
      <c r="D80" s="12" t="s">
        <v>1152</v>
      </c>
      <c r="E80" s="32"/>
      <c r="F80" s="32"/>
      <c r="G80" s="120"/>
      <c r="H80" s="2"/>
    </row>
    <row r="81" spans="1:8" ht="18" customHeight="1" x14ac:dyDescent="0.3">
      <c r="A81" s="2"/>
      <c r="B81" s="88" t="s">
        <v>1199</v>
      </c>
      <c r="C81" s="89">
        <f>ROW(A81)-(ROW(A$80))</f>
        <v>1</v>
      </c>
      <c r="D81" s="139" t="s">
        <v>1188</v>
      </c>
      <c r="E81" s="140"/>
      <c r="F81" s="140"/>
      <c r="G81" s="121" t="s">
        <v>1156</v>
      </c>
      <c r="H81" s="2"/>
    </row>
    <row r="82" spans="1:8" ht="18" customHeight="1" x14ac:dyDescent="0.3">
      <c r="A82" s="2"/>
      <c r="B82" s="88" t="s">
        <v>1199</v>
      </c>
      <c r="C82" s="89">
        <f>ROW(A82)-(ROW(A$80))</f>
        <v>2</v>
      </c>
      <c r="D82" s="139" t="s">
        <v>1191</v>
      </c>
      <c r="E82" s="140"/>
      <c r="F82" s="140"/>
      <c r="G82" s="121" t="s">
        <v>1156</v>
      </c>
      <c r="H82" s="2"/>
    </row>
    <row r="83" spans="1:8" ht="18" customHeight="1" x14ac:dyDescent="0.3">
      <c r="A83" s="2"/>
      <c r="B83" s="88" t="s">
        <v>1199</v>
      </c>
      <c r="C83" s="89">
        <f>ROW(A83)-(ROW(A$80))</f>
        <v>3</v>
      </c>
      <c r="D83" s="139" t="s">
        <v>1178</v>
      </c>
      <c r="E83" s="140"/>
      <c r="F83" s="140"/>
      <c r="G83" s="121" t="s">
        <v>1156</v>
      </c>
      <c r="H83" s="2"/>
    </row>
    <row r="84" spans="1:8" ht="18" customHeight="1" x14ac:dyDescent="0.3">
      <c r="A84" s="2"/>
      <c r="B84" s="88" t="s">
        <v>1199</v>
      </c>
      <c r="C84" s="89">
        <f>ROW(A84)-(ROW(A$80))</f>
        <v>4</v>
      </c>
      <c r="D84" s="139" t="s">
        <v>1179</v>
      </c>
      <c r="E84" s="140"/>
      <c r="F84" s="140"/>
      <c r="G84" s="121" t="s">
        <v>1156</v>
      </c>
      <c r="H84" s="2"/>
    </row>
    <row r="85" spans="1:8" ht="18" customHeight="1" x14ac:dyDescent="0.3">
      <c r="A85" s="2"/>
      <c r="B85" s="88" t="s">
        <v>1199</v>
      </c>
      <c r="C85" s="89">
        <f>ROW(A85)-(ROW(A$80))</f>
        <v>5</v>
      </c>
      <c r="D85" s="139" t="s">
        <v>1189</v>
      </c>
      <c r="E85" s="140"/>
      <c r="F85" s="140"/>
      <c r="G85" s="121" t="s">
        <v>1156</v>
      </c>
      <c r="H85" s="2"/>
    </row>
    <row r="86" spans="1:8" ht="18.75" customHeight="1" x14ac:dyDescent="0.3">
      <c r="A86" s="2"/>
      <c r="B86" s="10" t="s">
        <v>1200</v>
      </c>
      <c r="C86" s="11"/>
      <c r="D86" s="12" t="s">
        <v>1153</v>
      </c>
      <c r="E86" s="32"/>
      <c r="F86" s="32"/>
      <c r="G86" s="120"/>
      <c r="H86" s="2"/>
    </row>
    <row r="87" spans="1:8" ht="18" customHeight="1" x14ac:dyDescent="0.3">
      <c r="A87" s="2"/>
      <c r="B87" s="88" t="s">
        <v>1200</v>
      </c>
      <c r="C87" s="89">
        <f>ROW(A87)-(ROW(A$86))</f>
        <v>1</v>
      </c>
      <c r="D87" s="139" t="s">
        <v>1170</v>
      </c>
      <c r="E87" s="140"/>
      <c r="F87" s="140"/>
      <c r="G87" s="121" t="s">
        <v>1156</v>
      </c>
      <c r="H87" s="2"/>
    </row>
    <row r="88" spans="1:8" ht="18" customHeight="1" x14ac:dyDescent="0.3">
      <c r="A88" s="2"/>
      <c r="B88" s="88" t="s">
        <v>1200</v>
      </c>
      <c r="C88" s="89">
        <f>ROW(A88)-(ROW(A$86))</f>
        <v>2</v>
      </c>
      <c r="D88" s="139" t="s">
        <v>1171</v>
      </c>
      <c r="E88" s="140"/>
      <c r="F88" s="140"/>
      <c r="G88" s="121" t="s">
        <v>1156</v>
      </c>
      <c r="H88" s="2"/>
    </row>
    <row r="89" spans="1:8" ht="18" customHeight="1" x14ac:dyDescent="0.3">
      <c r="A89" s="2"/>
      <c r="B89" s="88" t="s">
        <v>1200</v>
      </c>
      <c r="C89" s="89">
        <f>ROW(A89)-(ROW(A$86))</f>
        <v>3</v>
      </c>
      <c r="D89" s="139" t="s">
        <v>1190</v>
      </c>
      <c r="E89" s="140"/>
      <c r="F89" s="140"/>
      <c r="G89" s="121" t="s">
        <v>1156</v>
      </c>
      <c r="H89" s="2"/>
    </row>
    <row r="90" spans="1:8" ht="18" customHeight="1" x14ac:dyDescent="0.3">
      <c r="A90" s="2"/>
      <c r="B90" s="88" t="s">
        <v>1200</v>
      </c>
      <c r="C90" s="89">
        <f>ROW(A90)-(ROW(A$86))</f>
        <v>4</v>
      </c>
      <c r="D90" s="139" t="s">
        <v>1192</v>
      </c>
      <c r="E90" s="140"/>
      <c r="F90" s="140"/>
      <c r="G90" s="122" t="s">
        <v>1156</v>
      </c>
      <c r="H90" s="2"/>
    </row>
    <row r="91" spans="1:8" ht="18.75" customHeight="1" x14ac:dyDescent="0.3">
      <c r="A91" s="2"/>
      <c r="B91" s="10" t="s">
        <v>1201</v>
      </c>
      <c r="C91" s="11"/>
      <c r="D91" s="12" t="s">
        <v>1154</v>
      </c>
      <c r="E91" s="32"/>
      <c r="F91" s="32"/>
      <c r="G91" s="120"/>
      <c r="H91" s="2"/>
    </row>
    <row r="92" spans="1:8" ht="18" customHeight="1" x14ac:dyDescent="0.3">
      <c r="A92" s="2"/>
      <c r="B92" s="88" t="s">
        <v>1201</v>
      </c>
      <c r="C92" s="89">
        <f t="shared" ref="C92:C101" si="0">ROW(A92)-(ROW(A$91))</f>
        <v>1</v>
      </c>
      <c r="D92" s="139" t="s">
        <v>1167</v>
      </c>
      <c r="E92" s="140"/>
      <c r="F92" s="140"/>
      <c r="G92" s="121" t="s">
        <v>1156</v>
      </c>
      <c r="H92" s="2"/>
    </row>
    <row r="93" spans="1:8" ht="18" customHeight="1" x14ac:dyDescent="0.3">
      <c r="A93" s="2"/>
      <c r="B93" s="88" t="s">
        <v>1201</v>
      </c>
      <c r="C93" s="89">
        <f t="shared" si="0"/>
        <v>2</v>
      </c>
      <c r="D93" s="139" t="s">
        <v>1194</v>
      </c>
      <c r="E93" s="140"/>
      <c r="F93" s="140"/>
      <c r="G93" s="121" t="s">
        <v>1156</v>
      </c>
      <c r="H93" s="2"/>
    </row>
    <row r="94" spans="1:8" ht="18" customHeight="1" x14ac:dyDescent="0.3">
      <c r="A94" s="2"/>
      <c r="B94" s="88" t="s">
        <v>1201</v>
      </c>
      <c r="C94" s="89">
        <f t="shared" si="0"/>
        <v>3</v>
      </c>
      <c r="D94" s="139" t="s">
        <v>1204</v>
      </c>
      <c r="E94" s="140"/>
      <c r="F94" s="140"/>
      <c r="G94" s="121" t="s">
        <v>1156</v>
      </c>
      <c r="H94" s="2"/>
    </row>
    <row r="95" spans="1:8" ht="18" customHeight="1" x14ac:dyDescent="0.3">
      <c r="A95" s="2"/>
      <c r="B95" s="88" t="s">
        <v>1201</v>
      </c>
      <c r="C95" s="89">
        <f t="shared" si="0"/>
        <v>4</v>
      </c>
      <c r="D95" s="139" t="s">
        <v>1180</v>
      </c>
      <c r="E95" s="140"/>
      <c r="F95" s="140"/>
      <c r="G95" s="121" t="s">
        <v>1156</v>
      </c>
      <c r="H95" s="2"/>
    </row>
    <row r="96" spans="1:8" ht="18" customHeight="1" x14ac:dyDescent="0.3">
      <c r="A96" s="2"/>
      <c r="B96" s="88" t="s">
        <v>1201</v>
      </c>
      <c r="C96" s="89">
        <f t="shared" si="0"/>
        <v>5</v>
      </c>
      <c r="D96" s="139" t="s">
        <v>1160</v>
      </c>
      <c r="E96" s="140"/>
      <c r="F96" s="140"/>
      <c r="G96" s="121" t="s">
        <v>1156</v>
      </c>
      <c r="H96" s="2"/>
    </row>
    <row r="97" spans="1:8" ht="18" customHeight="1" x14ac:dyDescent="0.3">
      <c r="A97" s="2"/>
      <c r="B97" s="88" t="s">
        <v>1201</v>
      </c>
      <c r="C97" s="89">
        <f t="shared" si="0"/>
        <v>6</v>
      </c>
      <c r="D97" s="139" t="s">
        <v>1164</v>
      </c>
      <c r="E97" s="140"/>
      <c r="F97" s="140"/>
      <c r="G97" s="121" t="s">
        <v>1156</v>
      </c>
      <c r="H97" s="2"/>
    </row>
    <row r="98" spans="1:8" ht="18" customHeight="1" x14ac:dyDescent="0.3">
      <c r="A98" s="2"/>
      <c r="B98" s="88" t="s">
        <v>1201</v>
      </c>
      <c r="C98" s="89">
        <f t="shared" si="0"/>
        <v>7</v>
      </c>
      <c r="D98" s="139" t="s">
        <v>1168</v>
      </c>
      <c r="E98" s="140"/>
      <c r="F98" s="140"/>
      <c r="G98" s="121" t="s">
        <v>1156</v>
      </c>
      <c r="H98" s="2"/>
    </row>
    <row r="99" spans="1:8" ht="18" customHeight="1" x14ac:dyDescent="0.3">
      <c r="A99" s="2"/>
      <c r="B99" s="88" t="s">
        <v>1201</v>
      </c>
      <c r="C99" s="89">
        <f t="shared" si="0"/>
        <v>8</v>
      </c>
      <c r="D99" s="139" t="s">
        <v>1165</v>
      </c>
      <c r="E99" s="140"/>
      <c r="F99" s="140"/>
      <c r="G99" s="121" t="s">
        <v>1156</v>
      </c>
      <c r="H99" s="2"/>
    </row>
    <row r="100" spans="1:8" ht="18" customHeight="1" x14ac:dyDescent="0.3">
      <c r="A100" s="2"/>
      <c r="B100" s="88" t="s">
        <v>1201</v>
      </c>
      <c r="C100" s="89">
        <f t="shared" si="0"/>
        <v>9</v>
      </c>
      <c r="D100" s="139" t="s">
        <v>1207</v>
      </c>
      <c r="E100" s="140"/>
      <c r="F100" s="140"/>
      <c r="G100" s="121" t="s">
        <v>1156</v>
      </c>
      <c r="H100" s="2"/>
    </row>
    <row r="101" spans="1:8" ht="18" customHeight="1" x14ac:dyDescent="0.3">
      <c r="A101" s="2"/>
      <c r="B101" s="88" t="s">
        <v>1201</v>
      </c>
      <c r="C101" s="89">
        <f t="shared" si="0"/>
        <v>10</v>
      </c>
      <c r="D101" s="139" t="s">
        <v>1202</v>
      </c>
      <c r="E101" s="140"/>
      <c r="F101" s="140"/>
      <c r="G101" s="122" t="s">
        <v>1156</v>
      </c>
      <c r="H101" s="2"/>
    </row>
    <row r="102" spans="1:8" ht="18.75" customHeight="1" x14ac:dyDescent="0.3">
      <c r="A102" s="2"/>
      <c r="B102" s="10" t="s">
        <v>9</v>
      </c>
      <c r="C102" s="11"/>
      <c r="D102" s="12" t="s">
        <v>124</v>
      </c>
      <c r="E102" s="32"/>
      <c r="F102" s="32"/>
      <c r="G102" s="120"/>
      <c r="H102" s="2"/>
    </row>
    <row r="103" spans="1:8" ht="18" customHeight="1" x14ac:dyDescent="0.3">
      <c r="A103" s="2"/>
      <c r="B103" s="88">
        <v>1</v>
      </c>
      <c r="C103" s="89">
        <f>ROW(A103)-(ROW(A$102))</f>
        <v>1</v>
      </c>
      <c r="D103" s="139" t="s">
        <v>1184</v>
      </c>
      <c r="E103" s="140"/>
      <c r="F103" s="140"/>
      <c r="G103" s="136" t="s">
        <v>1156</v>
      </c>
      <c r="H103" s="2"/>
    </row>
    <row r="104" spans="1:8" ht="18" customHeight="1" x14ac:dyDescent="0.3">
      <c r="A104" s="2"/>
      <c r="B104" s="88">
        <v>1</v>
      </c>
      <c r="C104" s="89">
        <f>ROW(A104)-(ROW(A$102))</f>
        <v>2</v>
      </c>
      <c r="D104" s="139" t="s">
        <v>1205</v>
      </c>
      <c r="E104" s="140"/>
      <c r="F104" s="140"/>
      <c r="G104" s="121" t="s">
        <v>1156</v>
      </c>
      <c r="H104" s="2"/>
    </row>
    <row r="105" spans="1:8" ht="18" customHeight="1" x14ac:dyDescent="0.3">
      <c r="A105" s="2"/>
      <c r="B105" s="88">
        <v>1</v>
      </c>
      <c r="C105" s="89">
        <f>ROW(A105)-(ROW(A$102))</f>
        <v>3</v>
      </c>
      <c r="D105" s="139" t="s">
        <v>1193</v>
      </c>
      <c r="E105" s="140"/>
      <c r="F105" s="140"/>
      <c r="G105" s="122" t="s">
        <v>1156</v>
      </c>
      <c r="H105" s="2"/>
    </row>
    <row r="106" spans="1:8" ht="18.75" customHeight="1" x14ac:dyDescent="0.3">
      <c r="A106" s="2"/>
      <c r="B106" s="10" t="s">
        <v>17</v>
      </c>
      <c r="C106" s="11"/>
      <c r="D106" s="12" t="s">
        <v>1169</v>
      </c>
      <c r="E106" s="32"/>
      <c r="F106" s="32"/>
      <c r="G106" s="14"/>
      <c r="H106" s="2"/>
    </row>
    <row r="107" spans="1:8" ht="18" customHeight="1" x14ac:dyDescent="0.3">
      <c r="A107" s="2"/>
      <c r="B107" s="88">
        <v>2</v>
      </c>
      <c r="C107" s="89">
        <f>ROW(A107)-(ROW(A$106))</f>
        <v>1</v>
      </c>
      <c r="D107" s="139" t="s">
        <v>1185</v>
      </c>
      <c r="E107" s="140"/>
      <c r="F107" s="140"/>
      <c r="G107" s="121" t="s">
        <v>1156</v>
      </c>
      <c r="H107" s="2"/>
    </row>
    <row r="108" spans="1:8" ht="18" customHeight="1" x14ac:dyDescent="0.3">
      <c r="A108" s="2"/>
      <c r="B108" s="88">
        <v>2</v>
      </c>
      <c r="C108" s="89">
        <f>ROW(A108)-(ROW(A$106))</f>
        <v>2</v>
      </c>
      <c r="D108" s="139" t="s">
        <v>1195</v>
      </c>
      <c r="E108" s="140"/>
      <c r="F108" s="140"/>
      <c r="G108" s="121" t="s">
        <v>1156</v>
      </c>
      <c r="H108" s="2"/>
    </row>
    <row r="109" spans="1:8" ht="18" customHeight="1" x14ac:dyDescent="0.3">
      <c r="A109" s="2"/>
      <c r="B109" s="88">
        <v>2</v>
      </c>
      <c r="C109" s="89">
        <f>ROW(A109)-(ROW(A$106))</f>
        <v>3</v>
      </c>
      <c r="D109" s="139" t="s">
        <v>1186</v>
      </c>
      <c r="E109" s="140"/>
      <c r="F109" s="140"/>
      <c r="G109" s="121" t="s">
        <v>1156</v>
      </c>
      <c r="H109" s="2"/>
    </row>
    <row r="110" spans="1:8" ht="18" customHeight="1" x14ac:dyDescent="0.3">
      <c r="A110" s="2"/>
      <c r="B110" s="88">
        <v>2</v>
      </c>
      <c r="C110" s="89">
        <f>ROW(A110)-(ROW(A$106))</f>
        <v>4</v>
      </c>
      <c r="D110" s="139" t="s">
        <v>1196</v>
      </c>
      <c r="E110" s="140"/>
      <c r="F110" s="140"/>
      <c r="G110" s="122" t="s">
        <v>1156</v>
      </c>
      <c r="H110" s="2"/>
    </row>
    <row r="111" spans="1:8" ht="18.75" customHeight="1" x14ac:dyDescent="0.3">
      <c r="A111" s="2"/>
      <c r="B111" s="10" t="s">
        <v>24</v>
      </c>
      <c r="C111" s="11"/>
      <c r="D111" s="12" t="s">
        <v>1162</v>
      </c>
      <c r="E111" s="32"/>
      <c r="F111" s="32"/>
      <c r="G111" s="14"/>
      <c r="H111" s="2"/>
    </row>
    <row r="112" spans="1:8" ht="18" customHeight="1" x14ac:dyDescent="0.3">
      <c r="A112" s="2"/>
      <c r="B112" s="88">
        <v>3</v>
      </c>
      <c r="C112" s="89">
        <f>ROW(A112)-(ROW(A$111))</f>
        <v>1</v>
      </c>
      <c r="D112" s="139" t="s">
        <v>1163</v>
      </c>
      <c r="E112" s="140"/>
      <c r="F112" s="140"/>
      <c r="G112" s="136" t="s">
        <v>1156</v>
      </c>
      <c r="H112" s="2"/>
    </row>
    <row r="113" spans="1:8" ht="18" customHeight="1" x14ac:dyDescent="0.3">
      <c r="A113" s="2"/>
      <c r="B113" s="88">
        <v>3</v>
      </c>
      <c r="C113" s="89">
        <f>ROW(A113)-(ROW(A$111))</f>
        <v>2</v>
      </c>
      <c r="D113" s="139" t="s">
        <v>1177</v>
      </c>
      <c r="E113" s="140"/>
      <c r="F113" s="140"/>
      <c r="G113" s="122" t="s">
        <v>1156</v>
      </c>
      <c r="H113" s="2"/>
    </row>
    <row r="114" spans="1:8" ht="18.75" customHeight="1" x14ac:dyDescent="0.3">
      <c r="A114" s="2"/>
      <c r="B114" s="10" t="s">
        <v>26</v>
      </c>
      <c r="C114" s="11"/>
      <c r="D114" s="12" t="s">
        <v>1155</v>
      </c>
      <c r="E114" s="32"/>
      <c r="F114" s="32"/>
      <c r="G114" s="120"/>
      <c r="H114" s="2"/>
    </row>
    <row r="115" spans="1:8" ht="18" customHeight="1" x14ac:dyDescent="0.3">
      <c r="A115" s="2"/>
      <c r="B115" s="88">
        <v>4</v>
      </c>
      <c r="C115" s="89">
        <f>ROW(A115)-(ROW(A$114))</f>
        <v>1</v>
      </c>
      <c r="D115" s="139" t="s">
        <v>1166</v>
      </c>
      <c r="E115" s="140"/>
      <c r="F115" s="140"/>
      <c r="G115" s="121" t="s">
        <v>1156</v>
      </c>
      <c r="H115" s="2"/>
    </row>
    <row r="116" spans="1:8" ht="18" customHeight="1" x14ac:dyDescent="0.3">
      <c r="A116" s="2"/>
      <c r="B116" s="88">
        <v>4</v>
      </c>
      <c r="C116" s="89">
        <f>ROW(A116)-(ROW(A$114))</f>
        <v>2</v>
      </c>
      <c r="D116" s="139" t="s">
        <v>1161</v>
      </c>
      <c r="E116" s="140"/>
      <c r="F116" s="140"/>
      <c r="G116" s="122" t="s">
        <v>1156</v>
      </c>
      <c r="H116" s="2"/>
    </row>
    <row r="117" spans="1:8" ht="18.75" customHeight="1" x14ac:dyDescent="0.3">
      <c r="A117" s="2"/>
      <c r="B117" s="10" t="s">
        <v>41</v>
      </c>
      <c r="C117" s="11"/>
      <c r="D117" s="12"/>
      <c r="E117" s="32"/>
      <c r="F117" s="32"/>
      <c r="G117" s="14"/>
      <c r="H117" s="2"/>
    </row>
    <row r="118" spans="1:8" ht="18" customHeight="1" x14ac:dyDescent="0.3">
      <c r="A118" s="2"/>
      <c r="B118" s="88">
        <v>5</v>
      </c>
      <c r="C118" s="89">
        <f>ROW(A118)-(ROW(A$117))</f>
        <v>1</v>
      </c>
      <c r="D118" s="139"/>
      <c r="E118" s="140"/>
      <c r="F118" s="140"/>
      <c r="G118" s="136" t="s">
        <v>1156</v>
      </c>
      <c r="H118" s="2"/>
    </row>
    <row r="119" spans="1:8" ht="18" customHeight="1" x14ac:dyDescent="0.3">
      <c r="A119" s="2"/>
      <c r="B119" s="88">
        <v>5</v>
      </c>
      <c r="C119" s="89">
        <f t="shared" ref="C119:C120" si="1">ROW(A119)-(ROW(A$117))</f>
        <v>2</v>
      </c>
      <c r="D119" s="139"/>
      <c r="E119" s="140"/>
      <c r="F119" s="140"/>
      <c r="G119" s="121" t="s">
        <v>1156</v>
      </c>
      <c r="H119" s="2"/>
    </row>
    <row r="120" spans="1:8" ht="18" customHeight="1" x14ac:dyDescent="0.3">
      <c r="A120" s="2"/>
      <c r="B120" s="88">
        <v>5</v>
      </c>
      <c r="C120" s="89">
        <f t="shared" si="1"/>
        <v>3</v>
      </c>
      <c r="D120" s="139"/>
      <c r="E120" s="140"/>
      <c r="F120" s="140"/>
      <c r="G120" s="122" t="s">
        <v>1156</v>
      </c>
      <c r="H120" s="2"/>
    </row>
    <row r="121" spans="1:8" ht="18.75" customHeight="1" x14ac:dyDescent="0.3">
      <c r="A121" s="2"/>
      <c r="B121" s="2"/>
      <c r="C121" s="2"/>
      <c r="D121" s="2"/>
      <c r="E121" s="2"/>
      <c r="F121" s="2"/>
      <c r="G121" s="2"/>
      <c r="H121" s="2"/>
    </row>
    <row r="122" spans="1:8" s="4" customFormat="1" ht="18.75" customHeight="1" x14ac:dyDescent="0.3">
      <c r="A122" s="1"/>
      <c r="B122" s="3"/>
      <c r="C122" s="3"/>
      <c r="D122" s="1"/>
      <c r="E122" s="1"/>
      <c r="F122" s="1"/>
      <c r="G122" s="1"/>
      <c r="H122" s="1"/>
    </row>
    <row r="123" spans="1:8" s="4" customFormat="1" ht="18.75" customHeight="1" x14ac:dyDescent="0.3">
      <c r="A123" s="1"/>
      <c r="B123" s="3"/>
      <c r="C123" s="3"/>
      <c r="D123" s="1"/>
      <c r="E123" s="1"/>
      <c r="F123" s="1"/>
      <c r="G123" s="1"/>
      <c r="H123" s="1"/>
    </row>
    <row r="124" spans="1:8" s="4" customFormat="1" ht="18.75" customHeight="1" x14ac:dyDescent="0.3">
      <c r="A124" s="1"/>
      <c r="B124" s="3"/>
      <c r="C124" s="3"/>
      <c r="D124" s="1"/>
      <c r="E124" s="1"/>
      <c r="F124" s="1"/>
      <c r="G124" s="1"/>
      <c r="H124" s="1"/>
    </row>
    <row r="125" spans="1:8" s="4" customFormat="1" ht="18.75" customHeight="1" x14ac:dyDescent="0.3">
      <c r="A125" s="1"/>
      <c r="B125" s="3"/>
      <c r="C125" s="3"/>
      <c r="D125" s="1"/>
      <c r="E125" s="1"/>
      <c r="F125" s="1"/>
      <c r="G125" s="1"/>
      <c r="H125" s="1"/>
    </row>
    <row r="126" spans="1:8" s="4" customFormat="1" ht="18.75" customHeight="1" x14ac:dyDescent="0.3">
      <c r="A126" s="1"/>
      <c r="B126" s="3"/>
      <c r="C126" s="3"/>
      <c r="D126" s="1"/>
      <c r="E126" s="1"/>
      <c r="F126" s="1"/>
      <c r="G126" s="1"/>
      <c r="H126" s="1"/>
    </row>
    <row r="127" spans="1:8" s="4" customFormat="1" ht="18.75" customHeight="1" x14ac:dyDescent="0.3">
      <c r="A127" s="1"/>
      <c r="B127" s="3"/>
      <c r="C127" s="3"/>
      <c r="D127" s="1"/>
      <c r="E127" s="1"/>
      <c r="F127" s="1"/>
      <c r="G127" s="1"/>
      <c r="H127" s="1"/>
    </row>
    <row r="128" spans="1:8" s="4" customFormat="1" ht="18.75" customHeight="1" x14ac:dyDescent="0.3">
      <c r="A128" s="1"/>
      <c r="B128" s="3"/>
      <c r="C128" s="3"/>
      <c r="D128" s="1"/>
      <c r="E128" s="1"/>
      <c r="F128" s="1"/>
      <c r="G128" s="1"/>
      <c r="H128" s="1"/>
    </row>
    <row r="129" spans="1:8" s="4" customFormat="1" ht="18.75" customHeight="1" x14ac:dyDescent="0.3">
      <c r="A129" s="1"/>
      <c r="B129" s="3"/>
      <c r="C129" s="3"/>
      <c r="D129" s="1"/>
      <c r="E129" s="1"/>
      <c r="F129" s="1"/>
      <c r="G129" s="1"/>
      <c r="H129" s="1"/>
    </row>
    <row r="130" spans="1:8" s="4" customFormat="1" ht="18.75" customHeight="1" x14ac:dyDescent="0.3">
      <c r="A130" s="1"/>
      <c r="B130" s="3"/>
      <c r="C130" s="3"/>
      <c r="D130" s="1"/>
      <c r="E130" s="1"/>
      <c r="F130" s="1"/>
      <c r="G130" s="1"/>
      <c r="H130" s="1"/>
    </row>
    <row r="131" spans="1:8" s="4" customFormat="1" ht="18.75" customHeight="1" x14ac:dyDescent="0.3">
      <c r="A131" s="1"/>
      <c r="B131" s="3"/>
      <c r="C131" s="3"/>
      <c r="D131" s="1"/>
      <c r="E131" s="1"/>
      <c r="F131" s="1"/>
      <c r="G131" s="1"/>
      <c r="H131" s="1"/>
    </row>
    <row r="132" spans="1:8" s="4" customFormat="1" ht="18.75" customHeight="1" x14ac:dyDescent="0.3">
      <c r="A132" s="1"/>
      <c r="B132" s="3"/>
      <c r="C132" s="3"/>
      <c r="D132" s="1"/>
      <c r="E132" s="1"/>
      <c r="F132" s="1"/>
      <c r="G132" s="1"/>
      <c r="H132" s="1"/>
    </row>
    <row r="133" spans="1:8" s="4" customFormat="1" ht="18.75" customHeight="1" x14ac:dyDescent="0.3">
      <c r="A133" s="1"/>
      <c r="B133" s="3"/>
      <c r="C133" s="3"/>
      <c r="D133" s="1"/>
      <c r="E133" s="1"/>
      <c r="F133" s="1"/>
      <c r="G133" s="1"/>
      <c r="H133" s="1"/>
    </row>
    <row r="134" spans="1:8" s="4" customFormat="1" ht="18.75" customHeight="1" x14ac:dyDescent="0.3">
      <c r="A134" s="1"/>
      <c r="B134" s="3"/>
      <c r="C134" s="3"/>
      <c r="D134" s="1"/>
      <c r="E134" s="1"/>
      <c r="F134" s="1"/>
      <c r="G134" s="1"/>
      <c r="H134" s="1"/>
    </row>
    <row r="135" spans="1:8" s="4" customFormat="1" ht="18.75" customHeight="1" x14ac:dyDescent="0.3">
      <c r="A135" s="1"/>
      <c r="B135" s="3"/>
      <c r="C135" s="3"/>
      <c r="D135" s="1"/>
      <c r="E135" s="1"/>
      <c r="F135" s="1"/>
      <c r="G135" s="1"/>
      <c r="H135" s="1"/>
    </row>
    <row r="136" spans="1:8" s="4" customFormat="1" ht="18.75" customHeight="1" x14ac:dyDescent="0.3">
      <c r="A136" s="1"/>
      <c r="B136" s="3"/>
      <c r="C136" s="3"/>
      <c r="D136" s="1"/>
      <c r="E136" s="1"/>
      <c r="F136" s="1"/>
      <c r="G136" s="1"/>
      <c r="H136" s="1"/>
    </row>
    <row r="137" spans="1:8" s="4" customFormat="1" ht="18.75" customHeight="1" x14ac:dyDescent="0.3">
      <c r="A137" s="1"/>
      <c r="B137" s="3"/>
      <c r="C137" s="3"/>
      <c r="D137" s="1"/>
      <c r="E137" s="1"/>
      <c r="F137" s="1"/>
      <c r="G137" s="1"/>
      <c r="H137" s="1"/>
    </row>
    <row r="138" spans="1:8" s="4" customFormat="1" ht="18.75" customHeight="1" x14ac:dyDescent="0.3">
      <c r="A138" s="1"/>
      <c r="B138" s="3"/>
      <c r="C138" s="3"/>
      <c r="D138" s="1"/>
      <c r="E138" s="1"/>
      <c r="F138" s="1"/>
      <c r="G138" s="1"/>
      <c r="H138" s="1"/>
    </row>
    <row r="139" spans="1:8" s="4" customFormat="1" ht="18.75" customHeight="1" x14ac:dyDescent="0.3">
      <c r="A139" s="1"/>
      <c r="B139" s="3"/>
      <c r="C139" s="3"/>
      <c r="D139" s="1"/>
      <c r="E139" s="1"/>
      <c r="F139" s="1"/>
      <c r="G139" s="1"/>
      <c r="H139" s="1"/>
    </row>
    <row r="140" spans="1:8" s="4" customFormat="1" ht="18.75" customHeight="1" x14ac:dyDescent="0.3">
      <c r="A140" s="1"/>
      <c r="B140" s="3"/>
      <c r="C140" s="3"/>
      <c r="D140" s="1"/>
      <c r="E140" s="1"/>
      <c r="F140" s="1"/>
      <c r="G140" s="1"/>
      <c r="H140" s="1"/>
    </row>
    <row r="141" spans="1:8" s="4" customFormat="1" ht="18.75" customHeight="1" x14ac:dyDescent="0.3">
      <c r="A141" s="1"/>
      <c r="B141" s="3"/>
      <c r="C141" s="3"/>
      <c r="D141" s="1"/>
      <c r="E141" s="1"/>
      <c r="F141" s="1"/>
      <c r="G141" s="1"/>
      <c r="H141" s="1"/>
    </row>
    <row r="142" spans="1:8" s="4" customFormat="1" ht="18.75" customHeight="1" x14ac:dyDescent="0.3">
      <c r="A142" s="1"/>
      <c r="B142" s="3"/>
      <c r="C142" s="3"/>
      <c r="D142" s="1"/>
      <c r="E142" s="1"/>
      <c r="F142" s="1"/>
      <c r="G142" s="1"/>
      <c r="H142" s="1"/>
    </row>
    <row r="143" spans="1:8" s="4" customFormat="1" ht="18.75" customHeight="1" x14ac:dyDescent="0.3">
      <c r="A143" s="1"/>
      <c r="B143" s="3"/>
      <c r="C143" s="3"/>
      <c r="D143" s="1"/>
      <c r="E143" s="1"/>
      <c r="F143" s="1"/>
      <c r="G143" s="1"/>
      <c r="H143" s="1"/>
    </row>
    <row r="144" spans="1:8" s="4" customFormat="1" ht="18.75" customHeight="1" x14ac:dyDescent="0.3">
      <c r="A144" s="1"/>
      <c r="B144" s="3"/>
      <c r="C144" s="3"/>
      <c r="D144" s="1"/>
      <c r="E144" s="1"/>
      <c r="F144" s="1"/>
      <c r="G144" s="1"/>
      <c r="H144" s="1"/>
    </row>
    <row r="145" spans="1:8" s="4" customFormat="1" ht="18.75" customHeight="1" x14ac:dyDescent="0.3">
      <c r="A145" s="1"/>
      <c r="B145" s="3"/>
      <c r="C145" s="3"/>
      <c r="D145" s="1"/>
      <c r="E145" s="1"/>
      <c r="F145" s="1"/>
      <c r="G145" s="1"/>
      <c r="H145" s="1"/>
    </row>
    <row r="146" spans="1:8" s="4" customFormat="1" ht="18.75" customHeight="1" x14ac:dyDescent="0.3">
      <c r="A146" s="1"/>
      <c r="B146" s="3"/>
      <c r="C146" s="3"/>
      <c r="D146" s="1"/>
      <c r="E146" s="1"/>
      <c r="F146" s="1"/>
      <c r="G146" s="1"/>
      <c r="H146" s="1"/>
    </row>
    <row r="147" spans="1:8" s="4" customFormat="1" ht="18.75" customHeight="1" x14ac:dyDescent="0.3">
      <c r="A147" s="1"/>
      <c r="B147" s="3"/>
      <c r="C147" s="3"/>
      <c r="D147" s="1"/>
      <c r="E147" s="1"/>
      <c r="F147" s="1"/>
      <c r="G147" s="1"/>
      <c r="H147" s="1"/>
    </row>
    <row r="148" spans="1:8" s="4" customFormat="1" ht="18.75" customHeight="1" x14ac:dyDescent="0.3">
      <c r="A148" s="1"/>
      <c r="B148" s="3"/>
      <c r="C148" s="3"/>
      <c r="D148" s="1"/>
      <c r="E148" s="1"/>
      <c r="F148" s="1"/>
      <c r="G148" s="1"/>
      <c r="H148" s="1"/>
    </row>
    <row r="149" spans="1:8" s="4" customFormat="1" ht="18.75" customHeight="1" x14ac:dyDescent="0.3">
      <c r="A149" s="1"/>
      <c r="B149" s="3"/>
      <c r="C149" s="3"/>
      <c r="D149" s="1"/>
      <c r="E149" s="1"/>
      <c r="F149" s="1"/>
      <c r="G149" s="1"/>
      <c r="H149" s="1"/>
    </row>
    <row r="150" spans="1:8" s="4" customFormat="1" ht="18.75" customHeight="1" x14ac:dyDescent="0.3">
      <c r="A150" s="1"/>
      <c r="B150" s="3"/>
      <c r="C150" s="3"/>
      <c r="D150" s="1"/>
      <c r="E150" s="1"/>
      <c r="F150" s="1"/>
      <c r="G150" s="1"/>
      <c r="H150" s="1"/>
    </row>
    <row r="151" spans="1:8" s="4" customFormat="1" ht="18.75" customHeight="1" x14ac:dyDescent="0.3">
      <c r="A151" s="1"/>
      <c r="B151" s="3"/>
      <c r="C151" s="3"/>
      <c r="D151" s="1"/>
      <c r="E151" s="1"/>
      <c r="F151" s="1"/>
      <c r="G151" s="1"/>
      <c r="H151" s="1"/>
    </row>
    <row r="152" spans="1:8" s="4" customFormat="1" ht="18.75" customHeight="1" x14ac:dyDescent="0.3">
      <c r="A152" s="1"/>
      <c r="B152" s="3"/>
      <c r="C152" s="3"/>
      <c r="D152" s="1"/>
      <c r="E152" s="1"/>
      <c r="F152" s="1"/>
      <c r="G152" s="1"/>
      <c r="H152" s="1"/>
    </row>
    <row r="153" spans="1:8" s="4" customFormat="1" ht="18.75" customHeight="1" x14ac:dyDescent="0.3">
      <c r="A153" s="1"/>
      <c r="B153" s="3"/>
      <c r="C153" s="3"/>
      <c r="D153" s="1"/>
      <c r="E153" s="1"/>
      <c r="F153" s="1"/>
      <c r="G153" s="1"/>
      <c r="H153" s="1"/>
    </row>
    <row r="154" spans="1:8" s="4" customFormat="1" ht="18.75" customHeight="1" x14ac:dyDescent="0.3">
      <c r="A154" s="1"/>
      <c r="B154" s="3"/>
      <c r="C154" s="3"/>
      <c r="D154" s="1"/>
      <c r="E154" s="1"/>
      <c r="F154" s="1"/>
      <c r="G154" s="1"/>
      <c r="H154" s="1"/>
    </row>
    <row r="155" spans="1:8" s="4" customFormat="1" ht="18.75" customHeight="1" x14ac:dyDescent="0.3">
      <c r="A155" s="1"/>
      <c r="B155" s="3"/>
      <c r="C155" s="3"/>
      <c r="D155" s="1"/>
      <c r="E155" s="1"/>
      <c r="F155" s="1"/>
      <c r="G155" s="1"/>
      <c r="H155" s="1"/>
    </row>
    <row r="156" spans="1:8" s="4" customFormat="1" ht="18.75" customHeight="1" x14ac:dyDescent="0.3">
      <c r="A156" s="1"/>
      <c r="B156" s="3"/>
      <c r="C156" s="3"/>
      <c r="D156" s="1"/>
      <c r="E156" s="1"/>
      <c r="F156" s="1"/>
      <c r="G156" s="1"/>
      <c r="H156" s="1"/>
    </row>
    <row r="157" spans="1:8" s="4" customFormat="1" ht="18.75" customHeight="1" x14ac:dyDescent="0.3">
      <c r="A157" s="1"/>
      <c r="B157" s="3"/>
      <c r="C157" s="3"/>
      <c r="D157" s="1"/>
      <c r="E157" s="1"/>
      <c r="F157" s="1"/>
      <c r="G157" s="1"/>
      <c r="H157" s="1"/>
    </row>
    <row r="158" spans="1:8" s="4" customFormat="1" ht="18.75" customHeight="1" x14ac:dyDescent="0.3">
      <c r="A158" s="1"/>
      <c r="B158" s="3"/>
      <c r="C158" s="3"/>
      <c r="D158" s="1"/>
      <c r="E158" s="1"/>
      <c r="F158" s="1"/>
      <c r="G158" s="1"/>
      <c r="H158" s="1"/>
    </row>
    <row r="159" spans="1:8" s="4" customFormat="1" ht="18.75" customHeight="1" x14ac:dyDescent="0.3">
      <c r="A159" s="1"/>
      <c r="B159" s="3"/>
      <c r="C159" s="3"/>
      <c r="D159" s="1"/>
      <c r="E159" s="1"/>
      <c r="F159" s="1"/>
      <c r="G159" s="1"/>
      <c r="H159" s="1"/>
    </row>
    <row r="160" spans="1:8" s="4" customFormat="1" ht="18.75" customHeight="1" x14ac:dyDescent="0.3">
      <c r="A160" s="1"/>
      <c r="B160" s="3"/>
      <c r="C160" s="3"/>
      <c r="D160" s="1"/>
      <c r="E160" s="1"/>
      <c r="F160" s="1"/>
      <c r="G160" s="1"/>
      <c r="H160" s="1"/>
    </row>
    <row r="161" spans="1:8" s="4" customFormat="1" ht="18.75" customHeight="1" x14ac:dyDescent="0.3">
      <c r="A161" s="1"/>
      <c r="B161" s="3"/>
      <c r="C161" s="3"/>
      <c r="D161" s="1"/>
      <c r="E161" s="1"/>
      <c r="F161" s="1"/>
      <c r="G161" s="1"/>
      <c r="H161" s="1"/>
    </row>
    <row r="162" spans="1:8" s="4" customFormat="1" ht="18.75" customHeight="1" x14ac:dyDescent="0.3">
      <c r="A162" s="1"/>
      <c r="B162" s="3"/>
      <c r="C162" s="3"/>
      <c r="D162" s="1"/>
      <c r="E162" s="1"/>
      <c r="F162" s="1"/>
      <c r="G162" s="1"/>
      <c r="H162" s="1"/>
    </row>
    <row r="163" spans="1:8" s="4" customFormat="1" ht="18.75" customHeight="1" x14ac:dyDescent="0.3">
      <c r="A163" s="1"/>
      <c r="B163" s="3"/>
      <c r="C163" s="3"/>
      <c r="D163" s="1"/>
      <c r="E163" s="1"/>
      <c r="F163" s="1"/>
      <c r="G163" s="1"/>
      <c r="H163" s="1"/>
    </row>
    <row r="164" spans="1:8" s="4" customFormat="1" ht="18.75" customHeight="1" x14ac:dyDescent="0.3">
      <c r="A164" s="1"/>
      <c r="B164" s="3"/>
      <c r="C164" s="3"/>
      <c r="D164" s="1"/>
      <c r="E164" s="1"/>
      <c r="F164" s="1"/>
      <c r="G164" s="1"/>
      <c r="H164" s="1"/>
    </row>
    <row r="165" spans="1:8" s="4" customFormat="1" ht="18.75" customHeight="1" x14ac:dyDescent="0.3">
      <c r="A165" s="1"/>
      <c r="B165" s="3"/>
      <c r="C165" s="3"/>
      <c r="D165" s="1"/>
      <c r="E165" s="1"/>
      <c r="F165" s="1"/>
      <c r="G165" s="1"/>
      <c r="H165" s="1"/>
    </row>
    <row r="166" spans="1:8" s="4" customFormat="1" ht="18.75" customHeight="1" x14ac:dyDescent="0.3">
      <c r="A166" s="1"/>
      <c r="B166" s="3"/>
      <c r="C166" s="3"/>
      <c r="D166" s="1"/>
      <c r="E166" s="1"/>
      <c r="F166" s="1"/>
      <c r="G166" s="1"/>
      <c r="H166" s="1"/>
    </row>
    <row r="167" spans="1:8" s="4" customFormat="1" ht="18.75" customHeight="1" x14ac:dyDescent="0.3">
      <c r="A167" s="1"/>
      <c r="B167" s="3"/>
      <c r="C167" s="3"/>
      <c r="D167" s="1"/>
      <c r="E167" s="1"/>
      <c r="F167" s="1"/>
      <c r="G167" s="1"/>
      <c r="H167" s="1"/>
    </row>
    <row r="168" spans="1:8" s="4" customFormat="1" ht="18.75" customHeight="1" x14ac:dyDescent="0.3">
      <c r="A168" s="1"/>
      <c r="B168" s="3"/>
      <c r="C168" s="3"/>
      <c r="D168" s="1"/>
      <c r="E168" s="1"/>
      <c r="F168" s="1"/>
      <c r="G168" s="1"/>
      <c r="H168" s="1"/>
    </row>
    <row r="169" spans="1:8" s="4" customFormat="1" ht="18.75" customHeight="1" x14ac:dyDescent="0.3">
      <c r="A169" s="1"/>
      <c r="B169" s="3"/>
      <c r="C169" s="3"/>
      <c r="D169" s="1"/>
      <c r="E169" s="1"/>
      <c r="F169" s="1"/>
      <c r="G169" s="1"/>
      <c r="H169" s="1"/>
    </row>
    <row r="170" spans="1:8" s="4" customFormat="1" ht="18.75" customHeight="1" x14ac:dyDescent="0.3">
      <c r="A170" s="1"/>
      <c r="B170" s="3"/>
      <c r="C170" s="3"/>
      <c r="D170" s="1"/>
      <c r="E170" s="1"/>
      <c r="F170" s="1"/>
      <c r="G170" s="1"/>
      <c r="H170" s="1"/>
    </row>
    <row r="171" spans="1:8" s="4" customFormat="1" ht="18.75" customHeight="1" x14ac:dyDescent="0.3">
      <c r="A171" s="1"/>
      <c r="B171" s="3"/>
      <c r="C171" s="3"/>
      <c r="D171" s="1"/>
      <c r="E171" s="1"/>
      <c r="F171" s="1"/>
      <c r="G171" s="1"/>
      <c r="H171" s="1"/>
    </row>
    <row r="172" spans="1:8" s="4" customFormat="1" ht="18.75" customHeight="1" x14ac:dyDescent="0.3">
      <c r="A172" s="1"/>
      <c r="B172" s="3"/>
      <c r="C172" s="3"/>
      <c r="D172" s="1"/>
      <c r="E172" s="1"/>
      <c r="F172" s="1"/>
      <c r="G172" s="1"/>
      <c r="H172" s="1"/>
    </row>
    <row r="173" spans="1:8" s="4" customFormat="1" ht="18.75" customHeight="1" x14ac:dyDescent="0.3">
      <c r="A173" s="1"/>
      <c r="B173" s="3"/>
      <c r="C173" s="3"/>
      <c r="D173" s="1"/>
      <c r="E173" s="1"/>
      <c r="F173" s="1"/>
      <c r="G173" s="1"/>
      <c r="H173" s="1"/>
    </row>
  </sheetData>
  <mergeCells count="34">
    <mergeCell ref="D116:F116"/>
    <mergeCell ref="D118:F118"/>
    <mergeCell ref="D119:F119"/>
    <mergeCell ref="D120:F120"/>
    <mergeCell ref="D108:F108"/>
    <mergeCell ref="D109:F109"/>
    <mergeCell ref="D110:F110"/>
    <mergeCell ref="D112:F112"/>
    <mergeCell ref="D113:F113"/>
    <mergeCell ref="D115:F115"/>
    <mergeCell ref="D100:F100"/>
    <mergeCell ref="D101:F101"/>
    <mergeCell ref="D103:F103"/>
    <mergeCell ref="D104:F104"/>
    <mergeCell ref="D105:F105"/>
    <mergeCell ref="D107:F107"/>
    <mergeCell ref="D94:F94"/>
    <mergeCell ref="D95:F95"/>
    <mergeCell ref="D96:F96"/>
    <mergeCell ref="D97:F97"/>
    <mergeCell ref="D98:F98"/>
    <mergeCell ref="D99:F99"/>
    <mergeCell ref="D87:F87"/>
    <mergeCell ref="D88:F88"/>
    <mergeCell ref="D89:F89"/>
    <mergeCell ref="D90:F90"/>
    <mergeCell ref="D92:F92"/>
    <mergeCell ref="D93:F93"/>
    <mergeCell ref="D79:F79"/>
    <mergeCell ref="D81:F81"/>
    <mergeCell ref="D82:F82"/>
    <mergeCell ref="D83:F83"/>
    <mergeCell ref="D84:F84"/>
    <mergeCell ref="D85:F85"/>
  </mergeCells>
  <dataValidations count="2">
    <dataValidation allowBlank="1" sqref="G77" xr:uid="{3D9637E3-BC9A-4CEE-9FED-B8332FE21F95}"/>
    <dataValidation type="list" errorStyle="warning" allowBlank="1" showInputMessage="1" showErrorMessage="1" errorTitle="Handlungsbedarf" error="Bitte geben Sie eine gültige Antwort ein:_x000a_ja, nein, prüfen" sqref="G87:G90 G103:G120 G81:G85 G79 G92:G101 G58:G66 G49:G56 G36:G47 G68:G71 G73 G75" xr:uid="{E3D7154E-A7EB-4722-8996-EFFA74E80825}">
      <formula1>Handlungsbedarf</formula1>
    </dataValidation>
  </dataValidations>
  <printOptions horizontalCentered="1"/>
  <pageMargins left="0.39370078740157483" right="0.39370078740157483" top="0.39370078740157483" bottom="0.47244094488188981" header="0.31496062992125984" footer="0.19685039370078741"/>
  <pageSetup paperSize="9" scale="81" fitToHeight="3" orientation="portrait" r:id="rId1"/>
  <headerFooter>
    <oddFooter>&amp;L&amp;G&amp;C&amp;"Arial,Standard"&amp;9GBU &amp;A&amp;R&amp;"Arial,Standard"&amp;9Seite &amp;P / &amp;N</oddFooter>
  </headerFooter>
  <rowBreaks count="2" manualBreakCount="2">
    <brk id="33" min="1" max="6" man="1"/>
    <brk id="76" min="1" max="6" man="1"/>
  </rowBreaks>
  <drawing r:id="rId2"/>
  <legacyDrawingHF r:id="rId3"/>
  <extLst>
    <ext xmlns:x14="http://schemas.microsoft.com/office/spreadsheetml/2009/9/main" uri="{78C0D931-6437-407d-A8EE-F0AAD7539E65}">
      <x14:conditionalFormattings>
        <x14:conditionalFormatting xmlns:xm="http://schemas.microsoft.com/office/excel/2006/main">
          <x14:cfRule type="cellIs" priority="23" operator="equal" id="{DEEFE074-00E7-4B08-86F6-218CEF8CBA3A}">
            <xm:f>Daten!$I$4</xm:f>
            <x14:dxf>
              <font>
                <color rgb="FFFF0000"/>
              </font>
            </x14:dxf>
          </x14:cfRule>
          <xm:sqref>G1:G1048576</xm:sqref>
        </x14:conditionalFormatting>
        <x14:conditionalFormatting xmlns:xm="http://schemas.microsoft.com/office/excel/2006/main">
          <x14:cfRule type="cellIs" priority="20" operator="equal" id="{3E367941-F155-4B78-B3B2-67431F688A1B}">
            <xm:f>Daten!$I$2</xm:f>
            <x14:dxf>
              <font>
                <color theme="1" tint="0.499984740745262"/>
              </font>
            </x14:dxf>
          </x14:cfRule>
          <xm:sqref>G36:G47 G77:G121</xm:sqref>
        </x14:conditionalFormatting>
        <x14:conditionalFormatting xmlns:xm="http://schemas.microsoft.com/office/excel/2006/main">
          <x14:cfRule type="cellIs" priority="21" operator="equal" id="{7FAB8ACE-3288-484E-895B-7FA4C45A83CA}">
            <xm:f>Daten!$I$3</xm:f>
            <x14:dxf>
              <font>
                <color rgb="FF00B050"/>
              </font>
            </x14:dxf>
          </x14:cfRule>
          <x14:cfRule type="cellIs" priority="22" operator="equal" id="{C565A355-B7C7-46C8-A201-13AB38F160F2}">
            <xm:f>Daten!$I$2</xm:f>
            <x14:dxf>
              <font>
                <color theme="1" tint="0.499984740745262"/>
              </font>
            </x14:dxf>
          </x14:cfRule>
          <xm:sqref>G49</xm:sqref>
        </x14:conditionalFormatting>
        <x14:conditionalFormatting xmlns:xm="http://schemas.microsoft.com/office/excel/2006/main">
          <x14:cfRule type="cellIs" priority="9" operator="equal" id="{C24029C0-9A86-45C3-8A6E-03A19F1F0E47}">
            <xm:f>Daten!$I$3</xm:f>
            <x14:dxf>
              <font>
                <color rgb="FF00B050"/>
              </font>
            </x14:dxf>
          </x14:cfRule>
          <x14:cfRule type="cellIs" priority="10" operator="equal" id="{3FCB61D4-8606-4D62-BA76-FC26478B81A4}">
            <xm:f>Daten!$I$2</xm:f>
            <x14:dxf>
              <font>
                <color theme="1" tint="0.499984740745262"/>
              </font>
            </x14:dxf>
          </x14:cfRule>
          <x14:cfRule type="cellIs" priority="13" operator="equal" id="{FF9CC799-82C8-46B6-AF69-45FD48989957}">
            <xm:f>Daten!$I$3</xm:f>
            <x14:dxf>
              <font>
                <color rgb="FF00B050"/>
              </font>
            </x14:dxf>
          </x14:cfRule>
          <x14:cfRule type="cellIs" priority="14" operator="equal" id="{4ABACD5E-FD02-40F1-9833-E594B93C2D97}">
            <xm:f>Daten!$I$2</xm:f>
            <x14:dxf>
              <font>
                <color theme="1" tint="0.499984740745262"/>
              </font>
            </x14:dxf>
          </x14:cfRule>
          <xm:sqref>G49:G56</xm:sqref>
        </x14:conditionalFormatting>
        <x14:conditionalFormatting xmlns:xm="http://schemas.microsoft.com/office/excel/2006/main">
          <x14:cfRule type="cellIs" priority="17" operator="equal" id="{FFD9CA38-C9C3-4CDC-A2ED-D4C1C68E1399}">
            <xm:f>Daten!$I$3</xm:f>
            <x14:dxf>
              <font>
                <color rgb="FF00B050"/>
              </font>
            </x14:dxf>
          </x14:cfRule>
          <x14:cfRule type="cellIs" priority="18" operator="equal" id="{4B6D7FA6-764E-4256-B01D-4A4A22A7E56E}">
            <xm:f>Daten!$I$2</xm:f>
            <x14:dxf>
              <font>
                <color theme="1" tint="0.499984740745262"/>
              </font>
            </x14:dxf>
          </x14:cfRule>
          <xm:sqref>G58</xm:sqref>
        </x14:conditionalFormatting>
        <x14:conditionalFormatting xmlns:xm="http://schemas.microsoft.com/office/excel/2006/main">
          <x14:cfRule type="cellIs" priority="7" operator="equal" id="{6A1BB34E-B2C3-43BF-BFA4-55603A923D60}">
            <xm:f>Daten!$I$3</xm:f>
            <x14:dxf>
              <font>
                <color rgb="FF00B050"/>
              </font>
            </x14:dxf>
          </x14:cfRule>
          <x14:cfRule type="cellIs" priority="8" operator="equal" id="{4A1389AD-AA8E-4525-A516-CB05A0CA2A86}">
            <xm:f>Daten!$I$2</xm:f>
            <x14:dxf>
              <font>
                <color theme="1" tint="0.499984740745262"/>
              </font>
            </x14:dxf>
          </x14:cfRule>
          <x14:cfRule type="cellIs" priority="15" operator="equal" id="{D63F9E38-5B3D-4603-AF8E-BD4FA81BF7AA}">
            <xm:f>Daten!$I$3</xm:f>
            <x14:dxf>
              <font>
                <color rgb="FF00B050"/>
              </font>
            </x14:dxf>
          </x14:cfRule>
          <x14:cfRule type="cellIs" priority="16" operator="equal" id="{461A8249-B68F-4C28-AD69-7C845CF9946B}">
            <xm:f>Daten!$I$2</xm:f>
            <x14:dxf>
              <font>
                <color theme="1" tint="0.499984740745262"/>
              </font>
            </x14:dxf>
          </x14:cfRule>
          <xm:sqref>G58:G66</xm:sqref>
        </x14:conditionalFormatting>
        <x14:conditionalFormatting xmlns:xm="http://schemas.microsoft.com/office/excel/2006/main">
          <x14:cfRule type="cellIs" priority="24" operator="equal" id="{CD99ABA4-39EF-4DE8-8E2D-860B38FDF777}">
            <xm:f>Daten!$I$3</xm:f>
            <x14:dxf>
              <font>
                <color rgb="FF00B050"/>
              </font>
            </x14:dxf>
          </x14:cfRule>
          <x14:cfRule type="cellIs" priority="25" operator="equal" id="{7EB12DC8-58B8-41F3-865E-134FB99344EB}">
            <xm:f>Daten!$I$2</xm:f>
            <x14:dxf>
              <font>
                <color theme="1" tint="0.499984740745262"/>
              </font>
            </x14:dxf>
          </x14:cfRule>
          <xm:sqref>G68:G71 G73 G75</xm:sqref>
        </x14:conditionalFormatting>
        <x14:conditionalFormatting xmlns:xm="http://schemas.microsoft.com/office/excel/2006/main">
          <x14:cfRule type="cellIs" priority="5" operator="equal" id="{82D9D4FB-BC27-4EF9-B0D7-2C9A91330AA5}">
            <xm:f>Daten!$I$3</xm:f>
            <x14:dxf>
              <font>
                <color rgb="FF00B050"/>
              </font>
            </x14:dxf>
          </x14:cfRule>
          <x14:cfRule type="cellIs" priority="6" operator="equal" id="{F41D3DB2-85CC-495D-BF38-E422F615EAE1}">
            <xm:f>Daten!$I$2</xm:f>
            <x14:dxf>
              <font>
                <color theme="1" tint="0.499984740745262"/>
              </font>
            </x14:dxf>
          </x14:cfRule>
          <x14:cfRule type="cellIs" priority="11" operator="equal" id="{0DBCE222-3171-4E4D-82D7-57EFCBF10F85}">
            <xm:f>Daten!$I$3</xm:f>
            <x14:dxf>
              <font>
                <color rgb="FF00B050"/>
              </font>
            </x14:dxf>
          </x14:cfRule>
          <x14:cfRule type="cellIs" priority="12" operator="equal" id="{B1CFC7FB-23A9-4BD0-B92B-62979A7157DC}">
            <xm:f>Daten!$I$2</xm:f>
            <x14:dxf>
              <font>
                <color theme="1" tint="0.499984740745262"/>
              </font>
            </x14:dxf>
          </x14:cfRule>
          <xm:sqref>G70:G71</xm:sqref>
        </x14:conditionalFormatting>
        <x14:conditionalFormatting xmlns:xm="http://schemas.microsoft.com/office/excel/2006/main">
          <x14:cfRule type="cellIs" priority="19" operator="equal" id="{E417B70A-365A-4955-900B-92F802074AEA}">
            <xm:f>Daten!$I$3</xm:f>
            <x14:dxf>
              <font>
                <color rgb="FF00B050"/>
              </font>
            </x14:dxf>
          </x14:cfRule>
          <xm:sqref>G77:G121 G36:G47</xm:sqref>
        </x14:conditionalFormatting>
        <x14:conditionalFormatting xmlns:xm="http://schemas.microsoft.com/office/excel/2006/main">
          <x14:cfRule type="cellIs" priority="1" operator="equal" id="{A8E66B83-DC88-42A3-8323-C8A2719D0E3A}">
            <xm:f>Daten!$I$3</xm:f>
            <x14:dxf>
              <font>
                <color rgb="FF00B050"/>
              </font>
            </x14:dxf>
          </x14:cfRule>
          <x14:cfRule type="cellIs" priority="2" operator="equal" id="{4F86B1FA-1BC1-40E4-9AE1-BC74B2B119E5}">
            <xm:f>Daten!$I$2</xm:f>
            <x14:dxf>
              <font>
                <color theme="1" tint="0.499984740745262"/>
              </font>
            </x14:dxf>
          </x14:cfRule>
          <x14:cfRule type="cellIs" priority="3" operator="equal" id="{A883C27C-0892-4A95-A04C-0839091A10C7}">
            <xm:f>Daten!$I$3</xm:f>
            <x14:dxf>
              <font>
                <color rgb="FF00B050"/>
              </font>
            </x14:dxf>
          </x14:cfRule>
          <x14:cfRule type="cellIs" priority="4" operator="equal" id="{2FDA0C9B-E79B-4685-ADFC-1F7A25B40791}">
            <xm:f>Daten!$I$2</xm:f>
            <x14:dxf>
              <font>
                <color theme="1" tint="0.499984740745262"/>
              </font>
            </x14:dxf>
          </x14:cfRule>
          <xm:sqref>G79 G81:G85 G87:G89 G92:G100 G107:G108 G113 G115:G116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16</vt:i4>
      </vt:variant>
    </vt:vector>
  </HeadingPairs>
  <TitlesOfParts>
    <vt:vector size="24" baseType="lpstr">
      <vt:lpstr>Übersicht GBU</vt:lpstr>
      <vt:lpstr>Daten</vt:lpstr>
      <vt:lpstr>Maßnahmen</vt:lpstr>
      <vt:lpstr>000</vt:lpstr>
      <vt:lpstr>085</vt:lpstr>
      <vt:lpstr>090</vt:lpstr>
      <vt:lpstr>091</vt:lpstr>
      <vt:lpstr>095</vt:lpstr>
      <vt:lpstr>'000'!Druckbereich</vt:lpstr>
      <vt:lpstr>'085'!Druckbereich</vt:lpstr>
      <vt:lpstr>'090'!Druckbereich</vt:lpstr>
      <vt:lpstr>'091'!Druckbereich</vt:lpstr>
      <vt:lpstr>'095'!Druckbereich</vt:lpstr>
      <vt:lpstr>Maßnahmen!Druckbereich</vt:lpstr>
      <vt:lpstr>'Übersicht GBU'!Druckbereich</vt:lpstr>
      <vt:lpstr>'000'!Drucktitel</vt:lpstr>
      <vt:lpstr>'085'!Drucktitel</vt:lpstr>
      <vt:lpstr>'090'!Drucktitel</vt:lpstr>
      <vt:lpstr>'091'!Drucktitel</vt:lpstr>
      <vt:lpstr>'095'!Drucktitel</vt:lpstr>
      <vt:lpstr>Maßnahmen!Drucktitel</vt:lpstr>
      <vt:lpstr>'Übersicht GBU'!Drucktitel</vt:lpstr>
      <vt:lpstr>Gefährdungsfaktoren_Nummern</vt:lpstr>
      <vt:lpstr>Handlungsbedarf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KMG</dc:creator>
  <cp:lastModifiedBy>Kim Marius Gräfe</cp:lastModifiedBy>
  <cp:lastPrinted>2025-09-05T07:44:57Z</cp:lastPrinted>
  <dcterms:created xsi:type="dcterms:W3CDTF">2021-09-05T19:01:25Z</dcterms:created>
  <dcterms:modified xsi:type="dcterms:W3CDTF">2025-09-05T08:02:30Z</dcterms:modified>
</cp:coreProperties>
</file>